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  <sheet sheetId="2" name="Component Library" state="visible" r:id="rId5"/>
    <sheet sheetId="3" name="Pod &amp; Rates" state="visible" r:id="rId6"/>
    <sheet sheetId="4" name="Releases" state="visible" r:id="rId7"/>
    <sheet sheetId="5" name="Assumptions" state="visible" r:id="rId8"/>
  </sheets>
  <calcPr calcId="171027" fullCalcOnLoad="1"/>
</workbook>
</file>

<file path=xl/sharedStrings.xml><?xml version="1.0" encoding="utf-8"?>
<sst xmlns="http://schemas.openxmlformats.org/spreadsheetml/2006/main" count="555" uniqueCount="186">
  <si>
    <t>ROM estimate — live formulas</t>
  </si>
  <si>
    <t>Hours = count × unit hours × friction. Weeks = CEILING(hours ÷ (FTE × hours per FTE-week × productive share)). Cost = FTE × weeks × hours per FTE-week × rate. Cached values equal the engine output; money is in cents.</t>
  </si>
  <si>
    <t>Block</t>
  </si>
  <si>
    <t>Code</t>
  </si>
  <si>
    <t>Release</t>
  </si>
  <si>
    <t>Driver</t>
  </si>
  <si>
    <t>Count</t>
  </si>
  <si>
    <t>Unit hours</t>
  </si>
  <si>
    <t>Friction</t>
  </si>
  <si>
    <t>Hours</t>
  </si>
  <si>
    <t>Unit-hours source</t>
  </si>
  <si>
    <t>Confidence</t>
  </si>
  <si>
    <t>Use case</t>
  </si>
  <si>
    <t>UC-1</t>
  </si>
  <si>
    <t>R1</t>
  </si>
  <si>
    <t>data_source_count</t>
  </si>
  <si>
    <t>[A:DL7] synthetic demo benchmark</t>
  </si>
  <si>
    <t>medium</t>
  </si>
  <si>
    <t>source_table_count</t>
  </si>
  <si>
    <t>[A:DL8] synthetic demo benchmark</t>
  </si>
  <si>
    <t>standard_data_entity_count</t>
  </si>
  <si>
    <t>[A:DL9] synthetic demo benchmark</t>
  </si>
  <si>
    <t>dashboard_view_count</t>
  </si>
  <si>
    <t>[A:DL10] synthetic demo benchmark</t>
  </si>
  <si>
    <t>design_row_count</t>
  </si>
  <si>
    <t>[A:DL11] synthetic demo benchmark</t>
  </si>
  <si>
    <t>validation_row_count</t>
  </si>
  <si>
    <t>[A:DL12] synthetic demo benchmark</t>
  </si>
  <si>
    <t>UC-2</t>
  </si>
  <si>
    <t>R2</t>
  </si>
  <si>
    <t>Foundation</t>
  </si>
  <si>
    <t>FOUNDATION</t>
  </si>
  <si>
    <t>shared</t>
  </si>
  <si>
    <t>Block hours</t>
  </si>
  <si>
    <t/>
  </si>
  <si>
    <t>Pod pricing — Release R1</t>
  </si>
  <si>
    <t>Certified measures release</t>
  </si>
  <si>
    <t>not_designed</t>
  </si>
  <si>
    <t>Adjusted hours</t>
  </si>
  <si>
    <t>Paid hours needed (adjusted ÷ productive share)</t>
  </si>
  <si>
    <t>Total FTE</t>
  </si>
  <si>
    <t>Productive hours per pod-week</t>
  </si>
  <si>
    <t>Weeks (whole pod-weeks)</t>
  </si>
  <si>
    <t>Member</t>
  </si>
  <si>
    <t>Role</t>
  </si>
  <si>
    <t>Level</t>
  </si>
  <si>
    <t>FTE</t>
  </si>
  <si>
    <t>Weeks</t>
  </si>
  <si>
    <t>Hours per FTE-week</t>
  </si>
  <si>
    <t>Paid hours</t>
  </si>
  <si>
    <t>Rate (cents)</t>
  </si>
  <si>
    <t>Cost (cents)</t>
  </si>
  <si>
    <t>Role mapping</t>
  </si>
  <si>
    <t>ROL-024</t>
  </si>
  <si>
    <t>LVL-06</t>
  </si>
  <si>
    <t>proposed mapping, unapproved</t>
  </si>
  <si>
    <t>ROL-023</t>
  </si>
  <si>
    <t>LVL-07</t>
  </si>
  <si>
    <t>ROL-037</t>
  </si>
  <si>
    <t>LVL-08</t>
  </si>
  <si>
    <t>ROL-041</t>
  </si>
  <si>
    <t>Plan cost (cents)</t>
  </si>
  <si>
    <t>Range low multiplier</t>
  </si>
  <si>
    <t>Range high multiplier</t>
  </si>
  <si>
    <t>Low (cents)</t>
  </si>
  <si>
    <t>High (cents)</t>
  </si>
  <si>
    <t>Pod pricing — Release R2</t>
  </si>
  <si>
    <t>Workbook certification and retirement release</t>
  </si>
  <si>
    <t>Pod pricing — Foundation FOUNDATION</t>
  </si>
  <si>
    <t>Shared governed data foundation</t>
  </si>
  <si>
    <t>Label</t>
  </si>
  <si>
    <t>Source</t>
  </si>
  <si>
    <t>Data sources</t>
  </si>
  <si>
    <t>Source tables</t>
  </si>
  <si>
    <t>Standard data entities</t>
  </si>
  <si>
    <t>Dashboard views</t>
  </si>
  <si>
    <t>Design rows</t>
  </si>
  <si>
    <t>Validation rows</t>
  </si>
  <si>
    <t>#</t>
  </si>
  <si>
    <t>Location</t>
  </si>
  <si>
    <t>Provider class</t>
  </si>
  <si>
    <t>Base rate (cents)</t>
  </si>
  <si>
    <t>Base rate source</t>
  </si>
  <si>
    <t>Location multiplier</t>
  </si>
  <si>
    <t>Location source</t>
  </si>
  <si>
    <t>Provider multiplier</t>
  </si>
  <si>
    <t>Provider source</t>
  </si>
  <si>
    <t>Hourly rate (cents)</t>
  </si>
  <si>
    <t>Hourly rate ($)</t>
  </si>
  <si>
    <t>Rate basis</t>
  </si>
  <si>
    <t>Rate provenance</t>
  </si>
  <si>
    <t>Notes</t>
  </si>
  <si>
    <t>LOC-DALLAS</t>
  </si>
  <si>
    <t>SI-T1</t>
  </si>
  <si>
    <t>rate_band:ROL-024-LVL-06:indicative_bill_rate [Workforce_Taxonomy_Master.xlsx:Role Rate Card row RC-0069 (Internal Cost Model + Assumptions formula engine, recomputed — see script header)]</t>
  </si>
  <si>
    <t>location:LOC-DALLAS:rate_multiplier [Workforce_Taxonomy_Master.xlsx:Geography row 10]</t>
  </si>
  <si>
    <t>provider_class:SI-T1/SI-T1 [Workforce_Taxonomy_Master.xlsx:Assumptions row 28]</t>
  </si>
  <si>
    <t>bill_rate</t>
  </si>
  <si>
    <t>rate = band ROL-024-LVL-06 indicative_bill_rate $406.25 × location LOC-DALLAS 1.00 × provider 1.00 = $406.25/hr</t>
  </si>
  <si>
    <t>band rate_basis onshore_si_t1_benchmark (benchmark SI-T1, onshore); band confidence medium, approval global_starter_unapproved; location scarcity_multiplier not applied in this increment; planning rates, not approved</t>
  </si>
  <si>
    <t>rate_band:ROL-023-LVL-07:indicative_bill_rate [Workforce_Taxonomy_Master.xlsx:Role Rate Card row RC-0066 (Internal Cost Model + Assumptions formula engine, recomputed — see script header)]</t>
  </si>
  <si>
    <t>rate = band ROL-023-LVL-07 indicative_bill_rate $349.38 × location LOC-DALLAS 1.00 × provider 1.00 = $349.38/hr</t>
  </si>
  <si>
    <t>rate_band:ROL-037-LVL-08:indicative_bill_rate [Workforce_Taxonomy_Master.xlsx:Role Rate Card row RC-0105 (Internal Cost Model + Assumptions formula engine, recomputed — see script header)]</t>
  </si>
  <si>
    <t>rate = band ROL-037-LVL-08 indicative_bill_rate $292.50 × location LOC-DALLAS 1.00 × provider 1.00 = $292.50/hr</t>
  </si>
  <si>
    <t>rate_band:ROL-041-LVL-08:indicative_bill_rate [Workforce_Taxonomy_Master.xlsx:Role Rate Card row RC-0116 (Internal Cost Model + Assumptions formula engine, recomputed — see script header)]</t>
  </si>
  <si>
    <t>rate = band ROL-041-LVL-08 indicative_bill_rate $247.50 × location LOC-DALLAS 1.00 × provider 1.00 = $247.50/hr</t>
  </si>
  <si>
    <t>Name</t>
  </si>
  <si>
    <t>Design status</t>
  </si>
  <si>
    <t>Use cases</t>
  </si>
  <si>
    <t>Plan (cents)</t>
  </si>
  <si>
    <t>Shares foundation</t>
  </si>
  <si>
    <t>Standalone plan (cents)</t>
  </si>
  <si>
    <t>Low ($)</t>
  </si>
  <si>
    <t>Plan ($)</t>
  </si>
  <si>
    <t>High ($)</t>
  </si>
  <si>
    <t>yes</t>
  </si>
  <si>
    <t>no</t>
  </si>
  <si>
    <t>foundation (not_designed)</t>
  </si>
  <si>
    <t>shared by R1</t>
  </si>
  <si>
    <t>counted once</t>
  </si>
  <si>
    <t>Total</t>
  </si>
  <si>
    <t>releases + foundation once</t>
  </si>
  <si>
    <t>Sum of standalone plans</t>
  </si>
  <si>
    <t>foundation counted in every release that shares it</t>
  </si>
  <si>
    <t>Double count avoided</t>
  </si>
  <si>
    <t>standalone sum − total</t>
  </si>
  <si>
    <t>Input</t>
  </si>
  <si>
    <t>Value</t>
  </si>
  <si>
    <t>Unit</t>
  </si>
  <si>
    <t>Friction factor</t>
  </si>
  <si>
    <t>multiplier</t>
  </si>
  <si>
    <t>[A:DL13] synthetic demo benchmark</t>
  </si>
  <si>
    <t>Productive share</t>
  </si>
  <si>
    <t>share of paid hours</t>
  </si>
  <si>
    <t>[A:DL14] synthetic demo benchmark</t>
  </si>
  <si>
    <t>paid hours</t>
  </si>
  <si>
    <t>[A:DL15] synthetic demo benchmark</t>
  </si>
  <si>
    <t>ROM structure (caller)</t>
  </si>
  <si>
    <t>Delivery location</t>
  </si>
  <si>
    <t>cost foundation: pricing_delivery_locations</t>
  </si>
  <si>
    <t>cost foundation: pricing_provider_classes</t>
  </si>
  <si>
    <t>Pod</t>
  </si>
  <si>
    <t>ROM-EXPLICIT-POD</t>
  </si>
  <si>
    <t>ROM structure (caller-specified members)</t>
  </si>
  <si>
    <t>AI productivity credit</t>
  </si>
  <si>
    <t>none applied</t>
  </si>
  <si>
    <t>ROM policy: no credit unless explicitly requested</t>
  </si>
  <si>
    <t>Rate approval status</t>
  </si>
  <si>
    <t>planning rates, not approved</t>
  </si>
  <si>
    <t>Review every role band and delivery mapping before estimate approval</t>
  </si>
  <si>
    <t>Release R1 design status</t>
  </si>
  <si>
    <t>Release R1 range low</t>
  </si>
  <si>
    <t>ROM policy ROM-NOT-DESIGNED: not-designed band</t>
  </si>
  <si>
    <t>Release R1 range high</t>
  </si>
  <si>
    <t>Release R2 design status</t>
  </si>
  <si>
    <t>Release R2 range low</t>
  </si>
  <si>
    <t>Release R2 range high</t>
  </si>
  <si>
    <t>Foundation FOUNDATION design status</t>
  </si>
  <si>
    <t>Foundation FOUNDATION range low</t>
  </si>
  <si>
    <t>Foundation FOUNDATION range high</t>
  </si>
  <si>
    <t>Unit hours: data_source_count</t>
  </si>
  <si>
    <t>hours per unit</t>
  </si>
  <si>
    <t>Unit hours: source_table_count</t>
  </si>
  <si>
    <t>Unit hours: standard_data_entity_count</t>
  </si>
  <si>
    <t>Unit hours: dashboard_view_count</t>
  </si>
  <si>
    <t>Unit hours: design_row_count</t>
  </si>
  <si>
    <t>Unit hours: validation_row_count</t>
  </si>
  <si>
    <t>Count: UC-1 data_source_count</t>
  </si>
  <si>
    <t>units</t>
  </si>
  <si>
    <t>Count: UC-1 source_table_count</t>
  </si>
  <si>
    <t>Count: UC-1 standard_data_entity_count</t>
  </si>
  <si>
    <t>Count: UC-1 dashboard_view_count</t>
  </si>
  <si>
    <t>Count: UC-1 design_row_count</t>
  </si>
  <si>
    <t>Count: UC-1 validation_row_count</t>
  </si>
  <si>
    <t>Count: UC-2 data_source_count</t>
  </si>
  <si>
    <t>Count: UC-2 source_table_count</t>
  </si>
  <si>
    <t>Count: UC-2 standard_data_entity_count</t>
  </si>
  <si>
    <t>Count: UC-2 dashboard_view_count</t>
  </si>
  <si>
    <t>Count: UC-2 design_row_count</t>
  </si>
  <si>
    <t>Count: UC-2 validation_row_count</t>
  </si>
  <si>
    <t>Count: FOUNDATION data_source_count</t>
  </si>
  <si>
    <t>Count: FOUNDATION source_table_count</t>
  </si>
  <si>
    <t>Count: FOUNDATION standard_data_entity_count</t>
  </si>
  <si>
    <t>Count: FOUNDATION dashboard_view_count</t>
  </si>
  <si>
    <t>Count: FOUNDATION design_row_count</t>
  </si>
  <si>
    <t>Count: FOUNDATION validation_row_count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</si>
</sst>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FormatPr defaultRowHeight="15" outlineLevelRow="0" outlineLevelCol="0" x14ac:dyDescent="55"/>
  <cols>
    <col min="1" max="10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0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>
        <v>20</v>
      </c>
      <c r="F5">
        <f>'Component Library'!$C$2</f>
        <v>36</v>
      </c>
      <c r="G5">
        <f>'Assumptions'!$B$2</f>
        <v>1.18</v>
      </c>
      <c r="H5">
        <f>ROUND(E5*F5*G5,4)</f>
        <v>849.6</v>
      </c>
      <c r="I5" t="s">
        <v>16</v>
      </c>
      <c r="J5" t="s">
        <v>17</v>
      </c>
    </row>
    <row r="6" spans="1:10" x14ac:dyDescent="0.25">
      <c r="A6" t="s">
        <v>12</v>
      </c>
      <c r="B6" t="s">
        <v>13</v>
      </c>
      <c r="C6" t="s">
        <v>14</v>
      </c>
      <c r="D6" t="s">
        <v>18</v>
      </c>
      <c r="E6">
        <v>80</v>
      </c>
      <c r="F6">
        <f>'Component Library'!$C$3</f>
        <v>8</v>
      </c>
      <c r="G6">
        <f>'Assumptions'!$B$2</f>
        <v>1.18</v>
      </c>
      <c r="H6">
        <f>ROUND(E6*F6*G6,4)</f>
        <v>755.2</v>
      </c>
      <c r="I6" t="s">
        <v>19</v>
      </c>
      <c r="J6" t="s">
        <v>17</v>
      </c>
    </row>
    <row r="7" spans="1:10" x14ac:dyDescent="0.25">
      <c r="A7" t="s">
        <v>12</v>
      </c>
      <c r="B7" t="s">
        <v>13</v>
      </c>
      <c r="C7" t="s">
        <v>14</v>
      </c>
      <c r="D7" t="s">
        <v>20</v>
      </c>
      <c r="E7">
        <v>55</v>
      </c>
      <c r="F7">
        <f>'Component Library'!$C$4</f>
        <v>28</v>
      </c>
      <c r="G7">
        <f>'Assumptions'!$B$2</f>
        <v>1.18</v>
      </c>
      <c r="H7">
        <f>ROUND(E7*F7*G7,4)</f>
        <v>1817.2</v>
      </c>
      <c r="I7" t="s">
        <v>21</v>
      </c>
      <c r="J7" t="s">
        <v>17</v>
      </c>
    </row>
    <row r="8" spans="1:10" x14ac:dyDescent="0.25">
      <c r="A8" t="s">
        <v>12</v>
      </c>
      <c r="B8" t="s">
        <v>13</v>
      </c>
      <c r="C8" t="s">
        <v>14</v>
      </c>
      <c r="D8" t="s">
        <v>22</v>
      </c>
      <c r="E8">
        <v>25</v>
      </c>
      <c r="F8">
        <f>'Component Library'!$C$5</f>
        <v>24</v>
      </c>
      <c r="G8">
        <f>'Assumptions'!$B$2</f>
        <v>1.18</v>
      </c>
      <c r="H8">
        <f>ROUND(E8*F8*G8,4)</f>
        <v>708</v>
      </c>
      <c r="I8" t="s">
        <v>23</v>
      </c>
      <c r="J8" t="s">
        <v>17</v>
      </c>
    </row>
    <row r="9" spans="1:10" x14ac:dyDescent="0.25">
      <c r="A9" t="s">
        <v>12</v>
      </c>
      <c r="B9" t="s">
        <v>13</v>
      </c>
      <c r="C9" t="s">
        <v>14</v>
      </c>
      <c r="D9" t="s">
        <v>24</v>
      </c>
      <c r="E9">
        <v>200</v>
      </c>
      <c r="F9">
        <f>'Component Library'!$C$6</f>
        <v>3</v>
      </c>
      <c r="G9">
        <f>'Assumptions'!$B$2</f>
        <v>1.18</v>
      </c>
      <c r="H9">
        <f>ROUND(E9*F9*G9,4)</f>
        <v>708</v>
      </c>
      <c r="I9" t="s">
        <v>25</v>
      </c>
      <c r="J9" t="s">
        <v>17</v>
      </c>
    </row>
    <row r="10" spans="1:10" x14ac:dyDescent="0.25">
      <c r="A10" t="s">
        <v>12</v>
      </c>
      <c r="B10" t="s">
        <v>13</v>
      </c>
      <c r="C10" t="s">
        <v>14</v>
      </c>
      <c r="D10" t="s">
        <v>26</v>
      </c>
      <c r="E10">
        <v>255</v>
      </c>
      <c r="F10">
        <f>'Component Library'!$C$7</f>
        <v>2</v>
      </c>
      <c r="G10">
        <f>'Assumptions'!$B$2</f>
        <v>1.18</v>
      </c>
      <c r="H10">
        <f>ROUND(E10*F10*G10,4)</f>
        <v>601.8</v>
      </c>
      <c r="I10" t="s">
        <v>27</v>
      </c>
      <c r="J10" t="s">
        <v>17</v>
      </c>
    </row>
    <row r="11" spans="1:10" x14ac:dyDescent="0.25">
      <c r="A11" t="s">
        <v>12</v>
      </c>
      <c r="B11" t="s">
        <v>28</v>
      </c>
      <c r="C11" t="s">
        <v>29</v>
      </c>
      <c r="D11" t="s">
        <v>15</v>
      </c>
      <c r="E11">
        <v>18</v>
      </c>
      <c r="F11">
        <f>'Component Library'!$C$2</f>
        <v>36</v>
      </c>
      <c r="G11">
        <f>'Assumptions'!$B$2</f>
        <v>1.18</v>
      </c>
      <c r="H11">
        <f>ROUND(E11*F11*G11,4)</f>
        <v>764.64</v>
      </c>
      <c r="I11" t="s">
        <v>16</v>
      </c>
      <c r="J11" t="s">
        <v>17</v>
      </c>
    </row>
    <row r="12" spans="1:10" x14ac:dyDescent="0.25">
      <c r="A12" t="s">
        <v>12</v>
      </c>
      <c r="B12" t="s">
        <v>28</v>
      </c>
      <c r="C12" t="s">
        <v>29</v>
      </c>
      <c r="D12" t="s">
        <v>18</v>
      </c>
      <c r="E12">
        <v>80</v>
      </c>
      <c r="F12">
        <f>'Component Library'!$C$3</f>
        <v>8</v>
      </c>
      <c r="G12">
        <f>'Assumptions'!$B$2</f>
        <v>1.18</v>
      </c>
      <c r="H12">
        <f>ROUND(E12*F12*G12,4)</f>
        <v>755.2</v>
      </c>
      <c r="I12" t="s">
        <v>19</v>
      </c>
      <c r="J12" t="s">
        <v>17</v>
      </c>
    </row>
    <row r="13" spans="1:10" x14ac:dyDescent="0.25">
      <c r="A13" t="s">
        <v>12</v>
      </c>
      <c r="B13" t="s">
        <v>28</v>
      </c>
      <c r="C13" t="s">
        <v>29</v>
      </c>
      <c r="D13" t="s">
        <v>20</v>
      </c>
      <c r="E13">
        <v>45</v>
      </c>
      <c r="F13">
        <f>'Component Library'!$C$4</f>
        <v>28</v>
      </c>
      <c r="G13">
        <f>'Assumptions'!$B$2</f>
        <v>1.18</v>
      </c>
      <c r="H13">
        <f>ROUND(E13*F13*G13,4)</f>
        <v>1486.8</v>
      </c>
      <c r="I13" t="s">
        <v>21</v>
      </c>
      <c r="J13" t="s">
        <v>17</v>
      </c>
    </row>
    <row r="14" spans="1:10" x14ac:dyDescent="0.25">
      <c r="A14" t="s">
        <v>12</v>
      </c>
      <c r="B14" t="s">
        <v>28</v>
      </c>
      <c r="C14" t="s">
        <v>29</v>
      </c>
      <c r="D14" t="s">
        <v>22</v>
      </c>
      <c r="E14">
        <v>30</v>
      </c>
      <c r="F14">
        <f>'Component Library'!$C$5</f>
        <v>24</v>
      </c>
      <c r="G14">
        <f>'Assumptions'!$B$2</f>
        <v>1.18</v>
      </c>
      <c r="H14">
        <f>ROUND(E14*F14*G14,4)</f>
        <v>849.6</v>
      </c>
      <c r="I14" t="s">
        <v>23</v>
      </c>
      <c r="J14" t="s">
        <v>17</v>
      </c>
    </row>
    <row r="15" spans="1:10" x14ac:dyDescent="0.25">
      <c r="A15" t="s">
        <v>12</v>
      </c>
      <c r="B15" t="s">
        <v>28</v>
      </c>
      <c r="C15" t="s">
        <v>29</v>
      </c>
      <c r="D15" t="s">
        <v>24</v>
      </c>
      <c r="E15">
        <v>150</v>
      </c>
      <c r="F15">
        <f>'Component Library'!$C$6</f>
        <v>3</v>
      </c>
      <c r="G15">
        <f>'Assumptions'!$B$2</f>
        <v>1.18</v>
      </c>
      <c r="H15">
        <f>ROUND(E15*F15*G15,4)</f>
        <v>531</v>
      </c>
      <c r="I15" t="s">
        <v>25</v>
      </c>
      <c r="J15" t="s">
        <v>17</v>
      </c>
    </row>
    <row r="16" spans="1:10" x14ac:dyDescent="0.25">
      <c r="A16" t="s">
        <v>12</v>
      </c>
      <c r="B16" t="s">
        <v>28</v>
      </c>
      <c r="C16" t="s">
        <v>29</v>
      </c>
      <c r="D16" t="s">
        <v>26</v>
      </c>
      <c r="E16">
        <v>220</v>
      </c>
      <c r="F16">
        <f>'Component Library'!$C$7</f>
        <v>2</v>
      </c>
      <c r="G16">
        <f>'Assumptions'!$B$2</f>
        <v>1.18</v>
      </c>
      <c r="H16">
        <f>ROUND(E16*F16*G16,4)</f>
        <v>519.2</v>
      </c>
      <c r="I16" t="s">
        <v>27</v>
      </c>
      <c r="J16" t="s">
        <v>17</v>
      </c>
    </row>
    <row r="17" spans="1:10" x14ac:dyDescent="0.25">
      <c r="A17" t="s">
        <v>30</v>
      </c>
      <c r="B17" t="s">
        <v>31</v>
      </c>
      <c r="C17" t="s">
        <v>32</v>
      </c>
      <c r="D17" t="s">
        <v>15</v>
      </c>
      <c r="E17">
        <v>8</v>
      </c>
      <c r="F17">
        <f>'Component Library'!$C$2</f>
        <v>36</v>
      </c>
      <c r="G17">
        <f>'Assumptions'!$B$2</f>
        <v>1.18</v>
      </c>
      <c r="H17">
        <f>ROUND(E17*F17*G17,4)</f>
        <v>339.84</v>
      </c>
      <c r="I17" t="s">
        <v>16</v>
      </c>
      <c r="J17" t="s">
        <v>17</v>
      </c>
    </row>
    <row r="18" spans="1:10" x14ac:dyDescent="0.25">
      <c r="A18" t="s">
        <v>30</v>
      </c>
      <c r="B18" t="s">
        <v>31</v>
      </c>
      <c r="C18" t="s">
        <v>32</v>
      </c>
      <c r="D18" t="s">
        <v>18</v>
      </c>
      <c r="E18">
        <v>65</v>
      </c>
      <c r="F18">
        <f>'Component Library'!$C$3</f>
        <v>8</v>
      </c>
      <c r="G18">
        <f>'Assumptions'!$B$2</f>
        <v>1.18</v>
      </c>
      <c r="H18">
        <f>ROUND(E18*F18*G18,4)</f>
        <v>613.6</v>
      </c>
      <c r="I18" t="s">
        <v>19</v>
      </c>
      <c r="J18" t="s">
        <v>17</v>
      </c>
    </row>
    <row r="19" spans="1:10" x14ac:dyDescent="0.25">
      <c r="A19" t="s">
        <v>30</v>
      </c>
      <c r="B19" t="s">
        <v>31</v>
      </c>
      <c r="C19" t="s">
        <v>32</v>
      </c>
      <c r="D19" t="s">
        <v>20</v>
      </c>
      <c r="E19">
        <v>20</v>
      </c>
      <c r="F19">
        <f>'Component Library'!$C$4</f>
        <v>28</v>
      </c>
      <c r="G19">
        <f>'Assumptions'!$B$2</f>
        <v>1.18</v>
      </c>
      <c r="H19">
        <f>ROUND(E19*F19*G19,4)</f>
        <v>660.8</v>
      </c>
      <c r="I19" t="s">
        <v>21</v>
      </c>
      <c r="J19" t="s">
        <v>17</v>
      </c>
    </row>
    <row r="20" spans="1:10" x14ac:dyDescent="0.25">
      <c r="A20" t="s">
        <v>30</v>
      </c>
      <c r="B20" t="s">
        <v>31</v>
      </c>
      <c r="C20" t="s">
        <v>32</v>
      </c>
      <c r="D20" t="s">
        <v>22</v>
      </c>
      <c r="E20">
        <v>8</v>
      </c>
      <c r="F20">
        <f>'Component Library'!$C$5</f>
        <v>24</v>
      </c>
      <c r="G20">
        <f>'Assumptions'!$B$2</f>
        <v>1.18</v>
      </c>
      <c r="H20">
        <f>ROUND(E20*F20*G20,4)</f>
        <v>226.56</v>
      </c>
      <c r="I20" t="s">
        <v>23</v>
      </c>
      <c r="J20" t="s">
        <v>17</v>
      </c>
    </row>
    <row r="21" spans="1:10" x14ac:dyDescent="0.25">
      <c r="A21" t="s">
        <v>30</v>
      </c>
      <c r="B21" t="s">
        <v>31</v>
      </c>
      <c r="C21" t="s">
        <v>32</v>
      </c>
      <c r="D21" t="s">
        <v>24</v>
      </c>
      <c r="E21">
        <v>100</v>
      </c>
      <c r="F21">
        <f>'Component Library'!$C$6</f>
        <v>3</v>
      </c>
      <c r="G21">
        <f>'Assumptions'!$B$2</f>
        <v>1.18</v>
      </c>
      <c r="H21">
        <f>ROUND(E21*F21*G21,4)</f>
        <v>354</v>
      </c>
      <c r="I21" t="s">
        <v>25</v>
      </c>
      <c r="J21" t="s">
        <v>17</v>
      </c>
    </row>
    <row r="22" spans="1:10" x14ac:dyDescent="0.25">
      <c r="A22" t="s">
        <v>30</v>
      </c>
      <c r="B22" t="s">
        <v>31</v>
      </c>
      <c r="C22" t="s">
        <v>32</v>
      </c>
      <c r="D22" t="s">
        <v>26</v>
      </c>
      <c r="E22">
        <v>130</v>
      </c>
      <c r="F22">
        <f>'Component Library'!$C$7</f>
        <v>2</v>
      </c>
      <c r="G22">
        <f>'Assumptions'!$B$2</f>
        <v>1.18</v>
      </c>
      <c r="H22">
        <f>ROUND(E22*F22*G22,4)</f>
        <v>306.8</v>
      </c>
      <c r="I22" t="s">
        <v>27</v>
      </c>
      <c r="J22" t="s">
        <v>17</v>
      </c>
    </row>
    <row r="24" spans="1:8" s="2" customFormat="1" x14ac:dyDescent="0.25">
      <c r="A24" s="3" t="s">
        <v>33</v>
      </c>
      <c r="B24" s="3" t="s">
        <v>3</v>
      </c>
      <c r="C24" s="3" t="s">
        <v>4</v>
      </c>
      <c r="D24" s="3" t="s">
        <v>34</v>
      </c>
      <c r="E24" s="3" t="s">
        <v>34</v>
      </c>
      <c r="F24" s="3" t="s">
        <v>34</v>
      </c>
      <c r="G24" s="3" t="s">
        <v>34</v>
      </c>
      <c r="H24" s="3" t="s">
        <v>9</v>
      </c>
    </row>
    <row r="25" spans="1:8" x14ac:dyDescent="0.25">
      <c r="A25" t="s">
        <v>12</v>
      </c>
      <c r="B25" t="s">
        <v>13</v>
      </c>
      <c r="C25" t="s">
        <v>14</v>
      </c>
      <c r="H25">
        <f>ROUND(SUM(H5:H10),4)</f>
        <v>5439.8</v>
      </c>
    </row>
    <row r="26" spans="1:8" x14ac:dyDescent="0.25">
      <c r="A26" t="s">
        <v>12</v>
      </c>
      <c r="B26" t="s">
        <v>28</v>
      </c>
      <c r="C26" t="s">
        <v>29</v>
      </c>
      <c r="H26">
        <f>ROUND(SUM(H11:H16),4)</f>
        <v>4906.44</v>
      </c>
    </row>
    <row r="27" spans="1:8" x14ac:dyDescent="0.25">
      <c r="A27" t="s">
        <v>30</v>
      </c>
      <c r="B27" t="s">
        <v>31</v>
      </c>
      <c r="C27" t="s">
        <v>32</v>
      </c>
      <c r="H27">
        <f>ROUND(SUM(H17:H22),4)</f>
        <v>2501.6</v>
      </c>
    </row>
    <row r="29" spans="1:3" s="2" customFormat="1" x14ac:dyDescent="0.25">
      <c r="A29" s="3" t="s">
        <v>35</v>
      </c>
      <c r="B29" s="3" t="s">
        <v>36</v>
      </c>
      <c r="C29" s="3" t="s">
        <v>37</v>
      </c>
    </row>
    <row r="30" spans="1:2" x14ac:dyDescent="0.25">
      <c r="A30" t="s">
        <v>38</v>
      </c>
      <c r="B30">
        <f>ROUND(H25,4)</f>
        <v>5439.8</v>
      </c>
    </row>
    <row r="31" spans="1:2" x14ac:dyDescent="0.25">
      <c r="A31" t="s">
        <v>39</v>
      </c>
      <c r="B31">
        <f>B30/'Assumptions'!$B$3</f>
        <v>7999.7058823529405</v>
      </c>
    </row>
    <row r="32" spans="1:2" x14ac:dyDescent="0.25">
      <c r="A32" t="s">
        <v>40</v>
      </c>
      <c r="B32">
        <f>'Pod &amp; Rates'!$F$6</f>
        <v>10</v>
      </c>
    </row>
    <row r="33" spans="1:2" x14ac:dyDescent="0.25">
      <c r="A33" t="s">
        <v>41</v>
      </c>
      <c r="B33">
        <f>ROUND(B32*'Assumptions'!$B$4*'Assumptions'!$B$3,4)</f>
        <v>272</v>
      </c>
    </row>
    <row r="34" spans="1:2" x14ac:dyDescent="0.25">
      <c r="A34" t="s">
        <v>42</v>
      </c>
      <c r="B34">
        <f>IF(ABS(B30/B33-ROUND(B30/B33,0))&lt;=1E-9,ROUND(B30/B33,0),CEILING(B30/B33,1))</f>
        <v>20</v>
      </c>
    </row>
    <row r="35" spans="1:10" s="2" customFormat="1" x14ac:dyDescent="0.25">
      <c r="A35" s="3" t="s">
        <v>43</v>
      </c>
      <c r="B35" s="3" t="s">
        <v>44</v>
      </c>
      <c r="C35" s="3" t="s">
        <v>45</v>
      </c>
      <c r="D35" s="3" t="s">
        <v>46</v>
      </c>
      <c r="E35" s="3" t="s">
        <v>47</v>
      </c>
      <c r="F35" s="3" t="s">
        <v>48</v>
      </c>
      <c r="G35" s="3" t="s">
        <v>49</v>
      </c>
      <c r="H35" s="3" t="s">
        <v>50</v>
      </c>
      <c r="I35" s="3" t="s">
        <v>51</v>
      </c>
      <c r="J35" s="3" t="s">
        <v>52</v>
      </c>
    </row>
    <row r="36" spans="1:10" x14ac:dyDescent="0.25">
      <c r="A36">
        <v>1</v>
      </c>
      <c r="B36" t="s">
        <v>53</v>
      </c>
      <c r="C36" t="s">
        <v>54</v>
      </c>
      <c r="D36">
        <f>'Pod &amp; Rates'!$F$2</f>
        <v>1</v>
      </c>
      <c r="E36">
        <f>$B$34</f>
        <v>20</v>
      </c>
      <c r="F36">
        <f>'Assumptions'!$B$4</f>
        <v>40</v>
      </c>
      <c r="G36">
        <f>ROUND(D36*E36*F36,4)</f>
        <v>800</v>
      </c>
      <c r="H36">
        <f>'Pod &amp; Rates'!$M$2</f>
        <v>40625</v>
      </c>
      <c r="I36">
        <f>ROUND(G36*H36,0)</f>
        <v>32500000</v>
      </c>
      <c r="J36" t="s">
        <v>55</v>
      </c>
    </row>
    <row r="37" spans="1:10" x14ac:dyDescent="0.25">
      <c r="A37">
        <v>2</v>
      </c>
      <c r="B37" t="s">
        <v>56</v>
      </c>
      <c r="C37" t="s">
        <v>57</v>
      </c>
      <c r="D37">
        <f>'Pod &amp; Rates'!$F$3</f>
        <v>1</v>
      </c>
      <c r="E37">
        <f>$B$34</f>
        <v>20</v>
      </c>
      <c r="F37">
        <f>'Assumptions'!$B$4</f>
        <v>40</v>
      </c>
      <c r="G37">
        <f>ROUND(D37*E37*F37,4)</f>
        <v>800</v>
      </c>
      <c r="H37">
        <f>'Pod &amp; Rates'!$M$3</f>
        <v>34938</v>
      </c>
      <c r="I37">
        <f>ROUND(G37*H37,0)</f>
        <v>27950400</v>
      </c>
      <c r="J37" t="s">
        <v>55</v>
      </c>
    </row>
    <row r="38" spans="1:10" x14ac:dyDescent="0.25">
      <c r="A38">
        <v>3</v>
      </c>
      <c r="B38" t="s">
        <v>58</v>
      </c>
      <c r="C38" t="s">
        <v>59</v>
      </c>
      <c r="D38">
        <f>'Pod &amp; Rates'!$F$4</f>
        <v>6</v>
      </c>
      <c r="E38">
        <f>$B$34</f>
        <v>20</v>
      </c>
      <c r="F38">
        <f>'Assumptions'!$B$4</f>
        <v>40</v>
      </c>
      <c r="G38">
        <f>ROUND(D38*E38*F38,4)</f>
        <v>4800</v>
      </c>
      <c r="H38">
        <f>'Pod &amp; Rates'!$M$4</f>
        <v>29250</v>
      </c>
      <c r="I38">
        <f>ROUND(G38*H38,0)</f>
        <v>140400000</v>
      </c>
      <c r="J38" t="s">
        <v>55</v>
      </c>
    </row>
    <row r="39" spans="1:10" x14ac:dyDescent="0.25">
      <c r="A39">
        <v>4</v>
      </c>
      <c r="B39" t="s">
        <v>60</v>
      </c>
      <c r="C39" t="s">
        <v>59</v>
      </c>
      <c r="D39">
        <f>'Pod &amp; Rates'!$F$5</f>
        <v>2</v>
      </c>
      <c r="E39">
        <f>$B$34</f>
        <v>20</v>
      </c>
      <c r="F39">
        <f>'Assumptions'!$B$4</f>
        <v>40</v>
      </c>
      <c r="G39">
        <f>ROUND(D39*E39*F39,4)</f>
        <v>1600</v>
      </c>
      <c r="H39">
        <f>'Pod &amp; Rates'!$M$5</f>
        <v>24750</v>
      </c>
      <c r="I39">
        <f>ROUND(G39*H39,0)</f>
        <v>39600000</v>
      </c>
      <c r="J39" t="s">
        <v>55</v>
      </c>
    </row>
    <row r="40" spans="1:2" x14ac:dyDescent="0.25">
      <c r="A40" t="s">
        <v>61</v>
      </c>
      <c r="B40">
        <f>SUM(I36:I39)</f>
        <v>240450400</v>
      </c>
    </row>
    <row r="41" spans="1:2" x14ac:dyDescent="0.25">
      <c r="A41" t="s">
        <v>62</v>
      </c>
      <c r="B41">
        <f>'Assumptions'!$B$12</f>
        <v>0.75</v>
      </c>
    </row>
    <row r="42" spans="1:2" x14ac:dyDescent="0.25">
      <c r="A42" t="s">
        <v>63</v>
      </c>
      <c r="B42">
        <f>'Assumptions'!$B$13</f>
        <v>1.5</v>
      </c>
    </row>
    <row r="43" spans="1:2" x14ac:dyDescent="0.25">
      <c r="A43" t="s">
        <v>64</v>
      </c>
      <c r="B43">
        <f>ROUND(B40*B41,0)</f>
        <v>180337800</v>
      </c>
    </row>
    <row r="44" spans="1:2" x14ac:dyDescent="0.25">
      <c r="A44" t="s">
        <v>65</v>
      </c>
      <c r="B44">
        <f>ROUND(B40*B42,0)</f>
        <v>360675600</v>
      </c>
    </row>
    <row r="46" spans="1:3" s="2" customFormat="1" x14ac:dyDescent="0.25">
      <c r="A46" s="3" t="s">
        <v>66</v>
      </c>
      <c r="B46" s="3" t="s">
        <v>67</v>
      </c>
      <c r="C46" s="3" t="s">
        <v>37</v>
      </c>
    </row>
    <row r="47" spans="1:2" x14ac:dyDescent="0.25">
      <c r="A47" t="s">
        <v>38</v>
      </c>
      <c r="B47">
        <f>ROUND(H26,4)</f>
        <v>4906.44</v>
      </c>
    </row>
    <row r="48" spans="1:2" x14ac:dyDescent="0.25">
      <c r="A48" t="s">
        <v>39</v>
      </c>
      <c r="B48">
        <f>B47/'Assumptions'!$B$3</f>
        <v>7215.352941176469</v>
      </c>
    </row>
    <row r="49" spans="1:2" x14ac:dyDescent="0.25">
      <c r="A49" t="s">
        <v>40</v>
      </c>
      <c r="B49">
        <f>'Pod &amp; Rates'!$F$6</f>
        <v>10</v>
      </c>
    </row>
    <row r="50" spans="1:2" x14ac:dyDescent="0.25">
      <c r="A50" t="s">
        <v>41</v>
      </c>
      <c r="B50">
        <f>ROUND(B49*'Assumptions'!$B$4*'Assumptions'!$B$3,4)</f>
        <v>272</v>
      </c>
    </row>
    <row r="51" spans="1:2" x14ac:dyDescent="0.25">
      <c r="A51" t="s">
        <v>42</v>
      </c>
      <c r="B51">
        <f>IF(ABS(B47/B50-ROUND(B47/B50,0))&lt;=1E-9,ROUND(B47/B50,0),CEILING(B47/B50,1))</f>
        <v>19</v>
      </c>
    </row>
    <row r="52" spans="1:10" s="2" customFormat="1" x14ac:dyDescent="0.25">
      <c r="A52" s="3" t="s">
        <v>43</v>
      </c>
      <c r="B52" s="3" t="s">
        <v>44</v>
      </c>
      <c r="C52" s="3" t="s">
        <v>45</v>
      </c>
      <c r="D52" s="3" t="s">
        <v>46</v>
      </c>
      <c r="E52" s="3" t="s">
        <v>47</v>
      </c>
      <c r="F52" s="3" t="s">
        <v>48</v>
      </c>
      <c r="G52" s="3" t="s">
        <v>49</v>
      </c>
      <c r="H52" s="3" t="s">
        <v>50</v>
      </c>
      <c r="I52" s="3" t="s">
        <v>51</v>
      </c>
      <c r="J52" s="3" t="s">
        <v>52</v>
      </c>
    </row>
    <row r="53" spans="1:10" x14ac:dyDescent="0.25">
      <c r="A53">
        <v>1</v>
      </c>
      <c r="B53" t="s">
        <v>53</v>
      </c>
      <c r="C53" t="s">
        <v>54</v>
      </c>
      <c r="D53">
        <f>'Pod &amp; Rates'!$F$2</f>
        <v>1</v>
      </c>
      <c r="E53">
        <f>$B$51</f>
        <v>19</v>
      </c>
      <c r="F53">
        <f>'Assumptions'!$B$4</f>
        <v>40</v>
      </c>
      <c r="G53">
        <f>ROUND(D53*E53*F53,4)</f>
        <v>760</v>
      </c>
      <c r="H53">
        <f>'Pod &amp; Rates'!$M$2</f>
        <v>40625</v>
      </c>
      <c r="I53">
        <f>ROUND(G53*H53,0)</f>
        <v>30875000</v>
      </c>
      <c r="J53" t="s">
        <v>55</v>
      </c>
    </row>
    <row r="54" spans="1:10" x14ac:dyDescent="0.25">
      <c r="A54">
        <v>2</v>
      </c>
      <c r="B54" t="s">
        <v>56</v>
      </c>
      <c r="C54" t="s">
        <v>57</v>
      </c>
      <c r="D54">
        <f>'Pod &amp; Rates'!$F$3</f>
        <v>1</v>
      </c>
      <c r="E54">
        <f>$B$51</f>
        <v>19</v>
      </c>
      <c r="F54">
        <f>'Assumptions'!$B$4</f>
        <v>40</v>
      </c>
      <c r="G54">
        <f>ROUND(D54*E54*F54,4)</f>
        <v>760</v>
      </c>
      <c r="H54">
        <f>'Pod &amp; Rates'!$M$3</f>
        <v>34938</v>
      </c>
      <c r="I54">
        <f>ROUND(G54*H54,0)</f>
        <v>26552880</v>
      </c>
      <c r="J54" t="s">
        <v>55</v>
      </c>
    </row>
    <row r="55" spans="1:10" x14ac:dyDescent="0.25">
      <c r="A55">
        <v>3</v>
      </c>
      <c r="B55" t="s">
        <v>58</v>
      </c>
      <c r="C55" t="s">
        <v>59</v>
      </c>
      <c r="D55">
        <f>'Pod &amp; Rates'!$F$4</f>
        <v>6</v>
      </c>
      <c r="E55">
        <f>$B$51</f>
        <v>19</v>
      </c>
      <c r="F55">
        <f>'Assumptions'!$B$4</f>
        <v>40</v>
      </c>
      <c r="G55">
        <f>ROUND(D55*E55*F55,4)</f>
        <v>4560</v>
      </c>
      <c r="H55">
        <f>'Pod &amp; Rates'!$M$4</f>
        <v>29250</v>
      </c>
      <c r="I55">
        <f>ROUND(G55*H55,0)</f>
        <v>133380000</v>
      </c>
      <c r="J55" t="s">
        <v>55</v>
      </c>
    </row>
    <row r="56" spans="1:10" x14ac:dyDescent="0.25">
      <c r="A56">
        <v>4</v>
      </c>
      <c r="B56" t="s">
        <v>60</v>
      </c>
      <c r="C56" t="s">
        <v>59</v>
      </c>
      <c r="D56">
        <f>'Pod &amp; Rates'!$F$5</f>
        <v>2</v>
      </c>
      <c r="E56">
        <f>$B$51</f>
        <v>19</v>
      </c>
      <c r="F56">
        <f>'Assumptions'!$B$4</f>
        <v>40</v>
      </c>
      <c r="G56">
        <f>ROUND(D56*E56*F56,4)</f>
        <v>1520</v>
      </c>
      <c r="H56">
        <f>'Pod &amp; Rates'!$M$5</f>
        <v>24750</v>
      </c>
      <c r="I56">
        <f>ROUND(G56*H56,0)</f>
        <v>37620000</v>
      </c>
      <c r="J56" t="s">
        <v>55</v>
      </c>
    </row>
    <row r="57" spans="1:2" x14ac:dyDescent="0.25">
      <c r="A57" t="s">
        <v>61</v>
      </c>
      <c r="B57">
        <f>SUM(I53:I56)</f>
        <v>228427880</v>
      </c>
    </row>
    <row r="58" spans="1:2" x14ac:dyDescent="0.25">
      <c r="A58" t="s">
        <v>62</v>
      </c>
      <c r="B58">
        <f>'Assumptions'!$B$15</f>
        <v>0.75</v>
      </c>
    </row>
    <row r="59" spans="1:2" x14ac:dyDescent="0.25">
      <c r="A59" t="s">
        <v>63</v>
      </c>
      <c r="B59">
        <f>'Assumptions'!$B$16</f>
        <v>1.5</v>
      </c>
    </row>
    <row r="60" spans="1:2" x14ac:dyDescent="0.25">
      <c r="A60" t="s">
        <v>64</v>
      </c>
      <c r="B60">
        <f>ROUND(B57*B58,0)</f>
        <v>171320910</v>
      </c>
    </row>
    <row r="61" spans="1:2" x14ac:dyDescent="0.25">
      <c r="A61" t="s">
        <v>65</v>
      </c>
      <c r="B61">
        <f>ROUND(B57*B59,0)</f>
        <v>342641820</v>
      </c>
    </row>
    <row r="63" spans="1:3" s="2" customFormat="1" x14ac:dyDescent="0.25">
      <c r="A63" s="3" t="s">
        <v>68</v>
      </c>
      <c r="B63" s="3" t="s">
        <v>69</v>
      </c>
      <c r="C63" s="3" t="s">
        <v>37</v>
      </c>
    </row>
    <row r="64" spans="1:2" x14ac:dyDescent="0.25">
      <c r="A64" t="s">
        <v>38</v>
      </c>
      <c r="B64">
        <f>ROUND(H27,4)</f>
        <v>2501.6</v>
      </c>
    </row>
    <row r="65" spans="1:2" x14ac:dyDescent="0.25">
      <c r="A65" t="s">
        <v>39</v>
      </c>
      <c r="B65">
        <f>B64/'Assumptions'!$B$3</f>
        <v>3678.8235294117644</v>
      </c>
    </row>
    <row r="66" spans="1:2" x14ac:dyDescent="0.25">
      <c r="A66" t="s">
        <v>40</v>
      </c>
      <c r="B66">
        <f>'Pod &amp; Rates'!$F$6</f>
        <v>10</v>
      </c>
    </row>
    <row r="67" spans="1:2" x14ac:dyDescent="0.25">
      <c r="A67" t="s">
        <v>41</v>
      </c>
      <c r="B67">
        <f>ROUND(B66*'Assumptions'!$B$4*'Assumptions'!$B$3,4)</f>
        <v>272</v>
      </c>
    </row>
    <row r="68" spans="1:2" x14ac:dyDescent="0.25">
      <c r="A68" t="s">
        <v>42</v>
      </c>
      <c r="B68">
        <f>IF(ABS(B64/B67-ROUND(B64/B67,0))&lt;=1E-9,ROUND(B64/B67,0),CEILING(B64/B67,1))</f>
        <v>10</v>
      </c>
    </row>
    <row r="69" spans="1:10" s="2" customFormat="1" x14ac:dyDescent="0.25">
      <c r="A69" s="3" t="s">
        <v>43</v>
      </c>
      <c r="B69" s="3" t="s">
        <v>44</v>
      </c>
      <c r="C69" s="3" t="s">
        <v>45</v>
      </c>
      <c r="D69" s="3" t="s">
        <v>46</v>
      </c>
      <c r="E69" s="3" t="s">
        <v>47</v>
      </c>
      <c r="F69" s="3" t="s">
        <v>48</v>
      </c>
      <c r="G69" s="3" t="s">
        <v>49</v>
      </c>
      <c r="H69" s="3" t="s">
        <v>50</v>
      </c>
      <c r="I69" s="3" t="s">
        <v>51</v>
      </c>
      <c r="J69" s="3" t="s">
        <v>52</v>
      </c>
    </row>
    <row r="70" spans="1:10" x14ac:dyDescent="0.25">
      <c r="A70">
        <v>1</v>
      </c>
      <c r="B70" t="s">
        <v>53</v>
      </c>
      <c r="C70" t="s">
        <v>54</v>
      </c>
      <c r="D70">
        <f>'Pod &amp; Rates'!$F$2</f>
        <v>1</v>
      </c>
      <c r="E70">
        <f>$B$68</f>
        <v>10</v>
      </c>
      <c r="F70">
        <f>'Assumptions'!$B$4</f>
        <v>40</v>
      </c>
      <c r="G70">
        <f>ROUND(D70*E70*F70,4)</f>
        <v>400</v>
      </c>
      <c r="H70">
        <f>'Pod &amp; Rates'!$M$2</f>
        <v>40625</v>
      </c>
      <c r="I70">
        <f>ROUND(G70*H70,0)</f>
        <v>16250000</v>
      </c>
      <c r="J70" t="s">
        <v>55</v>
      </c>
    </row>
    <row r="71" spans="1:10" x14ac:dyDescent="0.25">
      <c r="A71">
        <v>2</v>
      </c>
      <c r="B71" t="s">
        <v>56</v>
      </c>
      <c r="C71" t="s">
        <v>57</v>
      </c>
      <c r="D71">
        <f>'Pod &amp; Rates'!$F$3</f>
        <v>1</v>
      </c>
      <c r="E71">
        <f>$B$68</f>
        <v>10</v>
      </c>
      <c r="F71">
        <f>'Assumptions'!$B$4</f>
        <v>40</v>
      </c>
      <c r="G71">
        <f>ROUND(D71*E71*F71,4)</f>
        <v>400</v>
      </c>
      <c r="H71">
        <f>'Pod &amp; Rates'!$M$3</f>
        <v>34938</v>
      </c>
      <c r="I71">
        <f>ROUND(G71*H71,0)</f>
        <v>13975200</v>
      </c>
      <c r="J71" t="s">
        <v>55</v>
      </c>
    </row>
    <row r="72" spans="1:10" x14ac:dyDescent="0.25">
      <c r="A72">
        <v>3</v>
      </c>
      <c r="B72" t="s">
        <v>58</v>
      </c>
      <c r="C72" t="s">
        <v>59</v>
      </c>
      <c r="D72">
        <f>'Pod &amp; Rates'!$F$4</f>
        <v>6</v>
      </c>
      <c r="E72">
        <f>$B$68</f>
        <v>10</v>
      </c>
      <c r="F72">
        <f>'Assumptions'!$B$4</f>
        <v>40</v>
      </c>
      <c r="G72">
        <f>ROUND(D72*E72*F72,4)</f>
        <v>2400</v>
      </c>
      <c r="H72">
        <f>'Pod &amp; Rates'!$M$4</f>
        <v>29250</v>
      </c>
      <c r="I72">
        <f>ROUND(G72*H72,0)</f>
        <v>70200000</v>
      </c>
      <c r="J72" t="s">
        <v>55</v>
      </c>
    </row>
    <row r="73" spans="1:10" x14ac:dyDescent="0.25">
      <c r="A73">
        <v>4</v>
      </c>
      <c r="B73" t="s">
        <v>60</v>
      </c>
      <c r="C73" t="s">
        <v>59</v>
      </c>
      <c r="D73">
        <f>'Pod &amp; Rates'!$F$5</f>
        <v>2</v>
      </c>
      <c r="E73">
        <f>$B$68</f>
        <v>10</v>
      </c>
      <c r="F73">
        <f>'Assumptions'!$B$4</f>
        <v>40</v>
      </c>
      <c r="G73">
        <f>ROUND(D73*E73*F73,4)</f>
        <v>800</v>
      </c>
      <c r="H73">
        <f>'Pod &amp; Rates'!$M$5</f>
        <v>24750</v>
      </c>
      <c r="I73">
        <f>ROUND(G73*H73,0)</f>
        <v>19800000</v>
      </c>
      <c r="J73" t="s">
        <v>55</v>
      </c>
    </row>
    <row r="74" spans="1:2" x14ac:dyDescent="0.25">
      <c r="A74" t="s">
        <v>61</v>
      </c>
      <c r="B74">
        <f>SUM(I70:I73)</f>
        <v>120225200</v>
      </c>
    </row>
    <row r="75" spans="1:2" x14ac:dyDescent="0.25">
      <c r="A75" t="s">
        <v>62</v>
      </c>
      <c r="B75">
        <f>'Assumptions'!$B$18</f>
        <v>0.75</v>
      </c>
    </row>
    <row r="76" spans="1:2" x14ac:dyDescent="0.25">
      <c r="A76" t="s">
        <v>63</v>
      </c>
      <c r="B76">
        <f>'Assumptions'!$B$19</f>
        <v>1.5</v>
      </c>
    </row>
    <row r="77" spans="1:2" x14ac:dyDescent="0.25">
      <c r="A77" t="s">
        <v>64</v>
      </c>
      <c r="B77">
        <f>ROUND(B74*B75,0)</f>
        <v>90168900</v>
      </c>
    </row>
    <row r="78" spans="1:2" x14ac:dyDescent="0.25">
      <c r="A78" t="s">
        <v>65</v>
      </c>
      <c r="B78">
        <f>ROUND(B74*B76,0)</f>
        <v>180337800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3" t="s">
        <v>5</v>
      </c>
      <c r="B1" s="3" t="s">
        <v>70</v>
      </c>
      <c r="C1" s="3" t="s">
        <v>7</v>
      </c>
      <c r="D1" s="3" t="s">
        <v>71</v>
      </c>
      <c r="E1" s="3" t="s">
        <v>11</v>
      </c>
    </row>
    <row r="2" spans="1:5" x14ac:dyDescent="0.25">
      <c r="A2" t="s">
        <v>15</v>
      </c>
      <c r="B2" t="s">
        <v>72</v>
      </c>
      <c r="C2">
        <v>36</v>
      </c>
      <c r="D2" t="s">
        <v>16</v>
      </c>
      <c r="E2" t="s">
        <v>17</v>
      </c>
    </row>
    <row r="3" spans="1:5" x14ac:dyDescent="0.25">
      <c r="A3" t="s">
        <v>18</v>
      </c>
      <c r="B3" t="s">
        <v>73</v>
      </c>
      <c r="C3">
        <v>8</v>
      </c>
      <c r="D3" t="s">
        <v>19</v>
      </c>
      <c r="E3" t="s">
        <v>17</v>
      </c>
    </row>
    <row r="4" spans="1:5" x14ac:dyDescent="0.25">
      <c r="A4" t="s">
        <v>20</v>
      </c>
      <c r="B4" t="s">
        <v>74</v>
      </c>
      <c r="C4">
        <v>28</v>
      </c>
      <c r="D4" t="s">
        <v>21</v>
      </c>
      <c r="E4" t="s">
        <v>17</v>
      </c>
    </row>
    <row r="5" spans="1:5" x14ac:dyDescent="0.25">
      <c r="A5" t="s">
        <v>22</v>
      </c>
      <c r="B5" t="s">
        <v>75</v>
      </c>
      <c r="C5">
        <v>24</v>
      </c>
      <c r="D5" t="s">
        <v>23</v>
      </c>
      <c r="E5" t="s">
        <v>17</v>
      </c>
    </row>
    <row r="6" spans="1:5" x14ac:dyDescent="0.25">
      <c r="A6" t="s">
        <v>24</v>
      </c>
      <c r="B6" t="s">
        <v>76</v>
      </c>
      <c r="C6">
        <v>3</v>
      </c>
      <c r="D6" t="s">
        <v>25</v>
      </c>
      <c r="E6" t="s">
        <v>17</v>
      </c>
    </row>
    <row r="7" spans="1:5" x14ac:dyDescent="0.25">
      <c r="A7" t="s">
        <v>26</v>
      </c>
      <c r="B7" t="s">
        <v>77</v>
      </c>
      <c r="C7">
        <v>2</v>
      </c>
      <c r="D7" t="s">
        <v>27</v>
      </c>
      <c r="E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6" customWidth="1"/>
    <col min="2" max="2" width="17" customWidth="1"/>
    <col min="3" max="3" width="12" customWidth="1"/>
    <col min="4" max="4" width="23" customWidth="1"/>
    <col min="5" max="5" width="17" customWidth="1"/>
    <col min="6" max="6" width="8" customWidth="1"/>
    <col min="7" max="7" width="18" customWidth="1"/>
    <col min="8" max="8" width="52" customWidth="1"/>
    <col min="9" max="9" width="18" customWidth="1"/>
    <col min="10" max="10" width="44" customWidth="1"/>
    <col min="11" max="11" width="18" customWidth="1"/>
    <col min="12" max="12" width="44" customWidth="1"/>
    <col min="13" max="15" width="18" customWidth="1"/>
    <col min="16" max="16" width="27" customWidth="1"/>
    <col min="17" max="17" width="62" customWidth="1"/>
    <col min="18" max="18" width="58" customWidth="1"/>
  </cols>
  <sheetData>
    <row r="1" ht="32" customHeight="1" spans="1:18" s="2" customFormat="1" x14ac:dyDescent="0.25">
      <c r="A1" s="3" t="s">
        <v>78</v>
      </c>
      <c r="B1" s="3" t="s">
        <v>44</v>
      </c>
      <c r="C1" s="3" t="s">
        <v>45</v>
      </c>
      <c r="D1" s="3" t="s">
        <v>79</v>
      </c>
      <c r="E1" s="3" t="s">
        <v>80</v>
      </c>
      <c r="F1" s="3" t="s">
        <v>46</v>
      </c>
      <c r="G1" s="3" t="s">
        <v>81</v>
      </c>
      <c r="H1" s="4" t="s">
        <v>82</v>
      </c>
      <c r="I1" s="3" t="s">
        <v>83</v>
      </c>
      <c r="J1" s="4" t="s">
        <v>84</v>
      </c>
      <c r="K1" s="3" t="s">
        <v>85</v>
      </c>
      <c r="L1" s="4" t="s">
        <v>86</v>
      </c>
      <c r="M1" s="3" t="s">
        <v>87</v>
      </c>
      <c r="N1" s="3" t="s">
        <v>88</v>
      </c>
      <c r="O1" s="3" t="s">
        <v>89</v>
      </c>
      <c r="P1" s="4" t="s">
        <v>52</v>
      </c>
      <c r="Q1" s="4" t="s">
        <v>90</v>
      </c>
      <c r="R1" s="4" t="s">
        <v>91</v>
      </c>
    </row>
    <row r="2" ht="96" customHeight="1" spans="1:18" x14ac:dyDescent="0.25">
      <c r="A2">
        <v>1</v>
      </c>
      <c r="B2" t="s">
        <v>53</v>
      </c>
      <c r="C2" t="s">
        <v>54</v>
      </c>
      <c r="D2" t="s">
        <v>92</v>
      </c>
      <c r="E2" t="s">
        <v>93</v>
      </c>
      <c r="F2">
        <v>1</v>
      </c>
      <c r="G2">
        <v>40625</v>
      </c>
      <c r="H2" s="5" t="s">
        <v>94</v>
      </c>
      <c r="I2">
        <v>1</v>
      </c>
      <c r="J2" s="5" t="s">
        <v>95</v>
      </c>
      <c r="K2">
        <v>1</v>
      </c>
      <c r="L2" s="5" t="s">
        <v>96</v>
      </c>
      <c r="M2">
        <f>ROUND(G2*I2*K2,0)</f>
        <v>40625</v>
      </c>
      <c r="N2">
        <f>M2/100</f>
        <v>406.25</v>
      </c>
      <c r="O2" t="s">
        <v>97</v>
      </c>
      <c r="P2" s="5" t="s">
        <v>55</v>
      </c>
      <c r="Q2" s="5" t="s">
        <v>98</v>
      </c>
      <c r="R2" s="5" t="s">
        <v>99</v>
      </c>
    </row>
    <row r="3" ht="96" customHeight="1" spans="1:18" x14ac:dyDescent="0.25">
      <c r="A3">
        <v>2</v>
      </c>
      <c r="B3" t="s">
        <v>56</v>
      </c>
      <c r="C3" t="s">
        <v>57</v>
      </c>
      <c r="D3" t="s">
        <v>92</v>
      </c>
      <c r="E3" t="s">
        <v>93</v>
      </c>
      <c r="F3">
        <v>1</v>
      </c>
      <c r="G3">
        <v>34938</v>
      </c>
      <c r="H3" s="5" t="s">
        <v>100</v>
      </c>
      <c r="I3">
        <v>1</v>
      </c>
      <c r="J3" s="5" t="s">
        <v>95</v>
      </c>
      <c r="K3">
        <v>1</v>
      </c>
      <c r="L3" s="5" t="s">
        <v>96</v>
      </c>
      <c r="M3">
        <f>ROUND(G3*I3*K3,0)</f>
        <v>34938</v>
      </c>
      <c r="N3">
        <f>M3/100</f>
        <v>349.38</v>
      </c>
      <c r="O3" t="s">
        <v>97</v>
      </c>
      <c r="P3" s="5" t="s">
        <v>55</v>
      </c>
      <c r="Q3" s="5" t="s">
        <v>101</v>
      </c>
      <c r="R3" s="5" t="s">
        <v>99</v>
      </c>
    </row>
    <row r="4" ht="96" customHeight="1" spans="1:18" x14ac:dyDescent="0.25">
      <c r="A4">
        <v>3</v>
      </c>
      <c r="B4" t="s">
        <v>58</v>
      </c>
      <c r="C4" t="s">
        <v>59</v>
      </c>
      <c r="D4" t="s">
        <v>92</v>
      </c>
      <c r="E4" t="s">
        <v>93</v>
      </c>
      <c r="F4">
        <v>6</v>
      </c>
      <c r="G4">
        <v>29250</v>
      </c>
      <c r="H4" s="5" t="s">
        <v>102</v>
      </c>
      <c r="I4">
        <v>1</v>
      </c>
      <c r="J4" s="5" t="s">
        <v>95</v>
      </c>
      <c r="K4">
        <v>1</v>
      </c>
      <c r="L4" s="5" t="s">
        <v>96</v>
      </c>
      <c r="M4">
        <f>ROUND(G4*I4*K4,0)</f>
        <v>29250</v>
      </c>
      <c r="N4">
        <f>M4/100</f>
        <v>292.5</v>
      </c>
      <c r="O4" t="s">
        <v>97</v>
      </c>
      <c r="P4" s="5" t="s">
        <v>55</v>
      </c>
      <c r="Q4" s="5" t="s">
        <v>103</v>
      </c>
      <c r="R4" s="5" t="s">
        <v>99</v>
      </c>
    </row>
    <row r="5" ht="96" customHeight="1" spans="1:18" x14ac:dyDescent="0.25">
      <c r="A5">
        <v>4</v>
      </c>
      <c r="B5" t="s">
        <v>60</v>
      </c>
      <c r="C5" t="s">
        <v>59</v>
      </c>
      <c r="D5" t="s">
        <v>92</v>
      </c>
      <c r="E5" t="s">
        <v>93</v>
      </c>
      <c r="F5">
        <v>2</v>
      </c>
      <c r="G5">
        <v>24750</v>
      </c>
      <c r="H5" s="5" t="s">
        <v>104</v>
      </c>
      <c r="I5">
        <v>1</v>
      </c>
      <c r="J5" s="5" t="s">
        <v>95</v>
      </c>
      <c r="K5">
        <v>1</v>
      </c>
      <c r="L5" s="5" t="s">
        <v>96</v>
      </c>
      <c r="M5">
        <f>ROUND(G5*I5*K5,0)</f>
        <v>24750</v>
      </c>
      <c r="N5">
        <f>M5/100</f>
        <v>247.5</v>
      </c>
      <c r="O5" t="s">
        <v>97</v>
      </c>
      <c r="P5" s="5" t="s">
        <v>55</v>
      </c>
      <c r="Q5" s="5" t="s">
        <v>105</v>
      </c>
      <c r="R5" s="5" t="s">
        <v>99</v>
      </c>
    </row>
    <row r="6" ht="96" customHeight="1" spans="1:18" x14ac:dyDescent="0.25">
      <c r="A6" t="s">
        <v>40</v>
      </c>
      <c r="B6" t="s">
        <v>34</v>
      </c>
      <c r="C6" t="s">
        <v>34</v>
      </c>
      <c r="D6" t="s">
        <v>34</v>
      </c>
      <c r="E6" t="s">
        <v>34</v>
      </c>
      <c r="F6">
        <f>ROUND(SUM(F2:F5),4)</f>
        <v>10</v>
      </c>
      <c r="H6" s="5"/>
      <c r="J6" s="5"/>
      <c r="L6" s="5"/>
      <c r="P6" s="5"/>
      <c r="Q6" s="5"/>
      <c r="R6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4" width="18" customWidth="1"/>
  </cols>
  <sheetData>
    <row r="1" spans="1:14" s="2" customFormat="1" x14ac:dyDescent="0.25">
      <c r="A1" s="3" t="s">
        <v>4</v>
      </c>
      <c r="B1" s="3" t="s">
        <v>106</v>
      </c>
      <c r="C1" s="3" t="s">
        <v>107</v>
      </c>
      <c r="D1" s="3" t="s">
        <v>108</v>
      </c>
      <c r="E1" s="3" t="s">
        <v>9</v>
      </c>
      <c r="F1" s="3" t="s">
        <v>47</v>
      </c>
      <c r="G1" s="3" t="s">
        <v>64</v>
      </c>
      <c r="H1" s="3" t="s">
        <v>109</v>
      </c>
      <c r="I1" s="3" t="s">
        <v>65</v>
      </c>
      <c r="J1" s="3" t="s">
        <v>110</v>
      </c>
      <c r="K1" s="3" t="s">
        <v>111</v>
      </c>
      <c r="L1" s="3" t="s">
        <v>112</v>
      </c>
      <c r="M1" s="3" t="s">
        <v>113</v>
      </c>
      <c r="N1" s="3" t="s">
        <v>114</v>
      </c>
    </row>
    <row r="2" spans="1:14" x14ac:dyDescent="0.25">
      <c r="A2" t="s">
        <v>14</v>
      </c>
      <c r="B2" t="s">
        <v>36</v>
      </c>
      <c r="C2" t="s">
        <v>37</v>
      </c>
      <c r="D2" t="s">
        <v>13</v>
      </c>
      <c r="E2">
        <f>'Estimate'!B30</f>
        <v>5439.8</v>
      </c>
      <c r="F2">
        <f>'Estimate'!B34</f>
        <v>20</v>
      </c>
      <c r="G2">
        <f>'Estimate'!B43</f>
        <v>180337800</v>
      </c>
      <c r="H2">
        <f>'Estimate'!B40</f>
        <v>240450400</v>
      </c>
      <c r="I2">
        <f>'Estimate'!B44</f>
        <v>360675600</v>
      </c>
      <c r="J2" t="s">
        <v>115</v>
      </c>
      <c r="K2">
        <f>H2+H4</f>
        <v>360675600</v>
      </c>
      <c r="L2">
        <f>G2/100</f>
        <v>1803378</v>
      </c>
      <c r="M2">
        <f>H2/100</f>
        <v>2404504</v>
      </c>
      <c r="N2">
        <f>I2/100</f>
        <v>3606756</v>
      </c>
    </row>
    <row r="3" spans="1:14" x14ac:dyDescent="0.25">
      <c r="A3" t="s">
        <v>29</v>
      </c>
      <c r="B3" t="s">
        <v>67</v>
      </c>
      <c r="C3" t="s">
        <v>37</v>
      </c>
      <c r="D3" t="s">
        <v>28</v>
      </c>
      <c r="E3">
        <f>'Estimate'!B47</f>
        <v>4906.44</v>
      </c>
      <c r="F3">
        <f>'Estimate'!B51</f>
        <v>19</v>
      </c>
      <c r="G3">
        <f>'Estimate'!B60</f>
        <v>171320910</v>
      </c>
      <c r="H3">
        <f>'Estimate'!B57</f>
        <v>228427880</v>
      </c>
      <c r="I3">
        <f>'Estimate'!B61</f>
        <v>342641820</v>
      </c>
      <c r="J3" t="s">
        <v>116</v>
      </c>
      <c r="K3">
        <f>H3</f>
        <v>228427880</v>
      </c>
      <c r="L3">
        <f>G3/100</f>
        <v>1713209.1</v>
      </c>
      <c r="M3">
        <f>H3/100</f>
        <v>2284278.8</v>
      </c>
      <c r="N3">
        <f>I3/100</f>
        <v>3426418.2</v>
      </c>
    </row>
    <row r="4" spans="1:14" x14ac:dyDescent="0.25">
      <c r="A4" t="s">
        <v>31</v>
      </c>
      <c r="B4" t="s">
        <v>69</v>
      </c>
      <c r="C4" t="s">
        <v>117</v>
      </c>
      <c r="D4" t="s">
        <v>118</v>
      </c>
      <c r="E4">
        <f>'Estimate'!B64</f>
        <v>2501.6</v>
      </c>
      <c r="F4">
        <f>'Estimate'!B68</f>
        <v>10</v>
      </c>
      <c r="G4">
        <f>'Estimate'!B77</f>
        <v>90168900</v>
      </c>
      <c r="H4">
        <f>'Estimate'!B74</f>
        <v>120225200</v>
      </c>
      <c r="I4">
        <f>'Estimate'!B78</f>
        <v>180337800</v>
      </c>
      <c r="J4" t="s">
        <v>119</v>
      </c>
      <c r="L4">
        <f>G4/100</f>
        <v>901689</v>
      </c>
      <c r="M4">
        <f>H4/100</f>
        <v>1202252</v>
      </c>
      <c r="N4">
        <f>I4/100</f>
        <v>1803378</v>
      </c>
    </row>
    <row r="5" spans="1:14" s="2" customFormat="1" x14ac:dyDescent="0.25">
      <c r="A5" s="2" t="s">
        <v>120</v>
      </c>
      <c r="B5" s="2" t="s">
        <v>121</v>
      </c>
      <c r="E5" s="2">
        <f>ROUND(SUM(E2:E3)+E4,4)</f>
        <v>12847.84</v>
      </c>
      <c r="G5" s="2">
        <f>SUM(G2:G3)+G4</f>
        <v>441827610</v>
      </c>
      <c r="H5" s="2">
        <f>SUM(H2:H3)+H4</f>
        <v>589103480</v>
      </c>
      <c r="I5" s="2">
        <f>SUM(I2:I3)+I4</f>
        <v>883655220</v>
      </c>
      <c r="L5" s="2">
        <f>G5/100</f>
        <v>4418276.1</v>
      </c>
      <c r="M5" s="2">
        <f>H5/100</f>
        <v>5891034.8</v>
      </c>
      <c r="N5" s="2">
        <f>I5/100</f>
        <v>8836552.2</v>
      </c>
    </row>
    <row r="6" spans="1:11" x14ac:dyDescent="0.25">
      <c r="A6" t="s">
        <v>122</v>
      </c>
      <c r="B6" t="s">
        <v>123</v>
      </c>
      <c r="K6">
        <f>SUM(K2:K3)</f>
        <v>589103480</v>
      </c>
    </row>
    <row r="7" spans="1:11" x14ac:dyDescent="0.25">
      <c r="A7" t="s">
        <v>124</v>
      </c>
      <c r="B7" t="s">
        <v>125</v>
      </c>
      <c r="K7">
        <f>K6-H5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46" customWidth="1"/>
    <col min="2" max="2" width="40" customWidth="1"/>
    <col min="3" max="3" width="18" customWidth="1"/>
    <col min="4" max="4" width="68" customWidth="1"/>
    <col min="5" max="5" width="18" customWidth="1"/>
  </cols>
  <sheetData>
    <row r="1" spans="1:5" s="2" customFormat="1" x14ac:dyDescent="0.25">
      <c r="A1" s="3" t="s">
        <v>126</v>
      </c>
      <c r="B1" s="3" t="s">
        <v>127</v>
      </c>
      <c r="C1" s="3" t="s">
        <v>128</v>
      </c>
      <c r="D1" s="3" t="s">
        <v>71</v>
      </c>
      <c r="E1" s="3" t="s">
        <v>11</v>
      </c>
    </row>
    <row r="2" spans="1:5" x14ac:dyDescent="0.25">
      <c r="A2" t="s">
        <v>129</v>
      </c>
      <c r="B2">
        <v>1.18</v>
      </c>
      <c r="C2" t="s">
        <v>130</v>
      </c>
      <c r="D2" t="s">
        <v>131</v>
      </c>
      <c r="E2" t="s">
        <v>34</v>
      </c>
    </row>
    <row r="3" spans="1:5" x14ac:dyDescent="0.25">
      <c r="A3" t="s">
        <v>132</v>
      </c>
      <c r="B3">
        <v>0.68</v>
      </c>
      <c r="C3" t="s">
        <v>133</v>
      </c>
      <c r="D3" t="s">
        <v>134</v>
      </c>
      <c r="E3" t="s">
        <v>34</v>
      </c>
    </row>
    <row r="4" spans="1:5" x14ac:dyDescent="0.25">
      <c r="A4" t="s">
        <v>48</v>
      </c>
      <c r="B4">
        <v>40</v>
      </c>
      <c r="C4" t="s">
        <v>135</v>
      </c>
      <c r="D4" t="s">
        <v>136</v>
      </c>
      <c r="E4" t="s">
        <v>34</v>
      </c>
    </row>
    <row r="5" spans="1:5" x14ac:dyDescent="0.25">
      <c r="A5" t="s">
        <v>89</v>
      </c>
      <c r="B5" t="s">
        <v>97</v>
      </c>
      <c r="C5" t="s">
        <v>34</v>
      </c>
      <c r="D5" t="s">
        <v>137</v>
      </c>
      <c r="E5" t="s">
        <v>34</v>
      </c>
    </row>
    <row r="6" spans="1:5" x14ac:dyDescent="0.25">
      <c r="A6" t="s">
        <v>138</v>
      </c>
      <c r="B6" t="s">
        <v>92</v>
      </c>
      <c r="C6" t="s">
        <v>34</v>
      </c>
      <c r="D6" t="s">
        <v>139</v>
      </c>
      <c r="E6" t="s">
        <v>34</v>
      </c>
    </row>
    <row r="7" spans="1:5" x14ac:dyDescent="0.25">
      <c r="A7" t="s">
        <v>80</v>
      </c>
      <c r="B7" t="s">
        <v>93</v>
      </c>
      <c r="C7" t="s">
        <v>34</v>
      </c>
      <c r="D7" t="s">
        <v>140</v>
      </c>
      <c r="E7" t="s">
        <v>34</v>
      </c>
    </row>
    <row r="8" spans="1:5" x14ac:dyDescent="0.25">
      <c r="A8" t="s">
        <v>141</v>
      </c>
      <c r="B8" t="s">
        <v>142</v>
      </c>
      <c r="C8" t="s">
        <v>34</v>
      </c>
      <c r="D8" t="s">
        <v>143</v>
      </c>
      <c r="E8" t="s">
        <v>34</v>
      </c>
    </row>
    <row r="9" spans="1:5" x14ac:dyDescent="0.25">
      <c r="A9" t="s">
        <v>144</v>
      </c>
      <c r="B9" t="s">
        <v>145</v>
      </c>
      <c r="C9" t="s">
        <v>34</v>
      </c>
      <c r="D9" t="s">
        <v>146</v>
      </c>
      <c r="E9" t="s">
        <v>34</v>
      </c>
    </row>
    <row r="10" spans="1:5" x14ac:dyDescent="0.25">
      <c r="A10" t="s">
        <v>147</v>
      </c>
      <c r="B10" t="s">
        <v>148</v>
      </c>
      <c r="C10" t="s">
        <v>34</v>
      </c>
      <c r="D10" t="s">
        <v>149</v>
      </c>
      <c r="E10" t="s">
        <v>34</v>
      </c>
    </row>
    <row r="11" spans="1:5" x14ac:dyDescent="0.25">
      <c r="A11" t="s">
        <v>150</v>
      </c>
      <c r="B11" t="s">
        <v>37</v>
      </c>
      <c r="C11" t="s">
        <v>34</v>
      </c>
      <c r="D11" t="s">
        <v>137</v>
      </c>
      <c r="E11" t="s">
        <v>34</v>
      </c>
    </row>
    <row r="12" spans="1:5" x14ac:dyDescent="0.25">
      <c r="A12" t="s">
        <v>151</v>
      </c>
      <c r="B12">
        <v>0.75</v>
      </c>
      <c r="C12" t="s">
        <v>130</v>
      </c>
      <c r="D12" t="s">
        <v>152</v>
      </c>
      <c r="E12" t="s">
        <v>34</v>
      </c>
    </row>
    <row r="13" spans="1:5" x14ac:dyDescent="0.25">
      <c r="A13" t="s">
        <v>153</v>
      </c>
      <c r="B13">
        <v>1.5</v>
      </c>
      <c r="C13" t="s">
        <v>130</v>
      </c>
      <c r="D13" t="s">
        <v>152</v>
      </c>
      <c r="E13" t="s">
        <v>34</v>
      </c>
    </row>
    <row r="14" spans="1:5" x14ac:dyDescent="0.25">
      <c r="A14" t="s">
        <v>154</v>
      </c>
      <c r="B14" t="s">
        <v>37</v>
      </c>
      <c r="C14" t="s">
        <v>34</v>
      </c>
      <c r="D14" t="s">
        <v>137</v>
      </c>
      <c r="E14" t="s">
        <v>34</v>
      </c>
    </row>
    <row r="15" spans="1:5" x14ac:dyDescent="0.25">
      <c r="A15" t="s">
        <v>155</v>
      </c>
      <c r="B15">
        <v>0.75</v>
      </c>
      <c r="C15" t="s">
        <v>130</v>
      </c>
      <c r="D15" t="s">
        <v>152</v>
      </c>
      <c r="E15" t="s">
        <v>34</v>
      </c>
    </row>
    <row r="16" spans="1:5" x14ac:dyDescent="0.25">
      <c r="A16" t="s">
        <v>156</v>
      </c>
      <c r="B16">
        <v>1.5</v>
      </c>
      <c r="C16" t="s">
        <v>130</v>
      </c>
      <c r="D16" t="s">
        <v>152</v>
      </c>
      <c r="E16" t="s">
        <v>34</v>
      </c>
    </row>
    <row r="17" spans="1:5" x14ac:dyDescent="0.25">
      <c r="A17" t="s">
        <v>157</v>
      </c>
      <c r="B17" t="s">
        <v>37</v>
      </c>
      <c r="C17" t="s">
        <v>34</v>
      </c>
      <c r="D17" t="s">
        <v>137</v>
      </c>
      <c r="E17" t="s">
        <v>34</v>
      </c>
    </row>
    <row r="18" spans="1:5" x14ac:dyDescent="0.25">
      <c r="A18" t="s">
        <v>158</v>
      </c>
      <c r="B18">
        <v>0.75</v>
      </c>
      <c r="C18" t="s">
        <v>130</v>
      </c>
      <c r="D18" t="s">
        <v>152</v>
      </c>
      <c r="E18" t="s">
        <v>34</v>
      </c>
    </row>
    <row r="19" spans="1:5" x14ac:dyDescent="0.25">
      <c r="A19" t="s">
        <v>159</v>
      </c>
      <c r="B19">
        <v>1.5</v>
      </c>
      <c r="C19" t="s">
        <v>130</v>
      </c>
      <c r="D19" t="s">
        <v>152</v>
      </c>
      <c r="E19" t="s">
        <v>34</v>
      </c>
    </row>
    <row r="20" spans="1:5" x14ac:dyDescent="0.25">
      <c r="A20" t="s">
        <v>160</v>
      </c>
      <c r="B20">
        <f>'Component Library'!$C$2</f>
        <v>36</v>
      </c>
      <c r="C20" t="s">
        <v>161</v>
      </c>
      <c r="D20" t="s">
        <v>16</v>
      </c>
      <c r="E20" t="s">
        <v>17</v>
      </c>
    </row>
    <row r="21" spans="1:5" x14ac:dyDescent="0.25">
      <c r="A21" t="s">
        <v>162</v>
      </c>
      <c r="B21">
        <f>'Component Library'!$C$3</f>
        <v>8</v>
      </c>
      <c r="C21" t="s">
        <v>161</v>
      </c>
      <c r="D21" t="s">
        <v>19</v>
      </c>
      <c r="E21" t="s">
        <v>17</v>
      </c>
    </row>
    <row r="22" spans="1:5" x14ac:dyDescent="0.25">
      <c r="A22" t="s">
        <v>163</v>
      </c>
      <c r="B22">
        <f>'Component Library'!$C$4</f>
        <v>28</v>
      </c>
      <c r="C22" t="s">
        <v>161</v>
      </c>
      <c r="D22" t="s">
        <v>21</v>
      </c>
      <c r="E22" t="s">
        <v>17</v>
      </c>
    </row>
    <row r="23" spans="1:5" x14ac:dyDescent="0.25">
      <c r="A23" t="s">
        <v>164</v>
      </c>
      <c r="B23">
        <f>'Component Library'!$C$5</f>
        <v>24</v>
      </c>
      <c r="C23" t="s">
        <v>161</v>
      </c>
      <c r="D23" t="s">
        <v>23</v>
      </c>
      <c r="E23" t="s">
        <v>17</v>
      </c>
    </row>
    <row r="24" spans="1:5" x14ac:dyDescent="0.25">
      <c r="A24" t="s">
        <v>165</v>
      </c>
      <c r="B24">
        <f>'Component Library'!$C$6</f>
        <v>3</v>
      </c>
      <c r="C24" t="s">
        <v>161</v>
      </c>
      <c r="D24" t="s">
        <v>25</v>
      </c>
      <c r="E24" t="s">
        <v>17</v>
      </c>
    </row>
    <row r="25" spans="1:5" x14ac:dyDescent="0.25">
      <c r="A25" t="s">
        <v>166</v>
      </c>
      <c r="B25">
        <f>'Component Library'!$C$7</f>
        <v>2</v>
      </c>
      <c r="C25" t="s">
        <v>161</v>
      </c>
      <c r="D25" t="s">
        <v>27</v>
      </c>
      <c r="E25" t="s">
        <v>17</v>
      </c>
    </row>
    <row r="26" spans="1:5" x14ac:dyDescent="0.25">
      <c r="A26" t="s">
        <v>167</v>
      </c>
      <c r="B26">
        <f>'Estimate'!$E$5</f>
        <v>20</v>
      </c>
      <c r="C26" t="s">
        <v>168</v>
      </c>
      <c r="D26" t="s">
        <v>137</v>
      </c>
      <c r="E26" t="s">
        <v>34</v>
      </c>
    </row>
    <row r="27" spans="1:5" x14ac:dyDescent="0.25">
      <c r="A27" t="s">
        <v>169</v>
      </c>
      <c r="B27">
        <f>'Estimate'!$E$6</f>
        <v>80</v>
      </c>
      <c r="C27" t="s">
        <v>168</v>
      </c>
      <c r="D27" t="s">
        <v>137</v>
      </c>
      <c r="E27" t="s">
        <v>34</v>
      </c>
    </row>
    <row r="28" spans="1:5" x14ac:dyDescent="0.25">
      <c r="A28" t="s">
        <v>170</v>
      </c>
      <c r="B28">
        <f>'Estimate'!$E$7</f>
        <v>55</v>
      </c>
      <c r="C28" t="s">
        <v>168</v>
      </c>
      <c r="D28" t="s">
        <v>137</v>
      </c>
      <c r="E28" t="s">
        <v>34</v>
      </c>
    </row>
    <row r="29" spans="1:5" x14ac:dyDescent="0.25">
      <c r="A29" t="s">
        <v>171</v>
      </c>
      <c r="B29">
        <f>'Estimate'!$E$8</f>
        <v>25</v>
      </c>
      <c r="C29" t="s">
        <v>168</v>
      </c>
      <c r="D29" t="s">
        <v>137</v>
      </c>
      <c r="E29" t="s">
        <v>34</v>
      </c>
    </row>
    <row r="30" spans="1:5" x14ac:dyDescent="0.25">
      <c r="A30" t="s">
        <v>172</v>
      </c>
      <c r="B30">
        <f>'Estimate'!$E$9</f>
        <v>200</v>
      </c>
      <c r="C30" t="s">
        <v>168</v>
      </c>
      <c r="D30" t="s">
        <v>137</v>
      </c>
      <c r="E30" t="s">
        <v>34</v>
      </c>
    </row>
    <row r="31" spans="1:5" x14ac:dyDescent="0.25">
      <c r="A31" t="s">
        <v>173</v>
      </c>
      <c r="B31">
        <f>'Estimate'!$E$10</f>
        <v>255</v>
      </c>
      <c r="C31" t="s">
        <v>168</v>
      </c>
      <c r="D31" t="s">
        <v>137</v>
      </c>
      <c r="E31" t="s">
        <v>34</v>
      </c>
    </row>
    <row r="32" spans="1:5" x14ac:dyDescent="0.25">
      <c r="A32" t="s">
        <v>174</v>
      </c>
      <c r="B32">
        <f>'Estimate'!$E$11</f>
        <v>18</v>
      </c>
      <c r="C32" t="s">
        <v>168</v>
      </c>
      <c r="D32" t="s">
        <v>137</v>
      </c>
      <c r="E32" t="s">
        <v>34</v>
      </c>
    </row>
    <row r="33" spans="1:5" x14ac:dyDescent="0.25">
      <c r="A33" t="s">
        <v>175</v>
      </c>
      <c r="B33">
        <f>'Estimate'!$E$12</f>
        <v>80</v>
      </c>
      <c r="C33" t="s">
        <v>168</v>
      </c>
      <c r="D33" t="s">
        <v>137</v>
      </c>
      <c r="E33" t="s">
        <v>34</v>
      </c>
    </row>
    <row r="34" spans="1:5" x14ac:dyDescent="0.25">
      <c r="A34" t="s">
        <v>176</v>
      </c>
      <c r="B34">
        <f>'Estimate'!$E$13</f>
        <v>45</v>
      </c>
      <c r="C34" t="s">
        <v>168</v>
      </c>
      <c r="D34" t="s">
        <v>137</v>
      </c>
      <c r="E34" t="s">
        <v>34</v>
      </c>
    </row>
    <row r="35" spans="1:5" x14ac:dyDescent="0.25">
      <c r="A35" t="s">
        <v>177</v>
      </c>
      <c r="B35">
        <f>'Estimate'!$E$14</f>
        <v>30</v>
      </c>
      <c r="C35" t="s">
        <v>168</v>
      </c>
      <c r="D35" t="s">
        <v>137</v>
      </c>
      <c r="E35" t="s">
        <v>34</v>
      </c>
    </row>
    <row r="36" spans="1:5" x14ac:dyDescent="0.25">
      <c r="A36" t="s">
        <v>178</v>
      </c>
      <c r="B36">
        <f>'Estimate'!$E$15</f>
        <v>150</v>
      </c>
      <c r="C36" t="s">
        <v>168</v>
      </c>
      <c r="D36" t="s">
        <v>137</v>
      </c>
      <c r="E36" t="s">
        <v>34</v>
      </c>
    </row>
    <row r="37" spans="1:5" x14ac:dyDescent="0.25">
      <c r="A37" t="s">
        <v>179</v>
      </c>
      <c r="B37">
        <f>'Estimate'!$E$16</f>
        <v>220</v>
      </c>
      <c r="C37" t="s">
        <v>168</v>
      </c>
      <c r="D37" t="s">
        <v>137</v>
      </c>
      <c r="E37" t="s">
        <v>34</v>
      </c>
    </row>
    <row r="38" spans="1:5" x14ac:dyDescent="0.25">
      <c r="A38" t="s">
        <v>180</v>
      </c>
      <c r="B38">
        <f>'Estimate'!$E$17</f>
        <v>8</v>
      </c>
      <c r="C38" t="s">
        <v>168</v>
      </c>
      <c r="D38" t="s">
        <v>137</v>
      </c>
      <c r="E38" t="s">
        <v>34</v>
      </c>
    </row>
    <row r="39" spans="1:5" x14ac:dyDescent="0.25">
      <c r="A39" t="s">
        <v>181</v>
      </c>
      <c r="B39">
        <f>'Estimate'!$E$18</f>
        <v>65</v>
      </c>
      <c r="C39" t="s">
        <v>168</v>
      </c>
      <c r="D39" t="s">
        <v>137</v>
      </c>
      <c r="E39" t="s">
        <v>34</v>
      </c>
    </row>
    <row r="40" spans="1:5" x14ac:dyDescent="0.25">
      <c r="A40" t="s">
        <v>182</v>
      </c>
      <c r="B40">
        <f>'Estimate'!$E$19</f>
        <v>20</v>
      </c>
      <c r="C40" t="s">
        <v>168</v>
      </c>
      <c r="D40" t="s">
        <v>137</v>
      </c>
      <c r="E40" t="s">
        <v>34</v>
      </c>
    </row>
    <row r="41" spans="1:5" x14ac:dyDescent="0.25">
      <c r="A41" t="s">
        <v>183</v>
      </c>
      <c r="B41">
        <f>'Estimate'!$E$20</f>
        <v>8</v>
      </c>
      <c r="C41" t="s">
        <v>168</v>
      </c>
      <c r="D41" t="s">
        <v>137</v>
      </c>
      <c r="E41" t="s">
        <v>34</v>
      </c>
    </row>
    <row r="42" spans="1:5" x14ac:dyDescent="0.25">
      <c r="A42" t="s">
        <v>184</v>
      </c>
      <c r="B42">
        <f>'Estimate'!$E$21</f>
        <v>100</v>
      </c>
      <c r="C42" t="s">
        <v>168</v>
      </c>
      <c r="D42" t="s">
        <v>137</v>
      </c>
      <c r="E42" t="s">
        <v>34</v>
      </c>
    </row>
    <row r="43" spans="1:5" x14ac:dyDescent="0.25">
      <c r="A43" t="s">
        <v>185</v>
      </c>
      <c r="B43">
        <f>'Estimate'!$E$22</f>
        <v>130</v>
      </c>
      <c r="C43" t="s">
        <v>168</v>
      </c>
      <c r="D43" t="s">
        <v>137</v>
      </c>
      <c r="E4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Estimate</vt:lpstr>
      <vt:lpstr>Component Library</vt:lpstr>
      <vt:lpstr>Pod &amp; Rates</vt:lpstr>
      <vt:lpstr>Releases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ROM service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