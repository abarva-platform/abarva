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a4bb6617fa47e3" /></Relationships>
</file>

<file path=xl/workbook.xml><?xml version="1.0" encoding="utf-8"?>
<x:workbook xmlns:x="http://schemas.openxmlformats.org/spreadsheetml/2006/main">
  <x:sheets>
    <x:sheet xmlns:r="http://schemas.openxmlformats.org/officeDocument/2006/relationships" name="README" sheetId="1" r:id="R79630c3435ff48bb"/>
    <x:sheet xmlns:r="http://schemas.openxmlformats.org/officeDocument/2006/relationships" name="Dashboard" sheetId="2" r:id="R35c24e02d0fb4c50"/>
    <x:sheet xmlns:r="http://schemas.openxmlformats.org/officeDocument/2006/relationships" name="Plan" sheetId="3" r:id="R3495243f5a32494e"/>
    <x:sheet xmlns:r="http://schemas.openxmlformats.org/officeDocument/2006/relationships" name="Codex Queue" sheetId="4" r:id="R2618c3e7635b41af"/>
    <x:sheet xmlns:r="http://schemas.openxmlformats.org/officeDocument/2006/relationships" name="Governance" sheetId="5" r:id="R6936f795e17540fa"/>
    <x:sheet xmlns:r="http://schemas.openxmlformats.org/officeDocument/2006/relationships" name="Pricing" sheetId="6" r:id="Re88db63e07b94b05"/>
    <x:sheet xmlns:r="http://schemas.openxmlformats.org/officeDocument/2006/relationships" name="Cost Model" sheetId="7" r:id="Rd27a19a2d1dd4567"/>
    <x:sheet xmlns:r="http://schemas.openxmlformats.org/officeDocument/2006/relationships" name="BC - PHS" sheetId="8" r:id="R6fe27779c7e746dd"/>
    <x:sheet xmlns:r="http://schemas.openxmlformats.org/officeDocument/2006/relationships" name="BC - Surekha" sheetId="9" r:id="R6715b825d1534983"/>
    <x:sheet xmlns:r="http://schemas.openxmlformats.org/officeDocument/2006/relationships" name="BC - Delta" sheetId="10" r:id="R7b5c4ac4499046f5"/>
    <x:sheet xmlns:r="http://schemas.openxmlformats.org/officeDocument/2006/relationships" name="Security Pack" sheetId="11" r:id="Rfd06cfd456ff4524"/>
    <x:sheet xmlns:r="http://schemas.openxmlformats.org/officeDocument/2006/relationships" name="Redline Brief" sheetId="12" r:id="R02402d639c49408d"/>
    <x:sheet xmlns:r="http://schemas.openxmlformats.org/officeDocument/2006/relationships" name="Risks" sheetId="13" r:id="Rbffdf680160648e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0.0%"/>
    <x:numFmt numFmtId="165" formatCode="$#,##0"/>
    <x:numFmt numFmtId="166" formatCode="$#,##0.00"/>
    <x:numFmt numFmtId="167" formatCode="$#,##0;($#,##0);-"/>
    <x:numFmt numFmtId="168" formatCode="0.0&quot;x&quot;"/>
  </x:numFmts>
  <x:fonts count="30">
    <x:font>
      <x:sz val="11"/>
      <x:color theme="1"/>
      <x:name val="Calibri"/>
    </x:font>
    <x:font>
      <x:b/>
      <x:sz val="18"/>
      <x:color rgb="FF111827"/>
      <x:name val="Arial"/>
    </x:font>
    <x:font>
      <x:i/>
      <x:sz val="10"/>
      <x:color rgb="FF6B7280"/>
      <x:name val="Arial"/>
    </x:font>
    <x:font>
      <x:b/>
      <x:sz val="10"/>
      <x:name val="Arial"/>
    </x:font>
    <x:font>
      <x:sz val="10"/>
      <x:name val="Arial"/>
    </x:font>
    <x:font>
      <x:b/>
      <x:sz val="11"/>
      <x:color rgb="FFFFFFFF"/>
      <x:name val="Arial"/>
    </x:font>
    <x:font>
      <x:b/>
      <x:sz val="11"/>
      <x:name val="Arial"/>
    </x:font>
    <x:font>
      <x:b/>
      <x:sz val="10"/>
      <x:color rgb="FFFFFFFF"/>
      <x:name val="Arial"/>
    </x:font>
    <x:font>
      <x:sz val="12"/>
      <x:name val="Arial"/>
    </x:font>
    <x:font>
      <x:b/>
      <x:sz val="10"/>
      <x:color rgb="FF0000FF"/>
      <x:name val="Arial"/>
    </x:font>
    <x:font>
      <x:sz val="10"/>
      <x:color rgb="FF000000"/>
      <x:name val="Arial"/>
    </x:font>
    <x:font>
      <x:b/>
      <x:sz val="10"/>
      <x:color rgb="FF065F46"/>
      <x:name val="Arial"/>
    </x:font>
    <x:font>
      <x:sz val="10"/>
      <x:color rgb="FF065F46"/>
      <x:name val="Arial"/>
    </x:font>
    <x:font>
      <x:b/>
      <x:sz val="10"/>
      <x:color rgb="FF1E3A8A"/>
      <x:name val="Arial"/>
    </x:font>
    <x:font>
      <x:sz val="10"/>
      <x:color rgb="FF1E3A8A"/>
      <x:name val="Arial"/>
    </x:font>
    <x:font>
      <x:b/>
      <x:sz val="10"/>
      <x:color rgb="FF78350F"/>
      <x:name val="Arial"/>
    </x:font>
    <x:font>
      <x:sz val="10"/>
      <x:color rgb="FF78350F"/>
      <x:name val="Arial"/>
    </x:font>
    <x:font>
      <x:b/>
      <x:sz val="10"/>
      <x:color rgb="FF7F1D1D"/>
      <x:name val="Arial"/>
    </x:font>
    <x:font>
      <x:sz val="10"/>
      <x:color rgb="FF7F1D1D"/>
      <x:name val="Arial"/>
    </x:font>
    <x:font>
      <x:b/>
      <x:sz val="10"/>
      <x:color rgb="FF7C2D12"/>
      <x:name val="Arial"/>
    </x:font>
    <x:font>
      <x:sz val="10"/>
      <x:color rgb="FF7C2D12"/>
      <x:name val="Arial"/>
    </x:font>
    <x:font>
      <x:b/>
      <x:sz val="13"/>
      <x:color rgb="FF111827"/>
      <x:name val="Arial"/>
    </x:font>
    <x:font>
      <x:b/>
      <x:sz val="14"/>
      <x:color rgb="FFFFFFFF"/>
      <x:name val="Arial"/>
    </x:font>
    <x:font>
      <x:b/>
      <x:sz val="12"/>
      <x:color rgb="FFDC2626"/>
      <x:name val="Arial"/>
    </x:font>
    <x:font>
      <x:b/>
      <x:sz val="12"/>
      <x:color rgb="FF1E3A8A"/>
      <x:name val="Arial"/>
    </x:font>
    <x:font>
      <x:b/>
      <x:sz val="12"/>
      <x:color rgb="FF65A30D"/>
      <x:name val="Arial"/>
    </x:font>
    <x:font>
      <x:b/>
      <x:sz val="10"/>
      <x:color rgb="FFDC2626"/>
      <x:name val="Arial"/>
    </x:font>
    <x:font>
      <x:b/>
      <x:sz val="13"/>
      <x:color rgb="FFFFFFFF"/>
      <x:name val="Arial"/>
    </x:font>
    <x:font>
      <x:b/>
      <x:sz val="10"/>
      <x:color rgb="FF374151"/>
      <x:name val="Arial"/>
    </x:font>
    <x:font>
      <x:sz val="9"/>
      <x:name val="Menlo"/>
    </x:font>
  </x:fonts>
  <x:fills count="22">
    <x:fill>
      <x:patternFill patternType="none"/>
    </x:fill>
    <x:fill>
      <x:patternFill patternType="gray125"/>
    </x:fill>
    <x:fill>
      <x:patternFill patternType="solid">
        <x:fgColor rgb="FF1F2937"/>
      </x:patternFill>
    </x:fill>
    <x:fill>
      <x:patternFill patternType="solid">
        <x:fgColor rgb="FFE5E7EB"/>
      </x:patternFill>
    </x:fill>
    <x:fill>
      <x:patternFill patternType="solid">
        <x:fgColor rgb="FFDC2626"/>
      </x:patternFill>
    </x:fill>
    <x:fill>
      <x:patternFill patternType="solid">
        <x:fgColor rgb="FFEA580C"/>
      </x:patternFill>
    </x:fill>
    <x:fill>
      <x:patternFill patternType="solid">
        <x:fgColor rgb="FFCA8A04"/>
      </x:patternFill>
    </x:fill>
    <x:fill>
      <x:patternFill patternType="solid">
        <x:fgColor rgb="FF65A30D"/>
      </x:patternFill>
    </x:fill>
    <x:fill>
      <x:patternFill patternType="solid">
        <x:fgColor rgb="FFFFFFCC"/>
      </x:patternFill>
    </x:fill>
    <x:fill>
      <x:patternFill patternType="solid">
        <x:fgColor rgb="FF86EFAC"/>
      </x:patternFill>
    </x:fill>
    <x:fill>
      <x:patternFill patternType="solid">
        <x:fgColor rgb="FFF3F4F6"/>
      </x:patternFill>
    </x:fill>
    <x:fill>
      <x:patternFill patternType="solid">
        <x:fgColor rgb="FF93C5FD"/>
      </x:patternFill>
    </x:fill>
    <x:fill>
      <x:patternFill patternType="solid">
        <x:fgColor rgb="FFFDE68A"/>
      </x:patternFill>
    </x:fill>
    <x:fill>
      <x:patternFill patternType="solid">
        <x:fgColor rgb="FFFCA5A5"/>
      </x:patternFill>
    </x:fill>
    <x:fill>
      <x:patternFill patternType="solid">
        <x:fgColor rgb="FFFDBA74"/>
      </x:patternFill>
    </x:fill>
    <x:fill>
      <x:patternFill patternType="solid">
        <x:fgColor rgb="FFFEF9C3"/>
      </x:patternFill>
    </x:fill>
    <x:fill>
      <x:patternFill patternType="solid">
        <x:fgColor rgb="FFD1FAE5"/>
      </x:patternFill>
    </x:fill>
    <x:fill>
      <x:patternFill patternType="solid">
        <x:fgColor rgb="FFFEF3C7"/>
      </x:patternFill>
    </x:fill>
    <x:fill>
      <x:patternFill patternType="solid">
        <x:fgColor rgb="FFBFDBFE"/>
      </x:patternFill>
    </x:fill>
    <x:fill>
      <x:patternFill patternType="solid">
        <x:fgColor rgb="FFFED7AA"/>
      </x:patternFill>
    </x:fill>
    <x:fill>
      <x:patternFill patternType="solid">
        <x:fgColor rgb="FF1E3A8A"/>
      </x:patternFill>
    </x:fill>
    <x:fill>
      <x:patternFill patternType="solid">
        <x:fgColor rgb="FFF9FAFB"/>
      </x:patternFill>
    </x:fill>
  </x:fills>
  <x:borders count="12">
    <x:border/>
    <x:border>
      <x:left style="thin">
        <x:color rgb="FFD1D5DB"/>
      </x:left>
      <x:right style="thin">
        <x:color rgb="FFD1D5DB"/>
      </x:right>
      <x:top style="thin">
        <x:color rgb="FFD1D5DB"/>
      </x:top>
      <x:bottom style="thin">
        <x:color rgb="FFD1D5DB"/>
      </x:bottom>
    </x:border>
    <x:border>
      <x:top style="thin">
        <x:color rgb="FFD1D5DB"/>
      </x:top>
    </x:border>
    <x:border>
      <x:right style="thin">
        <x:color rgb="FFD1D5DB"/>
      </x:right>
      <x:top style="thin">
        <x:color rgb="FFD1D5DB"/>
      </x:top>
    </x:border>
    <x:border>
      <x:right style="thin">
        <x:color rgb="FFD1D5DB"/>
      </x:right>
      <x:top style="thin">
        <x:color rgb="FFD1D5DB"/>
      </x:top>
      <x:bottom style="thin">
        <x:color rgb="FFD1D5DB"/>
      </x:bottom>
    </x:border>
    <x:border/>
    <x:border>
      <x:top style="thin">
        <x:color rgb="FFD1D5DB"/>
      </x:top>
      <x:bottom style="thin">
        <x:color rgb="FFD1D5DB"/>
      </x:bottom>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95">
    <x:xf numFmtId="0" fontId="0" fillId="0" borderId="0" xfId="0"/>
    <x:xf numFmtId="0" fontId="1" fillId="0" borderId="0" xfId="0"/>
    <x:xf numFmtId="0" fontId="2" fillId="0" borderId="0" xfId="0"/>
    <x:xf numFmtId="0" fontId="3" fillId="0" borderId="0" xfId="0"/>
    <x:xf numFmtId="0" fontId="4" fillId="0" borderId="0" xfId="0" applyAlignment="1">
      <x:alignment vertical="top" wrapText="1"/>
    </x:xf>
    <x:xf numFmtId="0" fontId="6" fillId="3" borderId="0" xfId="0"/>
    <x:xf numFmtId="0" fontId="4" fillId="0" borderId="1" xfId="0"/>
    <x:xf numFmtId="0" fontId="6" fillId="0" borderId="1" xfId="0"/>
    <x:xf numFmtId="0" fontId="5" fillId="2" borderId="1" xfId="0" applyAlignment="1">
      <x:alignment horizontal="center" vertical="center"/>
    </x:xf>
    <x:xf numFmtId="0" fontId="4" fillId="0" borderId="1" xfId="0" applyAlignment="1">
      <x:alignment horizontal="center" vertical="center"/>
    </x:xf>
    <x:xf numFmtId="164" fontId="4" fillId="0" borderId="1" xfId="0" applyAlignment="1">
      <x:alignment horizontal="center" vertical="center"/>
    </x:xf>
    <x:xf numFmtId="164" fontId="6" fillId="0" borderId="1" xfId="0"/>
    <x:xf numFmtId="0" fontId="7" fillId="4" borderId="0" xfId="0" applyAlignment="1">
      <x:alignment horizontal="center" vertical="center"/>
    </x:xf>
    <x:xf numFmtId="0" fontId="7" fillId="5" borderId="0" xfId="0" applyAlignment="1">
      <x:alignment horizontal="center" vertical="center"/>
    </x:xf>
    <x:xf numFmtId="0" fontId="7" fillId="6" borderId="0" xfId="0" applyAlignment="1">
      <x:alignment horizontal="center" vertical="center"/>
    </x:xf>
    <x:xf numFmtId="0" fontId="7" fillId="7" borderId="0" xfId="0" applyAlignment="1">
      <x:alignment horizontal="center" vertical="center"/>
    </x:xf>
    <x:xf numFmtId="0" fontId="8" fillId="0" borderId="0" xfId="0" applyAlignment="1">
      <x:alignment horizontal="center" vertical="center"/>
    </x:xf>
    <x:xf numFmtId="0" fontId="4" fillId="0" borderId="0" xfId="0"/>
    <x:xf numFmtId="0" fontId="4" fillId="0" borderId="1" xfId="0" applyAlignment="1">
      <x:alignment vertical="top" wrapText="1"/>
    </x:xf>
    <x:xf numFmtId="165" fontId="9" fillId="8" borderId="1" xfId="0" applyAlignment="1">
      <x:alignment horizontal="right"/>
    </x:xf>
    <x:xf numFmtId="0" fontId="2" fillId="0" borderId="1" xfId="0"/>
    <x:xf numFmtId="3" fontId="9" fillId="8" borderId="1" xfId="0" applyAlignment="1">
      <x:alignment horizontal="right"/>
    </x:xf>
    <x:xf numFmtId="166" fontId="9" fillId="8" borderId="1" xfId="0" applyAlignment="1">
      <x:alignment horizontal="right"/>
    </x:xf>
    <x:xf numFmtId="164" fontId="9" fillId="8" borderId="1" xfId="0" applyAlignment="1">
      <x:alignment horizontal="right"/>
    </x:xf>
    <x:xf numFmtId="165" fontId="10" fillId="0" borderId="1" xfId="0" applyAlignment="1">
      <x:alignment horizontal="right"/>
    </x:xf>
    <x:xf numFmtId="164" fontId="10" fillId="0" borderId="1" xfId="0" applyAlignment="1">
      <x:alignment horizontal="right"/>
    </x:xf>
    <x:xf numFmtId="0" fontId="3" fillId="0" borderId="1" xfId="0"/>
    <x:xf numFmtId="165" fontId="6" fillId="0" borderId="1" xfId="0" applyAlignment="1">
      <x:alignment horizontal="right"/>
    </x:xf>
    <x:xf numFmtId="3" fontId="10" fillId="0" borderId="1" xfId="0" applyAlignment="1">
      <x:alignment horizontal="right"/>
    </x:xf>
    <x:xf numFmtId="0" fontId="3" fillId="0" borderId="1" xfId="0" applyAlignment="1">
      <x:alignment vertical="top" wrapText="1"/>
    </x:xf>
    <x:xf numFmtId="0" fontId="3" fillId="0" borderId="1" xfId="0" applyAlignment="1">
      <x:alignment horizontal="center" vertical="center"/>
    </x:xf>
    <x:xf numFmtId="0" fontId="7" fillId="4" borderId="1" xfId="0" applyAlignment="1">
      <x:alignment horizontal="center" vertical="center"/>
    </x:xf>
    <x:xf numFmtId="0" fontId="7" fillId="5" borderId="1" xfId="0" applyAlignment="1">
      <x:alignment horizontal="center" vertical="center"/>
    </x:xf>
    <x:xf numFmtId="0" fontId="2" fillId="0" borderId="1" xfId="0" applyAlignment="1">
      <x:alignment vertical="top" wrapText="1"/>
    </x:xf>
    <x:xf numFmtId="0" fontId="0" fillId="0" borderId="1" xfId="0"/>
    <x:xf numFmtId="0" fontId="0" fillId="0" borderId="4" xfId="0"/>
    <x:xf numFmtId="0" fontId="4" fillId="0" borderId="5" xfId="0"/>
    <x:xf numFmtId="0" fontId="6" fillId="3" borderId="5" xfId="0"/>
    <x:xf numFmtId="0" fontId="11" fillId="9" borderId="1" xfId="0" applyAlignment="1">
      <x:alignment horizontal="center" vertical="center"/>
    </x:xf>
    <x:xf numFmtId="0" fontId="13" fillId="11" borderId="1" xfId="0" applyAlignment="1">
      <x:alignment horizontal="center" vertical="center"/>
    </x:xf>
    <x:xf numFmtId="0" fontId="15" fillId="12" borderId="1" xfId="0" applyAlignment="1">
      <x:alignment horizontal="center" vertical="center"/>
    </x:xf>
    <x:xf numFmtId="0" fontId="19" fillId="14" borderId="1" xfId="0" applyAlignment="1">
      <x:alignment horizontal="center" vertical="center"/>
    </x:xf>
    <x:xf numFmtId="0" fontId="17" fillId="13" borderId="1" xfId="0" applyAlignment="1">
      <x:alignment horizontal="center" vertical="center"/>
    </x:xf>
    <x:xf numFmtId="0" fontId="12" fillId="9" borderId="1" xfId="0" applyAlignment="1">
      <x:alignment vertical="top" wrapText="1"/>
    </x:xf>
    <x:xf numFmtId="0" fontId="4" fillId="10" borderId="1" xfId="0" applyAlignment="1">
      <x:alignment horizontal="center" vertical="center"/>
    </x:xf>
    <x:xf numFmtId="0" fontId="14" fillId="11" borderId="1" xfId="0" applyAlignment="1">
      <x:alignment vertical="top" wrapText="1"/>
    </x:xf>
    <x:xf numFmtId="0" fontId="7" fillId="7" borderId="1" xfId="0" applyAlignment="1">
      <x:alignment horizontal="center" vertical="center"/>
    </x:xf>
    <x:xf numFmtId="0" fontId="16" fillId="12" borderId="1" xfId="0" applyAlignment="1">
      <x:alignment vertical="top" wrapText="1"/>
    </x:xf>
    <x:xf numFmtId="0" fontId="18" fillId="13" borderId="1" xfId="0" applyAlignment="1">
      <x:alignment vertical="top" wrapText="1"/>
    </x:xf>
    <x:xf numFmtId="0" fontId="7" fillId="6" borderId="1" xfId="0" applyAlignment="1">
      <x:alignment horizontal="center" vertical="center"/>
    </x:xf>
    <x:xf numFmtId="0" fontId="20" fillId="14" borderId="1" xfId="0" applyAlignment="1">
      <x:alignment vertical="top" wrapText="1"/>
    </x:xf>
    <x:xf numFmtId="0" fontId="3" fillId="15" borderId="1" xfId="0" applyAlignment="1">
      <x:alignment vertical="top" wrapText="1"/>
    </x:xf>
    <x:xf numFmtId="0" fontId="4" fillId="15" borderId="1" xfId="0" applyAlignment="1">
      <x:alignment vertical="top" wrapText="1"/>
    </x:xf>
    <x:xf numFmtId="3" fontId="9" fillId="8" borderId="1" xfId="0" applyAlignment="1">
      <x:alignment horizontal="right" vertical="top"/>
    </x:xf>
    <x:xf numFmtId="166" fontId="9" fillId="8" borderId="1" xfId="0" applyAlignment="1">
      <x:alignment horizontal="right" vertical="top"/>
    </x:xf>
    <x:xf numFmtId="165" fontId="9" fillId="8" borderId="1" xfId="0" applyAlignment="1">
      <x:alignment horizontal="right" vertical="top"/>
    </x:xf>
    <x:xf numFmtId="164" fontId="9" fillId="8" borderId="1" xfId="0" applyAlignment="1">
      <x:alignment horizontal="right" vertical="top"/>
    </x:xf>
    <x:xf numFmtId="167" fontId="10" fillId="0" borderId="1" xfId="0" applyAlignment="1">
      <x:alignment horizontal="right" vertical="top"/>
    </x:xf>
    <x:xf numFmtId="0" fontId="0" fillId="3" borderId="0" xfId="0"/>
    <x:xf numFmtId="167" fontId="6" fillId="3" borderId="1" xfId="0" applyAlignment="1">
      <x:alignment horizontal="right" vertical="top"/>
    </x:xf>
    <x:xf numFmtId="167" fontId="6" fillId="0" borderId="1" xfId="0" applyAlignment="1">
      <x:alignment horizontal="right" vertical="top"/>
    </x:xf>
    <x:xf numFmtId="0" fontId="2" fillId="0" borderId="0" xfId="0" applyAlignment="1">
      <x:alignment vertical="top" wrapText="1"/>
    </x:xf>
    <x:xf numFmtId="164" fontId="6" fillId="0" borderId="1" xfId="0" applyAlignment="1">
      <x:alignment horizontal="right" vertical="top"/>
    </x:xf>
    <x:xf numFmtId="0" fontId="9" fillId="8" borderId="1" xfId="0" applyAlignment="1">
      <x:alignment vertical="top" wrapText="1"/>
    </x:xf>
    <x:xf numFmtId="0" fontId="0" fillId="0" borderId="6" xfId="0"/>
    <x:xf numFmtId="165" fontId="9" fillId="8" borderId="1" xfId="0" applyAlignment="1">
      <x:alignment vertical="top" wrapText="1"/>
    </x:xf>
    <x:xf numFmtId="3" fontId="9" fillId="8" borderId="1" xfId="0" applyAlignment="1">
      <x:alignment vertical="top" wrapText="1"/>
    </x:xf>
    <x:xf numFmtId="165" fontId="10" fillId="0" borderId="1" xfId="0" applyAlignment="1">
      <x:alignment horizontal="right" vertical="top"/>
    </x:xf>
    <x:xf numFmtId="168" fontId="6" fillId="16" borderId="1" xfId="0" applyAlignment="1">
      <x:alignment horizontal="right" vertical="top"/>
    </x:xf>
    <x:xf numFmtId="0" fontId="21" fillId="17" borderId="5" xfId="0" applyAlignment="1">
      <x:alignment horizontal="center" vertical="center"/>
    </x:xf>
    <x:xf numFmtId="0" fontId="2" fillId="0" borderId="5" xfId="0"/>
    <x:xf numFmtId="0" fontId="22" fillId="4" borderId="1" xfId="0" applyAlignment="1">
      <x:alignment horizontal="center" vertical="center"/>
    </x:xf>
    <x:xf numFmtId="0" fontId="6" fillId="0" borderId="1" xfId="0" applyAlignment="1">
      <x:alignment vertical="top" wrapText="1"/>
    </x:xf>
    <x:xf numFmtId="0" fontId="22" fillId="5" borderId="1" xfId="0" applyAlignment="1">
      <x:alignment horizontal="center" vertical="center"/>
    </x:xf>
    <x:xf numFmtId="0" fontId="22" fillId="6" borderId="1" xfId="0" applyAlignment="1">
      <x:alignment horizontal="center" vertical="center"/>
    </x:xf>
    <x:xf numFmtId="0" fontId="23" fillId="0" borderId="5" xfId="0"/>
    <x:xf numFmtId="0" fontId="8" fillId="0" borderId="5" xfId="0" applyAlignment="1">
      <x:alignment horizontal="center" vertical="center"/>
    </x:xf>
    <x:xf numFmtId="0" fontId="24" fillId="0" borderId="5" xfId="0"/>
    <x:xf numFmtId="0" fontId="4" fillId="0" borderId="5" xfId="0" applyAlignment="1">
      <x:alignment vertical="top" wrapText="1"/>
    </x:xf>
    <x:xf numFmtId="0" fontId="22" fillId="7" borderId="1" xfId="0" applyAlignment="1">
      <x:alignment horizontal="center" vertical="center"/>
    </x:xf>
    <x:xf numFmtId="0" fontId="25" fillId="0" borderId="5" xfId="0"/>
    <x:xf numFmtId="0" fontId="27" fillId="4" borderId="5" xfId="0" applyAlignment="1">
      <x:alignment horizontal="center" vertical="center"/>
    </x:xf>
    <x:xf numFmtId="0" fontId="13" fillId="18" borderId="1" xfId="0" applyAlignment="1">
      <x:alignment horizontal="center" vertical="center"/>
    </x:xf>
    <x:xf numFmtId="0" fontId="19" fillId="19" borderId="1" xfId="0" applyAlignment="1">
      <x:alignment horizontal="center" vertical="center"/>
    </x:xf>
    <x:xf numFmtId="0" fontId="28" fillId="3" borderId="1" xfId="0" applyAlignment="1">
      <x:alignment horizontal="center" vertical="center"/>
    </x:xf>
    <x:xf numFmtId="0" fontId="5" fillId="20" borderId="0" xfId="0" applyAlignment="1">
      <x:alignment horizontal="center" vertical="center"/>
    </x:xf>
    <x:xf numFmtId="0" fontId="29" fillId="21" borderId="1" xfId="0" applyAlignment="1">
      <x:alignment vertical="top" wrapText="1"/>
    </x:xf>
    <x:xf numFmtId="0" fontId="0" fillId="0" borderId="2" xfId="0"/>
    <x:xf numFmtId="0" fontId="0" fillId="0" borderId="3" xfId="0"/>
    <x:xf numFmtId="0" fontId="0" fillId="0" borderId="7" xfId="0"/>
    <x:xf numFmtId="0" fontId="0" fillId="0" borderId="8" xfId="0"/>
    <x:xf numFmtId="0" fontId="0" fillId="0" borderId="9" xfId="0"/>
    <x:xf numFmtId="0" fontId="0" fillId="0" borderId="10" xfId="0"/>
    <x:xf numFmtId="0" fontId="0" fillId="0" borderId="11" xfId="0"/>
    <x:xf numFmtId="0" fontId="5" fillId="4" borderId="0" xfId="0" applyAlignment="1">
      <x:alignment horizontal="center" vertical="center"/>
    </x:xf>
  </x:cellXfs>
  <x:cellStyles count="1">
    <x:cellStyle name="Normal" xfId="0"/>
  </x:cellStyles>
  <x:dxfs count="25">
    <x:dxf>
      <x:font>
        <x:b/>
        <x:sz val="10"/>
        <x:color rgb="00FFFFFF"/>
        <x:name val="Arial"/>
      </x:font>
      <x:fill>
        <x:patternFill>
          <x:bgColor rgb="00DC2626"/>
        </x:patternFill>
      </x:fill>
    </x:dxf>
    <x:dxf>
      <x:font>
        <x:b/>
        <x:sz val="10"/>
        <x:color rgb="00FFFFFF"/>
        <x:name val="Arial"/>
      </x:font>
      <x:fill>
        <x:patternFill>
          <x:bgColor rgb="00EA580C"/>
        </x:patternFill>
      </x:fill>
    </x:dxf>
    <x:dxf>
      <x:font>
        <x:b/>
        <x:sz val="10"/>
        <x:color rgb="00FFFFFF"/>
        <x:name val="Arial"/>
      </x:font>
      <x:fill>
        <x:patternFill>
          <x:bgColor rgb="00CA8A04"/>
        </x:patternFill>
      </x:fill>
    </x:dxf>
    <x:dxf>
      <x:font>
        <x:b/>
        <x:sz val="10"/>
        <x:color rgb="00FFFFFF"/>
        <x:name val="Arial"/>
      </x:font>
      <x:fill>
        <x:patternFill>
          <x:bgColor rgb="0065A30D"/>
        </x:patternFill>
      </x:fill>
    </x:dxf>
    <x:dxf>
      <x:fill>
        <x:patternFill>
          <x:bgColor rgb="00F3F4F6"/>
        </x:patternFill>
      </x:fill>
    </x:dxf>
    <x:dxf>
      <x:fill>
        <x:patternFill>
          <x:bgColor rgb="00FEF3C7"/>
        </x:patternFill>
      </x:fill>
    </x:dxf>
    <x:dxf>
      <x:fill>
        <x:patternFill>
          <x:bgColor rgb="00FECACA"/>
        </x:patternFill>
      </x:fill>
    </x:dxf>
    <x:dxf>
      <x:fill>
        <x:patternFill>
          <x:bgColor rgb="00D1FAE5"/>
        </x:patternFill>
      </x:fill>
    </x:dxf>
    <x:dxf>
      <x:font>
        <x:sz val="10"/>
        <x:color rgb="009CA3AF"/>
        <x:name val="Arial"/>
      </x:font>
      <x:fill>
        <x:patternFill>
          <x:bgColor rgb="00F3F4F6"/>
        </x:patternFill>
      </x:fill>
    </x:dxf>
    <x:dxf>
      <x:fill>
        <x:patternFill>
          <x:bgColor rgb="00E5E7EB"/>
        </x:patternFill>
      </x:fill>
    </x:dxf>
    <x:dxf>
      <x:font>
        <x:b/>
        <x:sz val="10"/>
        <x:color rgb="00991B1B"/>
        <x:name val="Arial"/>
      </x:font>
      <x:fill>
        <x:patternFill>
          <x:bgColor rgb="00FECACA"/>
        </x:patternFill>
      </x:fill>
    </x:dxf>
    <x:dxf>
      <x:font>
        <x:b/>
        <x:sz val="10"/>
        <x:color rgb="009A3412"/>
        <x:name val="Arial"/>
      </x:font>
      <x:fill>
        <x:patternFill>
          <x:bgColor rgb="00FED7AA"/>
        </x:patternFill>
      </x:fill>
    </x:dxf>
    <x:dxf>
      <x:font>
        <x:sz val="10"/>
        <x:color rgb="00065F46"/>
        <x:name val="Arial"/>
      </x:font>
      <x:fill>
        <x:patternFill>
          <x:bgColor rgb="00D1FAE5"/>
        </x:patternFill>
      </x:fill>
    </x:dxf>
    <x:dxf>
      <x:fill>
        <x:patternFill>
          <x:bgColor rgb="00DBEAFE"/>
        </x:patternFill>
      </x:fill>
    </x:dxf>
    <x:dxf>
      <x:fill>
        <x:patternFill>
          <x:bgColor rgb="00DCFCE7"/>
        </x:patternFill>
      </x:fill>
    </x:dxf>
    <x:dxf>
      <x:fill>
        <x:patternFill>
          <x:bgColor rgb="00FED7AA"/>
        </x:patternFill>
      </x:fill>
    </x:dxf>
    <x:dxf>
      <x:fill>
        <x:patternFill>
          <x:bgColor rgb="00FEE2E2"/>
        </x:patternFill>
      </x:fill>
    </x:dxf>
    <x:dxf>
      <x:font>
        <x:b/>
        <x:sz val="10"/>
        <x:color rgb="00065F46"/>
        <x:name val="Arial"/>
      </x:font>
      <x:fill>
        <x:patternFill>
          <x:bgColor rgb="0086EFAC"/>
        </x:patternFill>
      </x:fill>
    </x:dxf>
    <x:dxf>
      <x:font>
        <x:b/>
        <x:sz val="10"/>
        <x:color rgb="001E3A8A"/>
        <x:name val="Arial"/>
      </x:font>
      <x:fill>
        <x:patternFill>
          <x:bgColor rgb="0093C5FD"/>
        </x:patternFill>
      </x:fill>
    </x:dxf>
    <x:dxf>
      <x:font>
        <x:b/>
        <x:sz val="10"/>
        <x:color rgb="0078350F"/>
        <x:name val="Arial"/>
      </x:font>
      <x:fill>
        <x:patternFill>
          <x:bgColor rgb="00FDE68A"/>
        </x:patternFill>
      </x:fill>
    </x:dxf>
    <x:dxf>
      <x:font>
        <x:b/>
        <x:sz val="10"/>
        <x:color rgb="007C2D12"/>
        <x:name val="Arial"/>
      </x:font>
      <x:fill>
        <x:patternFill>
          <x:bgColor rgb="00FDBA74"/>
        </x:patternFill>
      </x:fill>
    </x:dxf>
    <x:dxf>
      <x:font>
        <x:b/>
        <x:sz val="10"/>
        <x:color rgb="007F1D1D"/>
        <x:name val="Arial"/>
      </x:font>
      <x:fill>
        <x:patternFill>
          <x:bgColor rgb="00FCA5A5"/>
        </x:patternFill>
      </x:fill>
    </x:dxf>
    <x:dxf>
      <x:font>
        <x:b/>
        <x:sz val="10"/>
        <x:color rgb="001E3A8A"/>
        <x:name val="Arial"/>
      </x:font>
      <x:fill>
        <x:patternFill>
          <x:bgColor rgb="00BFDBFE"/>
        </x:patternFill>
      </x:fill>
    </x:dxf>
    <x:dxf>
      <x:font>
        <x:b/>
        <x:sz val="10"/>
        <x:color rgb="007C2D12"/>
        <x:name val="Arial"/>
      </x:font>
      <x:fill>
        <x:patternFill>
          <x:bgColor rgb="00FED7AA"/>
        </x:patternFill>
      </x:fill>
    </x:dxf>
    <x:dxf>
      <x:font>
        <x:b/>
        <x:sz val="10"/>
        <x:color rgb="00374151"/>
        <x:name val="Arial"/>
      </x:font>
      <x:fill>
        <x:patternFill>
          <x:bgColor rgb="00E5E7EB"/>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ecc2f8e4af1458d" /><Relationship Type="http://schemas.openxmlformats.org/officeDocument/2006/relationships/theme" Target="/xl/theme/theme1.xml" Id="Rb67c814aee064ee5" /><Relationship Type="http://schemas.openxmlformats.org/officeDocument/2006/relationships/sharedStrings" Target="/xl/sharedStrings.xml" Id="Rcd8aa892ce0b4d14" /><Relationship Type="http://schemas.openxmlformats.org/officeDocument/2006/relationships/worksheet" Target="/xl/worksheets/sheet1.xml" Id="R79630c3435ff48bb" /><Relationship Type="http://schemas.openxmlformats.org/officeDocument/2006/relationships/worksheet" Target="/xl/worksheets/sheet2.xml" Id="R35c24e02d0fb4c50" /><Relationship Type="http://schemas.openxmlformats.org/officeDocument/2006/relationships/worksheet" Target="/xl/worksheets/sheet3.xml" Id="R3495243f5a32494e" /><Relationship Type="http://schemas.openxmlformats.org/officeDocument/2006/relationships/worksheet" Target="/xl/worksheets/sheet4.xml" Id="R2618c3e7635b41af" /><Relationship Type="http://schemas.openxmlformats.org/officeDocument/2006/relationships/worksheet" Target="/xl/worksheets/sheet5.xml" Id="R6936f795e17540fa" /><Relationship Type="http://schemas.openxmlformats.org/officeDocument/2006/relationships/worksheet" Target="/xl/worksheets/sheet6.xml" Id="Re88db63e07b94b05" /><Relationship Type="http://schemas.openxmlformats.org/officeDocument/2006/relationships/worksheet" Target="/xl/worksheets/sheet7.xml" Id="Rd27a19a2d1dd4567" /><Relationship Type="http://schemas.openxmlformats.org/officeDocument/2006/relationships/worksheet" Target="/xl/worksheets/sheet8.xml" Id="R6fe27779c7e746dd" /><Relationship Type="http://schemas.openxmlformats.org/officeDocument/2006/relationships/worksheet" Target="/xl/worksheets/sheet9.xml" Id="R6715b825d1534983" /><Relationship Type="http://schemas.openxmlformats.org/officeDocument/2006/relationships/worksheet" Target="/xl/worksheets/sheet10.xml" Id="R7b5c4ac4499046f5" /><Relationship Type="http://schemas.openxmlformats.org/officeDocument/2006/relationships/worksheet" Target="/xl/worksheets/sheet11.xml" Id="Rfd06cfd456ff4524" /><Relationship Type="http://schemas.openxmlformats.org/officeDocument/2006/relationships/worksheet" Target="/xl/worksheets/sheet12.xml" Id="R02402d639c49408d" /><Relationship Type="http://schemas.openxmlformats.org/officeDocument/2006/relationships/worksheet" Target="/xl/worksheets/sheet13.xml" Id="Rbffdf680160648e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95" customWidth="1"/>
  </x:cols>
  <x:sheetData>
    <x:row r="2">
      <x:c r="B2" s="1" t="inlineStr">
        <x:is>
          <x:t xml:space="preserve">AbarVa — Pilot Readiness Master Plan</x:t>
        </x:is>
      </x:c>
    </x:row>
    <x:row r="3">
      <x:c r="B3" s="2" t="inlineStr">
        <x:is>
          <x:t xml:space="preserve">Single source of truth for everything to do before signing &amp; launching the first pilot.</x:t>
        </x:is>
      </x:c>
    </x:row>
    <x:row r="4">
      <x:c r="B4" s="2" t="inlineStr">
        <x:is>
          <x:t xml:space="preserve">Owner: Anand Sundaram   |   Created: 2026-05-31   |   Target pilot kickoff: 2026-07-01</x:t>
        </x:is>
      </x:c>
    </x:row>
    <x:row r="5">
      <x:c r="B5" s="3" t="inlineStr">
        <x:is>
          <x:t xml:space="preserve"/>
        </x:is>
      </x:c>
      <x:c r="C5" s="4" t="inlineStr">
        <x:is>
          <x:t xml:space="preserve"/>
        </x:is>
      </x:c>
    </x:row>
    <x:row r="6">
      <x:c r="B6" s="3" t="inlineStr">
        <x:is>
          <x:t xml:space="preserve">Sheets</x:t>
        </x:is>
      </x:c>
      <x:c r="C6" s="4" t="inlineStr">
        <x:is>
          <x:t xml:space="preserve"/>
        </x:is>
      </x:c>
    </x:row>
    <x:row r="7">
      <x:c r="B7" s="3" t="inlineStr">
        <x:is>
          <x:t xml:space="preserve">Plan</x:t>
        </x:is>
      </x:c>
      <x:c r="C7" s="4" t="inlineStr">
        <x:is>
          <x:t xml:space="preserve">The master task list. Filter by Category / Priority / Status. This is what you knock off.</x:t>
        </x:is>
      </x:c>
    </x:row>
    <x:row r="8">
      <x:c r="B8" s="3" t="inlineStr">
        <x:is>
          <x:t xml:space="preserve">Dashboard</x:t>
        </x:is>
      </x:c>
      <x:c r="C8" s="4" t="inlineStr">
        <x:is>
          <x:t xml:space="preserve">Live counts by category and status — auto-calculated from Plan sheet.</x:t>
        </x:is>
      </x:c>
    </x:row>
    <x:row r="9">
      <x:c r="B9" s="3" t="inlineStr">
        <x:is>
          <x:t xml:space="preserve">Pricing</x:t>
        </x:is>
      </x:c>
      <x:c r="C9" s="4" t="inlineStr">
        <x:is>
          <x:t xml:space="preserve">Pilot + Year-1 commercial model. Edit blue cells to model scenarios.</x:t>
        </x:is>
      </x:c>
    </x:row>
    <x:row r="10">
      <x:c r="B10" s="3" t="inlineStr">
        <x:is>
          <x:t xml:space="preserve">Security Pack</x:t>
        </x:is>
      </x:c>
      <x:c r="C10" s="4" t="inlineStr">
        <x:is>
          <x:t xml:space="preserve">Pre-fill answers for SIG Lite / CAIQ vendor security questionnaires.</x:t>
        </x:is>
      </x:c>
    </x:row>
    <x:row r="11">
      <x:c r="B11" s="3" t="inlineStr">
        <x:is>
          <x:t xml:space="preserve">Redline Brief</x:t>
        </x:is>
      </x:c>
      <x:c r="C11" s="4" t="inlineStr">
        <x:is>
          <x:t xml:space="preserve">Your 8 non-negotiable contract clauses + fallback positions.</x:t>
        </x:is>
      </x:c>
    </x:row>
    <x:row r="12">
      <x:c r="B12" s="3" t="inlineStr">
        <x:is>
          <x:t xml:space="preserve">Risks</x:t>
        </x:is>
      </x:c>
      <x:c r="C12" s="4" t="inlineStr">
        <x:is>
          <x:t xml:space="preserve">Risk register — likelihood × impact, mitigation, owner.</x:t>
        </x:is>
      </x:c>
    </x:row>
    <x:row r="13">
      <x:c r="B13" s="3" t="inlineStr">
        <x:is>
          <x:t xml:space="preserve">🤖 Codex</x:t>
        </x:is>
      </x:c>
      <x:c r="C13" s="4" t="inlineStr">
        <x:is>
          <x:t xml:space="preserve">See docs/planning/CODEX_AUTONOMOUS_EXECUTION.md for autonomous multi-agent prompts (Waves 1-4 detailed + 5-6 sketched).</x:t>
        </x:is>
      </x:c>
    </x:row>
    <x:row r="14">
      <x:c r="B14" s="3" t="inlineStr">
        <x:is>
          <x:t xml:space="preserve">How to use</x:t>
        </x:is>
      </x:c>
      <x:c r="C14" s="4" t="inlineStr">
        <x:is>
          <x:t xml:space="preserve"/>
        </x:is>
      </x:c>
    </x:row>
    <x:row r="15">
      <x:c r="B15" s="3" t="inlineStr">
        <x:is>
          <x:t xml:space="preserve">1.</x:t>
        </x:is>
      </x:c>
      <x:c r="C15" s="4" t="inlineStr">
        <x:is>
          <x:t xml:space="preserve">Open Plan sheet. Pick a P0 task. Set Status to 'In progress'. Knock it off.</x:t>
        </x:is>
      </x:c>
    </x:row>
    <x:row r="16">
      <x:c r="B16" s="3" t="inlineStr">
        <x:is>
          <x:t xml:space="preserve">2.</x:t>
        </x:is>
      </x:c>
      <x:c r="C16" s="4" t="inlineStr">
        <x:is>
          <x:t xml:space="preserve">Update Status dropdown when done. Dashboard updates automatically.</x:t>
        </x:is>
      </x:c>
    </x:row>
    <x:row r="17">
      <x:c r="B17" s="3" t="inlineStr">
        <x:is>
          <x:t xml:space="preserve">3.</x:t>
        </x:is>
      </x:c>
      <x:c r="C17" s="4" t="inlineStr">
        <x:is>
          <x:t xml:space="preserve">Add new tasks at the bottom of Plan — just keep TaskID format (TXX) and Category consistent.</x:t>
        </x:is>
      </x:c>
    </x:row>
    <x:row r="18">
      <x:c r="B18" s="3" t="inlineStr">
        <x:is>
          <x:t xml:space="preserve">4.</x:t>
        </x:is>
      </x:c>
      <x:c r="C18" s="4" t="inlineStr">
        <x:is>
          <x:t xml:space="preserve">Pricing sheet — change the blue input cells to model different pilot/year-1 scenarios.</x:t>
        </x:is>
      </x:c>
    </x:row>
    <x:row r="19">
      <x:c r="B19" s="3" t="inlineStr">
        <x:is>
          <x:t xml:space="preserve">5.</x:t>
        </x:is>
      </x:c>
      <x:c r="C19" s="4" t="inlineStr">
        <x:is>
          <x:t xml:space="preserve">Before any client meeting, scan Security Pack + Redline Brief tabs.</x:t>
        </x:is>
      </x:c>
    </x:row>
    <x:row r="20">
      <x:c r="B20" s="3" t="inlineStr">
        <x:is>
          <x:t xml:space="preserve"/>
        </x:is>
      </x:c>
      <x:c r="C20" s="4" t="inlineStr">
        <x:is>
          <x:t xml:space="preserve"/>
        </x:is>
      </x:c>
    </x:row>
    <x:row r="21">
      <x:c r="B21" s="3" t="inlineStr">
        <x:is>
          <x:t xml:space="preserve">Legend — Priority</x:t>
        </x:is>
      </x:c>
      <x:c r="C21" s="4" t="inlineStr">
        <x:is>
          <x:t xml:space="preserve"/>
        </x:is>
      </x:c>
    </x:row>
    <x:row r="22">
      <x:c r="B22" s="3" t="inlineStr">
        <x:is>
          <x:t xml:space="preserve">P0</x:t>
        </x:is>
      </x:c>
      <x:c r="C22" s="4" t="inlineStr">
        <x:is>
          <x:t xml:space="preserve">Must be done before signing pilot contract</x:t>
        </x:is>
      </x:c>
    </x:row>
    <x:row r="23">
      <x:c r="B23" s="3" t="inlineStr">
        <x:is>
          <x:t xml:space="preserve">P1</x:t>
        </x:is>
      </x:c>
      <x:c r="C23" s="4" t="inlineStr">
        <x:is>
          <x:t xml:space="preserve">Must be done before pilot kickoff (data plane stood up)</x:t>
        </x:is>
      </x:c>
    </x:row>
    <x:row r="24">
      <x:c r="B24" s="3" t="inlineStr">
        <x:is>
          <x:t xml:space="preserve">P2</x:t>
        </x:is>
      </x:c>
      <x:c r="C24" s="4" t="inlineStr">
        <x:is>
          <x:t xml:space="preserve">Must be done during pilot (before year-1 conversion)</x:t>
        </x:is>
      </x:c>
    </x:row>
    <x:row r="25">
      <x:c r="B25" s="3" t="inlineStr">
        <x:is>
          <x:t xml:space="preserve">P3</x:t>
        </x:is>
      </x:c>
      <x:c r="C25" s="4" t="inlineStr">
        <x:is>
          <x:t xml:space="preserve">Nice to have / can defer to post-pilot</x:t>
        </x:is>
      </x:c>
    </x:row>
    <x:row r="26">
      <x:c r="B26" s="3" t="inlineStr">
        <x:is>
          <x:t xml:space="preserve"/>
        </x:is>
      </x:c>
      <x:c r="C26" s="4" t="inlineStr">
        <x:is>
          <x:t xml:space="preserve"/>
        </x:is>
      </x:c>
    </x:row>
    <x:row r="27">
      <x:c r="B27" s="3" t="inlineStr">
        <x:is>
          <x:t xml:space="preserve">Legend — Status</x:t>
        </x:is>
      </x:c>
      <x:c r="C27" s="4" t="inlineStr">
        <x:is>
          <x:t xml:space="preserve"/>
        </x:is>
      </x:c>
    </x:row>
    <x:row r="28">
      <x:c r="B28" s="3" t="inlineStr">
        <x:is>
          <x:t xml:space="preserve">Not started</x:t>
        </x:is>
      </x:c>
      <x:c r="C28" s="4" t="inlineStr">
        <x:is>
          <x:t xml:space="preserve">Not begun</x:t>
        </x:is>
      </x:c>
    </x:row>
    <x:row r="29">
      <x:c r="B29" s="3" t="inlineStr">
        <x:is>
          <x:t xml:space="preserve">In progress</x:t>
        </x:is>
      </x:c>
      <x:c r="C29" s="4" t="inlineStr">
        <x:is>
          <x:t xml:space="preserve">Actively working</x:t>
        </x:is>
      </x:c>
    </x:row>
    <x:row r="30">
      <x:c r="B30" s="3" t="inlineStr">
        <x:is>
          <x:t xml:space="preserve">Blocked</x:t>
        </x:is>
      </x:c>
      <x:c r="C30" s="4" t="inlineStr">
        <x:is>
          <x:t xml:space="preserve">Waiting on external party or decision</x:t>
        </x:is>
      </x:c>
    </x:row>
    <x:row r="31">
      <x:c r="B31" s="3" t="inlineStr">
        <x:is>
          <x:t xml:space="preserve">Done</x:t>
        </x:is>
      </x:c>
      <x:c r="C31" s="4" t="inlineStr">
        <x:is>
          <x:t xml:space="preserve">Complete</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12" customWidth="1"/>
    <x:col min="4" max="4" width="12" customWidth="1"/>
    <x:col min="5" max="5" width="12" customWidth="1"/>
    <x:col min="6" max="6" width="3" customWidth="1"/>
    <x:col min="7" max="7" width="20" customWidth="1"/>
    <x:col min="8" max="8" width="10" customWidth="1"/>
    <x:col min="9" max="9" width="10" customWidth="1"/>
    <x:col min="10" max="10" width="12" customWidth="1"/>
    <x:col min="11" max="11" width="12" customWidth="1"/>
    <x:col min="13" max="13" width="14" customWidth="1"/>
    <x:col min="14" max="14" width="8" customWidth="1"/>
    <x:col min="15" max="15" width="8" customWidth="1"/>
  </x:cols>
  <x:sheetData>
    <x:row r="2">
      <x:c r="B2" s="1" t="inlineStr">
        <x:is>
          <x:t xml:space="preserve">Dashboard</x:t>
        </x:is>
      </x:c>
    </x:row>
    <x:row r="3">
      <x:c r="B3" s="2" t="inlineStr">
        <x:is>
          <x:t xml:space="preserve">Auto-calculated from the Plan sheet. Filter Plan to drill in.</x:t>
        </x:is>
      </x:c>
    </x:row>
    <x:row r="5">
      <x:c r="B5" s="5" t="inlineStr">
        <x:is>
          <x:t xml:space="preserve">Overall Progress</x:t>
        </x:is>
      </x:c>
      <x:c r="G5" s="5" t="inlineStr">
        <x:is>
          <x:t xml:space="preserve">By Category</x:t>
        </x:is>
      </x:c>
    </x:row>
    <x:row r="6">
      <x:c r="B6" s="6" t="inlineStr">
        <x:is>
          <x:t xml:space="preserve">Total tasks</x:t>
        </x:is>
      </x:c>
      <x:c r="C6" s="7" t="n">
        <x:f>COUNTA(Plan!A5:A333)</x:f>
        <x:v>329</x:v>
      </x:c>
      <x:c r="G6" s="8" t="inlineStr">
        <x:is>
          <x:t xml:space="preserve">Category</x:t>
        </x:is>
      </x:c>
      <x:c r="H6" s="8" t="inlineStr">
        <x:is>
          <x:t xml:space="preserve">Total</x:t>
        </x:is>
      </x:c>
      <x:c r="I6" s="8" t="inlineStr">
        <x:is>
          <x:t xml:space="preserve">Done</x:t>
        </x:is>
      </x:c>
      <x:c r="J6" s="8" t="inlineStr">
        <x:is>
          <x:t xml:space="preserve">In progress</x:t>
        </x:is>
      </x:c>
      <x:c r="K6" s="8" t="inlineStr">
        <x:is>
          <x:t xml:space="preserve">% Done</x:t>
        </x:is>
      </x:c>
    </x:row>
    <x:row r="7">
      <x:c r="B7" s="6" t="inlineStr">
        <x:is>
          <x:t xml:space="preserve">Done</x:t>
        </x:is>
      </x:c>
      <x:c r="C7" s="7" t="n">
        <x:f>COUNTIF(Plan!L5:L333,"Done")</x:f>
        <x:v>6</x:v>
      </x:c>
      <x:c r="G7" s="6" t="inlineStr">
        <x:is>
          <x:t xml:space="preserve">Business Setup</x:t>
        </x:is>
      </x:c>
      <x:c r="H7" s="9" t="n">
        <x:f>COUNTIF(Plan!B5:B333,"Business Setup")</x:f>
        <x:v>15</x:v>
      </x:c>
      <x:c r="I7" s="9" t="n">
        <x:f>COUNTIFS(Plan!B5:B333,"Business Setup",Plan!L5:L333,"Done")</x:f>
        <x:v>0</x:v>
      </x:c>
      <x:c r="J7" s="9" t="n">
        <x:f>COUNTIFS(Plan!B5:B333,"Business Setup",Plan!L5:L333,"In progress")</x:f>
        <x:v>0</x:v>
      </x:c>
      <x:c r="K7" s="10" t="n">
        <x:f>IFERROR(I7/H7,0)</x:f>
        <x:v>0</x:v>
      </x:c>
    </x:row>
    <x:row r="8">
      <x:c r="B8" s="6" t="inlineStr">
        <x:is>
          <x:t xml:space="preserve">In progress</x:t>
        </x:is>
      </x:c>
      <x:c r="C8" s="7" t="n">
        <x:f>COUNTIF(Plan!L5:L333,"In progress")</x:f>
        <x:v>0</x:v>
      </x:c>
      <x:c r="G8" s="6" t="inlineStr">
        <x:is>
          <x:t xml:space="preserve">Contract &amp; Legal</x:t>
        </x:is>
      </x:c>
      <x:c r="H8" s="9" t="n">
        <x:f>COUNTIF(Plan!B5:B333,"Contract &amp; Legal")</x:f>
        <x:v>12</x:v>
      </x:c>
      <x:c r="I8" s="9" t="n">
        <x:f>COUNTIFS(Plan!B5:B333,"Contract &amp; Legal",Plan!L5:L333,"Done")</x:f>
        <x:v>0</x:v>
      </x:c>
      <x:c r="J8" s="9" t="n">
        <x:f>COUNTIFS(Plan!B5:B333,"Contract &amp; Legal",Plan!L5:L333,"In progress")</x:f>
        <x:v>0</x:v>
      </x:c>
      <x:c r="K8" s="10" t="n">
        <x:f>IFERROR(I8/H8,0)</x:f>
        <x:v>0</x:v>
      </x:c>
    </x:row>
    <x:row r="9">
      <x:c r="B9" s="6" t="inlineStr">
        <x:is>
          <x:t xml:space="preserve">Blocked</x:t>
        </x:is>
      </x:c>
      <x:c r="C9" s="7" t="n">
        <x:f>COUNTIF(Plan!L5:L333,"Blocked")</x:f>
        <x:v>0</x:v>
      </x:c>
      <x:c r="G9" s="6" t="inlineStr">
        <x:is>
          <x:t xml:space="preserve">Architecture</x:t>
        </x:is>
      </x:c>
      <x:c r="H9" s="9" t="n">
        <x:f>COUNTIF(Plan!B5:B333,"Architecture")</x:f>
        <x:v>44</x:v>
      </x:c>
      <x:c r="I9" s="9" t="n">
        <x:f>COUNTIFS(Plan!B5:B333,"Architecture",Plan!L5:L333,"Done")</x:f>
        <x:v>0</x:v>
      </x:c>
      <x:c r="J9" s="9" t="n">
        <x:f>COUNTIFS(Plan!B5:B333,"Architecture",Plan!L5:L333,"In progress")</x:f>
        <x:v>0</x:v>
      </x:c>
      <x:c r="K9" s="10" t="n">
        <x:f>IFERROR(I9/H9,0)</x:f>
        <x:v>0</x:v>
      </x:c>
    </x:row>
    <x:row r="10">
      <x:c r="B10" s="6" t="inlineStr">
        <x:is>
          <x:t xml:space="preserve">Not started</x:t>
        </x:is>
      </x:c>
      <x:c r="C10" s="7" t="n">
        <x:f>COUNTIF(Plan!L5:L333,"Not started")</x:f>
        <x:v>323</x:v>
      </x:c>
      <x:c r="G10" s="6" t="inlineStr">
        <x:is>
          <x:t xml:space="preserve">Pilot Ops</x:t>
        </x:is>
      </x:c>
      <x:c r="H10" s="9" t="n">
        <x:f>COUNTIF(Plan!B5:B333,"Pilot Ops")</x:f>
        <x:v>7</x:v>
      </x:c>
      <x:c r="I10" s="9" t="n">
        <x:f>COUNTIFS(Plan!B5:B333,"Pilot Ops",Plan!L5:L333,"Done")</x:f>
        <x:v>0</x:v>
      </x:c>
      <x:c r="J10" s="9" t="n">
        <x:f>COUNTIFS(Plan!B5:B333,"Pilot Ops",Plan!L5:L333,"In progress")</x:f>
        <x:v>0</x:v>
      </x:c>
      <x:c r="K10" s="10" t="n">
        <x:f>IFERROR(I10/H10,0)</x:f>
        <x:v>0</x:v>
      </x:c>
    </x:row>
    <x:row r="11">
      <x:c r="B11" s="6" t="inlineStr">
        <x:is>
          <x:t xml:space="preserve">% Complete</x:t>
        </x:is>
      </x:c>
      <x:c r="C11" s="11" t="n">
        <x:f>IFERROR(C7/C6,0)</x:f>
        <x:v>0.0182370820668693</x:v>
      </x:c>
      <x:c r="G11" s="6" t="inlineStr">
        <x:is>
          <x:t xml:space="preserve">Commercial</x:t>
        </x:is>
      </x:c>
      <x:c r="H11" s="9" t="n">
        <x:f>COUNTIF(Plan!B5:B333,"Commercial")</x:f>
        <x:v>11</x:v>
      </x:c>
      <x:c r="I11" s="9" t="n">
        <x:f>COUNTIFS(Plan!B5:B333,"Commercial",Plan!L5:L333,"Done")</x:f>
        <x:v>0</x:v>
      </x:c>
      <x:c r="J11" s="9" t="n">
        <x:f>COUNTIFS(Plan!B5:B333,"Commercial",Plan!L5:L333,"In progress")</x:f>
        <x:v>0</x:v>
      </x:c>
      <x:c r="K11" s="10" t="n">
        <x:f>IFERROR(I11/H11,0)</x:f>
        <x:v>0</x:v>
      </x:c>
    </x:row>
    <x:row r="12">
      <x:c r="G12" s="6" t="inlineStr">
        <x:is>
          <x:t xml:space="preserve">Sales</x:t>
        </x:is>
      </x:c>
      <x:c r="H12" s="9" t="n">
        <x:f>COUNTIF(Plan!B5:B333,"Sales")</x:f>
        <x:v>50</x:v>
      </x:c>
      <x:c r="I12" s="9" t="n">
        <x:f>COUNTIFS(Plan!B5:B333,"Sales",Plan!L5:L333,"Done")</x:f>
        <x:v>0</x:v>
      </x:c>
      <x:c r="J12" s="9" t="n">
        <x:f>COUNTIFS(Plan!B5:B333,"Sales",Plan!L5:L333,"In progress")</x:f>
        <x:v>0</x:v>
      </x:c>
      <x:c r="K12" s="10" t="n">
        <x:f>IFERROR(I12/H12,0)</x:f>
        <x:v>0</x:v>
      </x:c>
    </x:row>
    <x:row r="13">
      <x:c r="B13" s="5" t="inlineStr">
        <x:is>
          <x:t xml:space="preserve">By Priority</x:t>
        </x:is>
      </x:c>
      <x:c r="G13" s="6" t="inlineStr">
        <x:is>
          <x:t xml:space="preserve">IP &amp; Trademark</x:t>
        </x:is>
      </x:c>
      <x:c r="H13" s="9" t="n">
        <x:f>COUNTIF(Plan!B5:B333,"IP &amp; Trademark")</x:f>
        <x:v>11</x:v>
      </x:c>
      <x:c r="I13" s="9" t="n">
        <x:f>COUNTIFS(Plan!B5:B333,"IP &amp; Trademark",Plan!L5:L333,"Done")</x:f>
        <x:v>0</x:v>
      </x:c>
      <x:c r="J13" s="9" t="n">
        <x:f>COUNTIFS(Plan!B5:B333,"IP &amp; Trademark",Plan!L5:L333,"In progress")</x:f>
        <x:v>0</x:v>
      </x:c>
      <x:c r="K13" s="10" t="n">
        <x:f>IFERROR(I13/H13,0)</x:f>
        <x:v>0</x:v>
      </x:c>
      <x:c r="M13" s="5" t="inlineStr">
        <x:is>
          <x:t xml:space="preserve">By Phase</x:t>
        </x:is>
      </x:c>
    </x:row>
    <x:row r="14">
      <x:c r="B14" s="8" t="inlineStr">
        <x:is>
          <x:t xml:space="preserve">Priority</x:t>
        </x:is>
      </x:c>
      <x:c r="C14" s="8" t="inlineStr">
        <x:is>
          <x:t xml:space="preserve">Total</x:t>
        </x:is>
      </x:c>
      <x:c r="D14" s="8" t="inlineStr">
        <x:is>
          <x:t xml:space="preserve">Done</x:t>
        </x:is>
      </x:c>
      <x:c r="E14" s="8" t="inlineStr">
        <x:is>
          <x:t xml:space="preserve">% Done</x:t>
        </x:is>
      </x:c>
      <x:c r="G14" s="6" t="inlineStr">
        <x:is>
          <x:t xml:space="preserve">Eng Governance</x:t>
        </x:is>
      </x:c>
      <x:c r="H14" s="9" t="n">
        <x:f>COUNTIF(Plan!B5:B333,"Eng Governance")</x:f>
        <x:v>29</x:v>
      </x:c>
      <x:c r="I14" s="9" t="n">
        <x:f>COUNTIFS(Plan!B5:B333,"Eng Governance",Plan!L5:L333,"Done")</x:f>
        <x:v>0</x:v>
      </x:c>
      <x:c r="J14" s="9" t="n">
        <x:f>COUNTIFS(Plan!B5:B333,"Eng Governance",Plan!L5:L333,"In progress")</x:f>
        <x:v>0</x:v>
      </x:c>
      <x:c r="K14" s="10" t="n">
        <x:f>IFERROR(I14/H14,0)</x:f>
        <x:v>0</x:v>
      </x:c>
      <x:c r="M14" s="8" t="inlineStr">
        <x:is>
          <x:t xml:space="preserve">Phase</x:t>
        </x:is>
      </x:c>
      <x:c r="N14" s="8" t="inlineStr">
        <x:is>
          <x:t xml:space="preserve">Total</x:t>
        </x:is>
      </x:c>
      <x:c r="O14" s="8" t="inlineStr">
        <x:is>
          <x:t xml:space="preserve">Done</x:t>
        </x:is>
      </x:c>
    </x:row>
    <x:row r="15">
      <x:c r="B15" s="12" t="inlineStr">
        <x:is>
          <x:t xml:space="preserve">P0</x:t>
        </x:is>
      </x:c>
      <x:c r="C15" s="9" t="n">
        <x:f>COUNTIF(Plan!E5:E333,"P0")</x:f>
        <x:v>216</x:v>
      </x:c>
      <x:c r="D15" s="9" t="n">
        <x:f>COUNTIFS(Plan!E5:E333,"P0",Plan!L5:L333,"Done")</x:f>
        <x:v>6</x:v>
      </x:c>
      <x:c r="E15" s="10" t="n">
        <x:f>IFERROR(D15/C15,0)</x:f>
        <x:v>0.027777777777777776</x:v>
      </x:c>
      <x:c r="G15" s="6" t="inlineStr">
        <x:is>
          <x:t xml:space="preserve">Operational Readiness</x:t>
        </x:is>
      </x:c>
      <x:c r="H15" s="9" t="n">
        <x:f>COUNTIF(Plan!B5:B333,"Operational Readiness")</x:f>
        <x:v>19</x:v>
      </x:c>
      <x:c r="I15" s="9" t="n">
        <x:f>COUNTIFS(Plan!B5:B333,"Operational Readiness",Plan!L5:L333,"Done")</x:f>
        <x:v>0</x:v>
      </x:c>
      <x:c r="J15" s="9" t="n">
        <x:f>COUNTIFS(Plan!B5:B333,"Operational Readiness",Plan!L5:L333,"In progress")</x:f>
        <x:v>0</x:v>
      </x:c>
      <x:c r="K15" s="10" t="n">
        <x:f>IFERROR(I15/H15,0)</x:f>
        <x:v>0</x:v>
      </x:c>
      <x:c r="M15" s="82" t="inlineStr">
        <x:is>
          <x:t xml:space="preserve">Pre-Resign</x:t>
        </x:is>
      </x:c>
      <x:c r="N15" s="9" t="n">
        <x:f>COUNTIF(Plan!K5:K333,"Pre-Resign")</x:f>
        <x:v>86</x:v>
      </x:c>
      <x:c r="O15" s="9" t="n">
        <x:f>COUNTIFS(Plan!K5:K333,"Pre-Resign",Plan!L5:L333,"Done")</x:f>
        <x:v>1</x:v>
      </x:c>
    </x:row>
    <x:row r="16">
      <x:c r="B16" s="13" t="inlineStr">
        <x:is>
          <x:t xml:space="preserve">P1</x:t>
        </x:is>
      </x:c>
      <x:c r="C16" s="9" t="n">
        <x:f>COUNTIF(Plan!E5:E333,"P1")</x:f>
        <x:v>90</x:v>
      </x:c>
      <x:c r="D16" s="9" t="n">
        <x:f>COUNTIFS(Plan!E5:E333,"P1",Plan!L5:L333,"Done")</x:f>
        <x:v>0</x:v>
      </x:c>
      <x:c r="E16" s="10" t="n">
        <x:f>IFERROR(D16/C16,0)</x:f>
        <x:v>0</x:v>
      </x:c>
      <x:c r="G16" s="6" t="inlineStr">
        <x:is>
          <x:t xml:space="preserve">Startup Credits</x:t>
        </x:is>
      </x:c>
      <x:c r="H16" s="9" t="n">
        <x:f>COUNTIF(Plan!B5:B333,"Startup Credits")</x:f>
        <x:v>13</x:v>
      </x:c>
      <x:c r="I16" s="9" t="n">
        <x:f>COUNTIFS(Plan!B5:B333,"Startup Credits",Plan!L5:L333,"Done")</x:f>
        <x:v>0</x:v>
      </x:c>
      <x:c r="J16" s="9" t="n">
        <x:f>COUNTIFS(Plan!B5:B333,"Startup Credits",Plan!L5:L333,"In progress")</x:f>
        <x:v>0</x:v>
      </x:c>
      <x:c r="K16" s="10" t="n">
        <x:f>IFERROR(I16/H16,0)</x:f>
        <x:v>0</x:v>
      </x:c>
      <x:c r="M16" s="40" t="inlineStr">
        <x:is>
          <x:t xml:space="preserve">At-Resign</x:t>
        </x:is>
      </x:c>
      <x:c r="N16" s="9" t="n">
        <x:f>COUNTIF(Plan!K5:K333,"At-Resign")</x:f>
        <x:v>0</x:v>
      </x:c>
      <x:c r="O16" s="9" t="n">
        <x:f>COUNTIFS(Plan!K5:K333,"At-Resign",Plan!L5:L333,"Done")</x:f>
        <x:v>0</x:v>
      </x:c>
    </x:row>
    <x:row r="17">
      <x:c r="B17" s="14" t="inlineStr">
        <x:is>
          <x:t xml:space="preserve">P2</x:t>
        </x:is>
      </x:c>
      <x:c r="C17" s="9" t="n">
        <x:f>COUNTIF(Plan!E5:E333,"P2")</x:f>
        <x:v>21</x:v>
      </x:c>
      <x:c r="D17" s="9" t="n">
        <x:f>COUNTIFS(Plan!E5:E333,"P2",Plan!L5:L333,"Done")</x:f>
        <x:v>0</x:v>
      </x:c>
      <x:c r="E17" s="10" t="n">
        <x:f>IFERROR(D17/C17,0)</x:f>
        <x:v>0</x:v>
      </x:c>
      <x:c r="G17" s="6" t="inlineStr">
        <x:is>
          <x:t xml:space="preserve">Internal Rehearsal</x:t>
        </x:is>
      </x:c>
      <x:c r="H17" s="9" t="n">
        <x:f>COUNTIF(Plan!B5:B333,"Internal Rehearsal")</x:f>
        <x:v>16</x:v>
      </x:c>
      <x:c r="I17" s="9" t="n">
        <x:f>COUNTIFS(Plan!B5:B333,"Internal Rehearsal",Plan!L5:L333,"Done")</x:f>
        <x:v>0</x:v>
      </x:c>
      <x:c r="J17" s="9" t="n">
        <x:f>COUNTIFS(Plan!B5:B333,"Internal Rehearsal",Plan!L5:L333,"In progress")</x:f>
        <x:v>0</x:v>
      </x:c>
      <x:c r="K17" s="10" t="n">
        <x:f>IFERROR(I17/H17,0)</x:f>
        <x:v>0</x:v>
      </x:c>
      <x:c r="M17" s="83" t="inlineStr">
        <x:is>
          <x:t xml:space="preserve">Post-Resign</x:t>
        </x:is>
      </x:c>
      <x:c r="N17" s="9" t="n">
        <x:f>COUNTIF(Plan!K5:K333,"Post-Resign")</x:f>
        <x:v>61</x:v>
      </x:c>
      <x:c r="O17" s="9" t="n">
        <x:f>COUNTIFS(Plan!K5:K333,"Post-Resign",Plan!L5:L333,"Done")</x:f>
        <x:v>0</x:v>
      </x:c>
    </x:row>
    <x:row r="18">
      <x:c r="B18" s="15" t="inlineStr">
        <x:is>
          <x:t xml:space="preserve">P3</x:t>
        </x:is>
      </x:c>
      <x:c r="C18" s="9" t="n">
        <x:f>COUNTIF(Plan!E5:E333,"P3")</x:f>
        <x:v>2</x:v>
      </x:c>
      <x:c r="D18" s="9" t="n">
        <x:f>COUNTIFS(Plan!E5:E333,"P3",Plan!L5:L333,"Done")</x:f>
        <x:v>0</x:v>
      </x:c>
      <x:c r="E18" s="10" t="n">
        <x:f>IFERROR(D18/C18,0)</x:f>
        <x:v>0</x:v>
      </x:c>
      <x:c r="G18" s="6" t="inlineStr">
        <x:is>
          <x:t xml:space="preserve">Pressure Test</x:t>
        </x:is>
      </x:c>
      <x:c r="H18" s="9" t="n">
        <x:f>COUNTIF(Plan!B5:B333,"Pressure Test")</x:f>
        <x:v>12</x:v>
      </x:c>
      <x:c r="I18" s="9" t="n">
        <x:f>COUNTIFS(Plan!B5:B333,"Pressure Test",Plan!L5:L333,"Done")</x:f>
        <x:v>0</x:v>
      </x:c>
      <x:c r="J18" s="9" t="n">
        <x:f>COUNTIFS(Plan!B5:B333,"Pressure Test",Plan!L5:L333,"In progress")</x:f>
        <x:v>0</x:v>
      </x:c>
      <x:c r="K18" s="10" t="n">
        <x:f>IFERROR(I18/H18,0)</x:f>
        <x:v>0</x:v>
      </x:c>
      <x:c r="M18" s="84" t="inlineStr">
        <x:is>
          <x:t xml:space="preserve">Anytime</x:t>
        </x:is>
      </x:c>
      <x:c r="N18" s="9" t="n">
        <x:f>COUNTIF(Plan!K5:K333,"Anytime")</x:f>
        <x:v>182</x:v>
      </x:c>
      <x:c r="O18" s="9" t="n">
        <x:f>COUNTIFS(Plan!K5:K333,"Anytime",Plan!L5:L333,"Done")</x:f>
        <x:v>5</x:v>
      </x:c>
    </x:row>
    <x:row r="19">
      <x:c r="G19" s="6" t="inlineStr">
        <x:is>
          <x:t xml:space="preserve">Adversarial Test</x:t>
        </x:is>
      </x:c>
      <x:c r="H19" s="9" t="n">
        <x:f>COUNTIF(Plan!B5:B333,"Adversarial Test")</x:f>
        <x:v>17</x:v>
      </x:c>
      <x:c r="I19" s="9" t="n">
        <x:f>COUNTIFS(Plan!B5:B333,"Adversarial Test",Plan!L5:L333,"Done")</x:f>
        <x:v>0</x:v>
      </x:c>
      <x:c r="J19" s="9" t="n">
        <x:f>COUNTIFS(Plan!B5:B333,"Adversarial Test",Plan!L5:L333,"In progress")</x:f>
        <x:v>0</x:v>
      </x:c>
      <x:c r="K19" s="10" t="n">
        <x:f>IFERROR(I19/H19,0)</x:f>
        <x:v>0</x:v>
      </x:c>
    </x:row>
    <x:row r="20">
      <x:c r="B20" s="37" t="inlineStr">
        <x:is>
          <x:t xml:space="preserve">By Ease (knock-off ladder)</x:t>
        </x:is>
      </x:c>
      <x:c r="F20" s="36" t="n"/>
      <x:c r="G20" s="6" t="inlineStr">
        <x:is>
          <x:t xml:space="preserve">AI Liability Defense</x:t>
        </x:is>
      </x:c>
      <x:c r="H20" s="9" t="n">
        <x:f>COUNTIF(Plan!B5:B333,"AI Liability Defense")</x:f>
        <x:v>49</x:v>
      </x:c>
      <x:c r="I20" s="9" t="n">
        <x:f>COUNTIFS(Plan!B5:B333,"AI Liability Defense",Plan!L5:L333,"Done")</x:f>
        <x:v>6</x:v>
      </x:c>
      <x:c r="J20" s="9" t="n">
        <x:f>COUNTIFS(Plan!B5:B333,"AI Liability Defense",Plan!L5:L333,"In progress")</x:f>
        <x:v>0</x:v>
      </x:c>
      <x:c r="K20" s="10" t="n">
        <x:f>IFERROR(I20/H20,0)</x:f>
        <x:v>0.12244897959183673</x:v>
      </x:c>
    </x:row>
    <x:row r="21">
      <x:c r="B21" s="8" t="inlineStr">
        <x:is>
          <x:t xml:space="preserve">Ease bucket</x:t>
        </x:is>
      </x:c>
      <x:c r="C21" s="8" t="inlineStr">
        <x:is>
          <x:t xml:space="preserve">Total</x:t>
        </x:is>
      </x:c>
      <x:c r="D21" s="8" t="inlineStr">
        <x:is>
          <x:t xml:space="preserve">Done</x:t>
        </x:is>
      </x:c>
      <x:c r="E21" s="8" t="inlineStr">
        <x:is>
          <x:t xml:space="preserve">% Done</x:t>
        </x:is>
      </x:c>
      <x:c r="F21" s="36" t="n"/>
      <x:c r="G21" s="36" t="n"/>
      <x:c r="H21" s="36" t="n"/>
      <x:c r="I21" s="36" t="n"/>
      <x:c r="J21" s="36" t="n"/>
      <x:c r="K21" s="36" t="n"/>
    </x:row>
    <x:row r="22">
      <x:c r="B22" s="38" t="inlineStr">
        <x:is>
          <x:t xml:space="preserve">1. QUICK WIN</x:t>
        </x:is>
      </x:c>
      <x:c r="C22" s="9" t="n">
        <x:f>COUNTIF(Plan!F5:F333,"1. QUICK WIN")</x:f>
        <x:v>35</x:v>
      </x:c>
      <x:c r="D22" s="9" t="n">
        <x:f>COUNTIFS(Plan!F5:F333,"1. QUICK WIN",Plan!L5:L333,"Done")</x:f>
        <x:v>0</x:v>
      </x:c>
      <x:c r="E22" s="10" t="n">
        <x:f>IFERROR(D22/C22,0)</x:f>
        <x:v>0</x:v>
      </x:c>
      <x:c r="F22" s="36" t="n"/>
      <x:c r="G22" s="6" t="inlineStr">
        <x:is>
          <x:t xml:space="preserve">Employer Conflict</x:t>
        </x:is>
      </x:c>
      <x:c r="H22" s="9" t="n">
        <x:f>COUNTIF(Plan!B5:B333,"Employer Conflict")</x:f>
        <x:v>24</x:v>
      </x:c>
      <x:c r="I22" s="9" t="n">
        <x:f>COUNTIFS(Plan!B5:B333,"Employer Conflict",Plan!L5:L333,"Done")</x:f>
        <x:v>0</x:v>
      </x:c>
      <x:c r="J22" s="9" t="n">
        <x:f>COUNTIFS(Plan!B5:B333,"Employer Conflict",Plan!L5:L333,"In progress")</x:f>
        <x:v>0</x:v>
      </x:c>
      <x:c r="K22" s="10" t="n">
        <x:f>IFERROR(I22/H22,0)</x:f>
        <x:v>0</x:v>
      </x:c>
    </x:row>
    <x:row r="23">
      <x:c r="B23" s="39" t="inlineStr">
        <x:is>
          <x:t xml:space="preserve">2. CLAUDE DOES IT</x:t>
        </x:is>
      </x:c>
      <x:c r="C23" s="9" t="n">
        <x:f>COUNTIF(Plan!F5:F333,"2. CLAUDE DOES IT")</x:f>
        <x:v>189</x:v>
      </x:c>
      <x:c r="D23" s="9" t="n">
        <x:f>COUNTIFS(Plan!F5:F333,"2. CLAUDE DOES IT",Plan!L5:L333,"Done")</x:f>
        <x:v>6</x:v>
      </x:c>
      <x:c r="E23" s="10" t="n">
        <x:f>IFERROR(D23/C23,0)</x:f>
        <x:v>0.031746031746031744</x:v>
      </x:c>
      <x:c r="F23" s="36" t="n"/>
      <x:c r="G23" s="36" t="n"/>
      <x:c r="H23" s="36" t="n"/>
      <x:c r="I23" s="36" t="n"/>
      <x:c r="J23" s="36" t="n"/>
      <x:c r="K23" s="36" t="n"/>
    </x:row>
    <x:row r="24">
      <x:c r="B24" s="40" t="inlineStr">
        <x:is>
          <x:t xml:space="preserve">3. CLAUDE + YOU</x:t>
        </x:is>
      </x:c>
      <x:c r="C24" s="9" t="n">
        <x:f>COUNTIF(Plan!F5:F333,"3. CLAUDE + YOU")</x:f>
        <x:v>26</x:v>
      </x:c>
      <x:c r="D24" s="9" t="n">
        <x:f>COUNTIFS(Plan!F5:F333,"3. CLAUDE + YOU",Plan!L5:L333,"Done")</x:f>
        <x:v>0</x:v>
      </x:c>
      <x:c r="E24" s="10" t="n">
        <x:f>IFERROR(D24/C24,0)</x:f>
        <x:v>0</x:v>
      </x:c>
      <x:c r="F24" s="36" t="n"/>
      <x:c r="G24" s="36" t="n"/>
      <x:c r="H24" s="36" t="n"/>
      <x:c r="I24" s="36" t="n"/>
      <x:c r="J24" s="36" t="n"/>
      <x:c r="K24" s="36" t="n"/>
    </x:row>
    <x:row r="25">
      <x:c r="B25" s="41" t="inlineStr">
        <x:is>
          <x:t xml:space="preserve">4. CLAUDE + PRO</x:t>
        </x:is>
      </x:c>
      <x:c r="C25" s="9" t="n">
        <x:f>COUNTIF(Plan!F5:F333,"4. CLAUDE + PRO")</x:f>
        <x:v>13</x:v>
      </x:c>
      <x:c r="D25" s="9" t="n">
        <x:f>COUNTIFS(Plan!F5:F333,"4. CLAUDE + PRO",Plan!L5:L333,"Done")</x:f>
        <x:v>0</x:v>
      </x:c>
      <x:c r="E25" s="10" t="n">
        <x:f>IFERROR(D25/C25,0)</x:f>
        <x:v>0</x:v>
      </x:c>
      <x:c r="F25" s="36" t="n"/>
      <x:c r="G25" s="36" t="n"/>
      <x:c r="H25" s="36" t="n"/>
      <x:c r="I25" s="36" t="n"/>
      <x:c r="J25" s="36" t="n"/>
      <x:c r="K25" s="36" t="n"/>
    </x:row>
    <x:row r="26">
      <x:c r="B26" s="42" t="inlineStr">
        <x:is>
          <x:t xml:space="preserve">5. EXTERNAL</x:t>
        </x:is>
      </x:c>
      <x:c r="C26" s="9" t="n">
        <x:f>COUNTIF(Plan!F5:F333,"5. EXTERNAL")</x:f>
        <x:v>66</x:v>
      </x:c>
      <x:c r="D26" s="9" t="n">
        <x:f>COUNTIFS(Plan!F5:F333,"5. EXTERNAL",Plan!L5:L333,"Done")</x:f>
        <x:v>0</x:v>
      </x:c>
      <x:c r="E26" s="10" t="n">
        <x:f>IFERROR(D26/C26,0)</x:f>
        <x:v>0</x:v>
      </x:c>
      <x:c r="F26" s="36" t="n"/>
      <x:c r="G26" s="36" t="n"/>
      <x:c r="H26" s="36" t="n"/>
      <x:c r="I26" s="36" t="n"/>
      <x:c r="J26" s="36" t="n"/>
      <x:c r="K26" s="36" t="n"/>
    </x:row>
    <x:row r="27">
      <x:c r="B27" s="81" t="inlineStr">
        <x:is>
          <x:t xml:space="preserve">🚨 UPSTREAM BLOCKER — Accenture conflict review BEFORE close sprints</x:t>
        </x:is>
      </x:c>
    </x:row>
    <x:row r="28">
      <x:c r="B28" s="70" t="inlineStr">
        <x:is>
          <x:t xml:space="preserve">Filter Plan by Category = 'Employer Conflict'. ALL P0. Resolve before continuing PHS/KK close sprints. ~1-2 week lawyer review.</x:t>
        </x:is>
      </x:c>
    </x:row>
    <x:row r="29">
      <x:c r="B29" s="69" t="inlineStr">
        <x:is>
          <x:t xml:space="preserve">🎯 PROSPECT PRIORITY — All 3 Have Demo Access; Closing Motion, Not Pitching</x:t>
        </x:is>
      </x:c>
      <x:c r="L29" s="36" t="n"/>
      <x:c r="M29" s="36" t="n"/>
    </x:row>
    <x:row r="30">
      <x:c r="B30" s="70" t="inlineStr">
        <x:is>
          <x:t xml:space="preserve">2-week sprints on PHS + KK in parallel. Surekha = nurture until July 1 start, then sprint.</x:t>
        </x:is>
      </x:c>
      <x:c r="L30" s="36" t="n"/>
      <x:c r="M30" s="36" t="n"/>
    </x:row>
    <x:row r="31">
      <x:c r="B31" s="36" t="n"/>
      <x:c r="C31" s="36" t="n"/>
      <x:c r="D31" s="36" t="n"/>
      <x:c r="E31" s="36" t="n"/>
      <x:c r="F31" s="36" t="n"/>
      <x:c r="G31" s="36" t="n"/>
      <x:c r="H31" s="36" t="n"/>
      <x:c r="I31" s="36" t="n"/>
      <x:c r="J31" s="36" t="n"/>
      <x:c r="K31" s="36" t="n"/>
      <x:c r="L31" s="36" t="n"/>
      <x:c r="M31" s="36" t="n"/>
    </x:row>
    <x:row r="32">
      <x:c r="B32" s="73" t="inlineStr">
        <x:is>
          <x:t xml:space="preserve">1</x:t>
        </x:is>
      </x:c>
      <x:c r="C32" s="72" t="inlineStr">
        <x:is>
          <x:t xml:space="preserve">PHS CDAO</x:t>
        </x:is>
      </x:c>
      <x:c r="D32" s="18" t="inlineStr">
        <x:is>
          <x:t xml:space="preserve">🟡 MED-HIGH risk</x:t>
        </x:is>
      </x:c>
      <x:c r="E32" s="18" t="inlineStr">
        <x:is>
          <x:t xml:space="preserve">Sprint but DON'T SIGN until lawyer opinion + Accenture exit</x:t>
        </x:is>
      </x:c>
      <x:c r="F32" s="18" t="inlineStr">
        <x:is>
          <x:t xml:space="preserve">Lawyer Q: 15yr preexisting personal relationship defense</x:t>
        </x:is>
      </x:c>
      <x:c r="G32" s="18" t="inlineStr">
        <x:is>
          <x:t xml:space="preserve">You</x:t>
        </x:is>
      </x:c>
      <x:c r="H32" s="36" t="n"/>
      <x:c r="I32" s="36" t="n"/>
      <x:c r="J32" s="36" t="n"/>
      <x:c r="K32" s="36" t="n"/>
      <x:c r="L32" s="36" t="n"/>
      <x:c r="M32" s="36" t="n"/>
    </x:row>
    <x:row r="33">
      <x:c r="B33" s="79" t="inlineStr">
        <x:is>
          <x:t xml:space="preserve">2</x:t>
        </x:is>
      </x:c>
      <x:c r="C33" s="72" t="inlineStr">
        <x:is>
          <x:t xml:space="preserve">KK / Delta</x:t>
        </x:is>
      </x:c>
      <x:c r="D33" s="18" t="inlineStr">
        <x:is>
          <x:t xml:space="preserve">🟢 LOW risk (likely clean)</x:t>
        </x:is>
      </x:c>
      <x:c r="E33" s="18" t="inlineStr">
        <x:is>
          <x:t xml:space="preserve">Sprint as planned; could be first signing</x:t>
        </x:is>
      </x:c>
      <x:c r="F33" s="18" t="inlineStr">
        <x:is>
          <x:t xml:space="preserve">Lawyer Q: 2022 work outside lookback?</x:t>
        </x:is>
      </x:c>
      <x:c r="G33" s="18" t="inlineStr">
        <x:is>
          <x:t xml:space="preserve">You</x:t>
        </x:is>
      </x:c>
      <x:c r="H33" s="36" t="n"/>
      <x:c r="I33" s="36" t="n"/>
      <x:c r="J33" s="36" t="n"/>
      <x:c r="K33" s="36" t="n"/>
      <x:c r="L33" s="36" t="n"/>
      <x:c r="M33" s="36" t="n"/>
    </x:row>
    <x:row r="34">
      <x:c r="B34" s="79" t="inlineStr">
        <x:is>
          <x:t xml:space="preserve">3</x:t>
        </x:is>
      </x:c>
      <x:c r="C34" s="72" t="inlineStr">
        <x:is>
          <x:t xml:space="preserve">Surekha @ Morgan Street</x:t>
        </x:is>
      </x:c>
      <x:c r="D34" s="18" t="inlineStr">
        <x:is>
          <x:t xml:space="preserve">🟢 CLEAN (confirm)</x:t>
        </x:is>
      </x:c>
      <x:c r="E34" s="18" t="inlineStr">
        <x:is>
          <x:t xml:space="preserve">Nurture until July 1, sprint after; just confirm not Accenture client</x:t>
        </x:is>
      </x:c>
      <x:c r="F34" s="18" t="inlineStr">
        <x:is>
          <x:t xml:space="preserve">Lawyer Q: confirm not on Accenture client list</x:t>
        </x:is>
      </x:c>
      <x:c r="G34" s="18" t="inlineStr">
        <x:is>
          <x:t xml:space="preserve">You</x:t>
        </x:is>
      </x:c>
      <x:c r="H34" s="36" t="n"/>
      <x:c r="I34" s="36" t="n"/>
      <x:c r="J34" s="36" t="n"/>
      <x:c r="K34" s="36" t="n"/>
      <x:c r="L34" s="36" t="n"/>
      <x:c r="M34" s="36" t="n"/>
    </x:row>
    <x:row r="35">
      <x:c r="B35" s="79" t="inlineStr">
        <x:is>
          <x:t xml:space="preserve">3</x:t>
        </x:is>
      </x:c>
      <x:c r="C35" s="72" t="inlineStr">
        <x:is>
          <x:t xml:space="preserve">Surekha @ Morgan Street</x:t>
        </x:is>
      </x:c>
      <x:c r="D35" s="18" t="inlineStr">
        <x:is>
          <x:t xml:space="preserve">Has demo access; joins role July 1</x:t>
        </x:is>
      </x:c>
      <x:c r="E35" s="18" t="inlineStr">
        <x:is>
          <x:t xml:space="preserve">Stay warm — DON'T over-pitch pre-start</x:t>
        </x:is>
      </x:c>
      <x:c r="F35" s="18" t="inlineStr">
        <x:is>
          <x:t xml:space="preserve">Light touch: 1-2 value-add messages over 5 weeks</x:t>
        </x:is>
      </x:c>
      <x:c r="G35" s="18" t="inlineStr">
        <x:is>
          <x:t xml:space="preserve">You</x:t>
        </x:is>
      </x:c>
      <x:c r="H35" s="36" t="n"/>
      <x:c r="I35" s="36" t="n"/>
      <x:c r="J35" s="36" t="n"/>
      <x:c r="K35" s="36" t="n"/>
      <x:c r="L35" s="36" t="n"/>
      <x:c r="M35" s="36" t="n"/>
    </x:row>
    <x:row r="36">
      <x:c r="B36" s="36" t="n"/>
      <x:c r="C36" s="36" t="n"/>
      <x:c r="D36" s="36" t="n"/>
      <x:c r="E36" s="36" t="n"/>
      <x:c r="F36" s="36" t="n"/>
      <x:c r="G36" s="36" t="n"/>
      <x:c r="H36" s="36" t="n"/>
      <x:c r="I36" s="36" t="n"/>
      <x:c r="J36" s="36" t="n"/>
      <x:c r="K36" s="36" t="n"/>
      <x:c r="L36" s="36" t="n"/>
      <x:c r="M36" s="36" t="n"/>
    </x:row>
    <x:row r="37">
      <x:c r="B37" s="36" t="n"/>
      <x:c r="C37" s="36" t="n"/>
      <x:c r="D37" s="36" t="n"/>
      <x:c r="E37" s="36" t="n"/>
      <x:c r="F37" s="36" t="n"/>
      <x:c r="G37" s="36" t="n"/>
      <x:c r="H37" s="36" t="n"/>
      <x:c r="I37" s="36" t="n"/>
      <x:c r="J37" s="36" t="n"/>
      <x:c r="K37" s="36" t="n"/>
      <x:c r="L37" s="36" t="n"/>
      <x:c r="M37" s="36" t="n"/>
    </x:row>
    <x:row r="38">
      <x:c r="B38" s="75" t="inlineStr">
        <x:is>
          <x:t xml:space="preserve">📅 2-WEEK SPRINT — PHS + KK in Parallel</x:t>
        </x:is>
      </x:c>
      <x:c r="L38" s="36" t="n"/>
      <x:c r="M38" s="36" t="n"/>
    </x:row>
    <x:row r="39">
      <x:c r="B39" s="8" t="inlineStr">
        <x:is>
          <x:t xml:space="preserve">DAY</x:t>
        </x:is>
      </x:c>
      <x:c r="C39" s="8" t="inlineStr">
        <x:is>
          <x:t xml:space="preserve">PHS CDAO (close motion)</x:t>
        </x:is>
      </x:c>
      <x:c r="D39" s="64" t="n"/>
      <x:c r="E39" s="64" t="n"/>
      <x:c r="F39" s="35" t="n"/>
      <x:c r="G39" s="8" t="inlineStr">
        <x:is>
          <x:t xml:space="preserve">KK / Delta (close OR no-go)</x:t>
        </x:is>
      </x:c>
      <x:c r="H39" s="64" t="n"/>
      <x:c r="I39" s="64" t="n"/>
      <x:c r="J39" s="64" t="n"/>
      <x:c r="K39" s="35" t="n"/>
      <x:c r="L39" s="36" t="n"/>
      <x:c r="M39" s="36" t="n"/>
    </x:row>
    <x:row r="40" ht="36" customHeight="1">
      <x:c r="B40" s="30" t="inlineStr">
        <x:is>
          <x:t xml:space="preserve">Day 1-2</x:t>
        </x:is>
      </x:c>
      <x:c r="C40" s="18" t="inlineStr">
        <x:is>
          <x:t xml:space="preserve">Usage debrief call w/ CDAO — what did they try? Where did they get stuck? What's missing for their context?</x:t>
        </x:is>
      </x:c>
      <x:c r="D40" s="64" t="n"/>
      <x:c r="E40" s="64" t="n"/>
      <x:c r="F40" s="35" t="n"/>
      <x:c r="G40" s="18" t="inlineStr">
        <x:is>
          <x:t xml:space="preserve">Usage debrief w/ KK + team — what did they try? Did it land for AI-led product dev intent?</x:t>
        </x:is>
      </x:c>
      <x:c r="H40" s="64" t="n"/>
      <x:c r="I40" s="64" t="n"/>
      <x:c r="J40" s="64" t="n"/>
      <x:c r="K40" s="35" t="n"/>
      <x:c r="L40" s="36" t="n"/>
      <x:c r="M40" s="36" t="n"/>
    </x:row>
    <x:row r="41" ht="36" customHeight="1">
      <x:c r="B41" s="30" t="inlineStr">
        <x:is>
          <x:t xml:space="preserve">Day 2-3</x:t>
        </x:is>
      </x:c>
      <x:c r="C41" s="18" t="inlineStr">
        <x:is>
          <x:t xml:space="preserve">Load PHS-style data into their tenant (synthetic healthcare scaled to their size); customize Move catalog for healthcare</x:t>
        </x:is>
      </x:c>
      <x:c r="D41" s="64" t="n"/>
      <x:c r="E41" s="64" t="n"/>
      <x:c r="F41" s="35" t="n"/>
      <x:c r="G41" s="18" t="inlineStr">
        <x:is>
          <x:t xml:space="preserve">STRATEGIC DECISION: build 'Software Delivery' corpus wave or not? Decide BEFORE further work.</x:t>
        </x:is>
      </x:c>
      <x:c r="H41" s="64" t="n"/>
      <x:c r="I41" s="64" t="n"/>
      <x:c r="J41" s="64" t="n"/>
      <x:c r="K41" s="35" t="n"/>
      <x:c r="L41" s="36" t="n"/>
      <x:c r="M41" s="36" t="n"/>
    </x:row>
    <x:row r="42" ht="36" customHeight="1">
      <x:c r="B42" s="30" t="inlineStr">
        <x:is>
          <x:t xml:space="preserve">Day 3-4</x:t>
        </x:is>
      </x:c>
      <x:c r="C42" s="18" t="inlineStr">
        <x:is>
          <x:t xml:space="preserve">Identify full decision-maker chain: CDAO authorize? Or CIO/CFO joint? Map IT sourcing colleague</x:t>
        </x:is>
      </x:c>
      <x:c r="D42" s="64" t="n"/>
      <x:c r="E42" s="64" t="n"/>
      <x:c r="F42" s="35" t="n"/>
      <x:c r="G42" s="18" t="inlineStr">
        <x:is>
          <x:t xml:space="preserve">If decision = NO corpus: pivot KK to Play A (governance/measurement layer) + Source wedge. Honest framing.</x:t>
        </x:is>
      </x:c>
      <x:c r="H42" s="64" t="n"/>
      <x:c r="I42" s="64" t="n"/>
      <x:c r="J42" s="64" t="n"/>
      <x:c r="K42" s="35" t="n"/>
      <x:c r="L42" s="36" t="n"/>
      <x:c r="M42" s="36" t="n"/>
    </x:row>
    <x:row r="43" ht="36" customHeight="1">
      <x:c r="B43" s="30" t="inlineStr">
        <x:is>
          <x:t xml:space="preserve">Day 4-5</x:t>
        </x:is>
      </x:c>
      <x:c r="C43" s="18" t="inlineStr">
        <x:is>
          <x:t xml:space="preserve">Joint working session (90 min) — walk through THEIR PHS view: 3 candidate Moves + value math + Azure+Databricks fit</x:t>
        </x:is>
      </x:c>
      <x:c r="D43" s="64" t="n"/>
      <x:c r="E43" s="64" t="n"/>
      <x:c r="F43" s="35" t="n"/>
      <x:c r="G43" s="18" t="inlineStr">
        <x:is>
          <x:t xml:space="preserve">Joint working session — pitch Play A. Confirm whether 'methodology' or 'measurement/governance' is primary itch.</x:t>
        </x:is>
      </x:c>
      <x:c r="H43" s="64" t="n"/>
      <x:c r="I43" s="64" t="n"/>
      <x:c r="J43" s="64" t="n"/>
      <x:c r="K43" s="35" t="n"/>
      <x:c r="L43" s="36" t="n"/>
      <x:c r="M43" s="36" t="n"/>
    </x:row>
    <x:row r="44" ht="36" customHeight="1">
      <x:c r="B44" s="30" t="inlineStr">
        <x:is>
          <x:t xml:space="preserve">Day 5-7</x:t>
        </x:is>
      </x:c>
      <x:c r="C44" s="18" t="inlineStr">
        <x:is>
          <x:t xml:space="preserve">Draft pilot SOW tailored to PHS with success criteria + IT sourcing add-on (Source module)</x:t>
        </x:is>
      </x:c>
      <x:c r="D44" s="64" t="n"/>
      <x:c r="E44" s="64" t="n"/>
      <x:c r="F44" s="35" t="n"/>
      <x:c r="G44" s="18" t="inlineStr">
        <x:is>
          <x:t xml:space="preserve">If green light: draft Lane A (CTO core) + Lane B (AI-dev measurement) SOW. If red light: nurture, move on.</x:t>
        </x:is>
      </x:c>
      <x:c r="H44" s="64" t="n"/>
      <x:c r="I44" s="64" t="n"/>
      <x:c r="J44" s="64" t="n"/>
      <x:c r="K44" s="35" t="n"/>
      <x:c r="L44" s="36" t="n"/>
      <x:c r="M44" s="36" t="n"/>
    </x:row>
    <x:row r="45" ht="36" customHeight="1">
      <x:c r="B45" s="30" t="inlineStr">
        <x:is>
          <x:t xml:space="preserve">Day 7-10</x:t>
        </x:is>
      </x:c>
      <x:c r="C45" s="18" t="inlineStr">
        <x:is>
          <x:t xml:space="preserve">Iterate SOW with CDAO + IT sourcing colleague. Align commercial terms (price, payment, founder hours).</x:t>
        </x:is>
      </x:c>
      <x:c r="D45" s="64" t="n"/>
      <x:c r="E45" s="64" t="n"/>
      <x:c r="F45" s="35" t="n"/>
      <x:c r="G45" s="18" t="inlineStr">
        <x:is>
          <x:t xml:space="preserve">Iterate SOW with KK. Validate value levers with Delta actual numbers ($3B IT, $100s of millions app dev).</x:t>
        </x:is>
      </x:c>
      <x:c r="H45" s="64" t="n"/>
      <x:c r="I45" s="64" t="n"/>
      <x:c r="J45" s="64" t="n"/>
      <x:c r="K45" s="35" t="n"/>
      <x:c r="L45" s="36" t="n"/>
      <x:c r="M45" s="36" t="n"/>
    </x:row>
    <x:row r="46" ht="36" customHeight="1">
      <x:c r="B46" s="30" t="inlineStr">
        <x:is>
          <x:t xml:space="preserve">Day 10-12</x:t>
        </x:is>
      </x:c>
      <x:c r="C46" s="18" t="inlineStr">
        <x:is>
          <x:t xml:space="preserve">Schedule decision meeting. Pre-handle legal/procurement questions. Insurance + SOC 2 status doc.</x:t>
        </x:is>
      </x:c>
      <x:c r="D46" s="64" t="n"/>
      <x:c r="E46" s="64" t="n"/>
      <x:c r="F46" s="35" t="n"/>
      <x:c r="G46" s="18" t="inlineStr">
        <x:is>
          <x:t xml:space="preserve">Schedule decision meeting OR document 'what would need to be true' for future.</x:t>
        </x:is>
      </x:c>
      <x:c r="H46" s="64" t="n"/>
      <x:c r="I46" s="64" t="n"/>
      <x:c r="J46" s="64" t="n"/>
      <x:c r="K46" s="35" t="n"/>
      <x:c r="L46" s="36" t="n"/>
      <x:c r="M46" s="36" t="n"/>
    </x:row>
    <x:row r="47" ht="36" customHeight="1">
      <x:c r="B47" s="30" t="inlineStr">
        <x:is>
          <x:t xml:space="preserve">Day 12-14</x:t>
        </x:is>
      </x:c>
      <x:c r="C47" s="18" t="inlineStr">
        <x:is>
          <x:t xml:space="preserve">Verbal alignment + pilot SOW agreed in principle. Kickoff date scheduled.</x:t>
        </x:is>
      </x:c>
      <x:c r="D47" s="64" t="n"/>
      <x:c r="E47" s="64" t="n"/>
      <x:c r="F47" s="35" t="n"/>
      <x:c r="G47" s="18" t="inlineStr">
        <x:is>
          <x:t xml:space="preserve">Outcome: signed alignment or clean no-go. Don't drag KK if not fit.</x:t>
        </x:is>
      </x:c>
      <x:c r="H47" s="64" t="n"/>
      <x:c r="I47" s="64" t="n"/>
      <x:c r="J47" s="64" t="n"/>
      <x:c r="K47" s="35" t="n"/>
      <x:c r="L47" s="36" t="n"/>
      <x:c r="M47" s="36" t="n"/>
    </x:row>
    <x:row r="48">
      <x:c r="B48" s="36" t="n"/>
      <x:c r="C48" s="36" t="n"/>
      <x:c r="D48" s="36" t="n"/>
      <x:c r="E48" s="36" t="n"/>
      <x:c r="F48" s="36" t="n"/>
      <x:c r="G48" s="36" t="n"/>
      <x:c r="H48" s="36" t="n"/>
      <x:c r="I48" s="36" t="n"/>
      <x:c r="J48" s="36" t="n"/>
      <x:c r="K48" s="36" t="n"/>
      <x:c r="L48" s="36" t="n"/>
      <x:c r="M48" s="36" t="n"/>
    </x:row>
    <x:row r="49">
      <x:c r="B49" s="36" t="n"/>
      <x:c r="C49" s="36" t="n"/>
      <x:c r="D49" s="36" t="n"/>
      <x:c r="E49" s="36" t="n"/>
      <x:c r="F49" s="36" t="n"/>
      <x:c r="G49" s="36" t="n"/>
      <x:c r="H49" s="36" t="n"/>
      <x:c r="I49" s="36" t="n"/>
      <x:c r="J49" s="36" t="n"/>
      <x:c r="K49" s="36" t="n"/>
      <x:c r="L49" s="36" t="n"/>
      <x:c r="M49" s="36" t="n"/>
    </x:row>
    <x:row r="50">
      <x:c r="B50" s="80" t="inlineStr">
        <x:is>
          <x:t xml:space="preserve">🌱 SUREKHA NURTURE — She joins July 1, sprint after</x:t>
        </x:is>
      </x:c>
      <x:c r="L50" s="36" t="n"/>
      <x:c r="M50" s="36" t="n"/>
    </x:row>
    <x:row r="51">
      <x:c r="B51" s="76" t="inlineStr">
        <x:is>
          <x:t xml:space="preserve">☐</x:t>
        </x:is>
      </x:c>
      <x:c r="C51" s="36" t="inlineStr">
        <x:is>
          <x:t xml:space="preserve">Week 1 (now): LinkedIn connect with thoughtful note about her new role — NOT pitch</x:t>
        </x:is>
      </x:c>
      <x:c r="L51" s="36" t="n"/>
      <x:c r="M51" s="36" t="n"/>
    </x:row>
    <x:row r="52">
      <x:c r="B52" s="76" t="inlineStr">
        <x:is>
          <x:t xml:space="preserve">☐</x:t>
        </x:is>
      </x:c>
      <x:c r="C52" s="36" t="inlineStr">
        <x:is>
          <x:t xml:space="preserve">Week 2-3: Share 1 thoughtful piece (industry insight or framework) — value, not sales</x:t>
        </x:is>
      </x:c>
      <x:c r="L52" s="36" t="n"/>
      <x:c r="M52" s="36" t="n"/>
    </x:row>
    <x:row r="53">
      <x:c r="B53" s="76" t="inlineStr">
        <x:is>
          <x:t xml:space="preserve">☐</x:t>
        </x:is>
      </x:c>
      <x:c r="C53" s="36" t="inlineStr">
        <x:is>
          <x:t xml:space="preserve">Week 4-5: Reference a peer's success or relevant case — keep warm</x:t>
        </x:is>
      </x:c>
      <x:c r="L53" s="36" t="n"/>
      <x:c r="M53" s="36" t="n"/>
    </x:row>
    <x:row r="54">
      <x:c r="B54" s="76" t="inlineStr">
        <x:is>
          <x:t xml:space="preserve">☐</x:t>
        </x:is>
      </x:c>
      <x:c r="C54" s="36" t="inlineStr">
        <x:is>
          <x:t xml:space="preserve">Week 5 (~July 1): 'Heard you're starting — would love a 30-min in your first week to share the 100-day framework'</x:t>
        </x:is>
      </x:c>
      <x:c r="L54" s="36" t="n"/>
      <x:c r="M54" s="36" t="n"/>
    </x:row>
    <x:row r="55">
      <x:c r="B55" s="76" t="inlineStr">
        <x:is>
          <x:t xml:space="preserve">☐</x:t>
        </x:is>
      </x:c>
      <x:c r="C55" s="36" t="inlineStr">
        <x:is>
          <x:t xml:space="preserve">Week 6 (~July 7): Discovery call → working session → pilot SOW (full sprint)</x:t>
        </x:is>
      </x:c>
      <x:c r="L55" s="36" t="n"/>
      <x:c r="M55" s="36" t="n"/>
    </x:row>
    <x:row r="56">
      <x:c r="B56" s="76" t="inlineStr">
        <x:is>
          <x:t xml:space="preserve">☐</x:t>
        </x:is>
      </x:c>
      <x:c r="C56" s="36" t="inlineStr">
        <x:is>
          <x:t xml:space="preserve">DON'T: pitch hard pre-start; she has bandwidth issues + no authority yet</x:t>
        </x:is>
      </x:c>
      <x:c r="L56" s="36" t="n"/>
      <x:c r="M56" s="36" t="n"/>
    </x:row>
    <x:row r="57">
      <x:c r="B57" s="36" t="n"/>
      <x:c r="C57" s="36" t="n"/>
      <x:c r="D57" s="36" t="n"/>
      <x:c r="E57" s="36" t="n"/>
      <x:c r="F57" s="36" t="n"/>
      <x:c r="G57" s="36" t="n"/>
      <x:c r="H57" s="36" t="n"/>
      <x:c r="I57" s="36" t="n"/>
      <x:c r="J57" s="36" t="n"/>
      <x:c r="K57" s="36" t="n"/>
      <x:c r="L57" s="36" t="n"/>
      <x:c r="M57" s="36" t="n"/>
    </x:row>
    <x:row r="58">
      <x:c r="B58" s="36" t="n"/>
      <x:c r="C58" s="36" t="n"/>
      <x:c r="D58" s="36" t="n"/>
      <x:c r="E58" s="36" t="n"/>
      <x:c r="F58" s="36" t="n"/>
      <x:c r="G58" s="36" t="n"/>
      <x:c r="H58" s="36" t="n"/>
      <x:c r="I58" s="36" t="n"/>
      <x:c r="J58" s="36" t="n"/>
      <x:c r="K58" s="36" t="n"/>
      <x:c r="L58" s="36" t="n"/>
      <x:c r="M58" s="36" t="n"/>
    </x:row>
    <x:row r="59">
      <x:c r="B59" s="77" t="inlineStr">
        <x:is>
          <x:t xml:space="preserve">🔱 STRATEGIC DECISION GATE — Drives KK Play</x:t>
        </x:is>
      </x:c>
      <x:c r="L59" s="36" t="n"/>
      <x:c r="M59" s="36" t="n"/>
    </x:row>
    <x:row r="60" ht="50" customHeight="1">
      <x:c r="B60" s="76" t="inlineStr">
        <x:is>
          <x:t xml:space="preserve">☐</x:t>
        </x:is>
      </x:c>
      <x:c r="C60" s="78" t="inlineStr">
        <x:is>
          <x:t xml:space="preserve">Decide: build 'Software Delivery / AI-Led Dev' corpus wave? (6-12 weeks investment; unlocks CTO-buyer TAM). MUST decide by Day 2-3 of KK sprint. If yes, KK can be pitched as full fit. If no, KK pivots to Play A or C only.</x:t>
        </x:is>
      </x:c>
      <x:c r="L60" s="36" t="n"/>
      <x:c r="M60" s="36" t="n"/>
    </x:row>
    <x:row r="61">
      <x:c r="B61" s="36" t="n"/>
      <x:c r="L61" s="36" t="n"/>
      <x:c r="M61" s="36" t="n"/>
    </x:row>
    <x:row r="62">
      <x:c r="B62" s="36" t="n"/>
      <x:c r="L62" s="36" t="n"/>
      <x:c r="M62" s="36" t="n"/>
    </x:row>
    <x:row r="63">
      <x:c r="B63" s="36" t="n"/>
      <x:c r="C63" s="36" t="n"/>
      <x:c r="D63" s="36" t="n"/>
      <x:c r="E63" s="36" t="n"/>
      <x:c r="F63" s="36" t="n"/>
      <x:c r="G63" s="36" t="n"/>
      <x:c r="H63" s="36" t="n"/>
      <x:c r="I63" s="36" t="n"/>
      <x:c r="J63" s="36" t="n"/>
      <x:c r="K63" s="36" t="n"/>
      <x:c r="L63" s="36" t="n"/>
      <x:c r="M63" s="36" t="n"/>
    </x:row>
    <x:row r="64">
      <x:c r="B64" s="36" t="n"/>
      <x:c r="C64" s="36" t="n"/>
      <x:c r="D64" s="36" t="n"/>
      <x:c r="E64" s="36" t="n"/>
      <x:c r="F64" s="36" t="n"/>
      <x:c r="G64" s="36" t="n"/>
      <x:c r="H64" s="36" t="n"/>
      <x:c r="I64" s="36" t="n"/>
      <x:c r="J64" s="36" t="n"/>
      <x:c r="K64" s="36" t="n"/>
      <x:c r="L64" s="36" t="n"/>
      <x:c r="M64" s="36" t="n"/>
    </x:row>
    <x:row r="65">
      <x:c r="B65" s="36" t="n"/>
      <x:c r="C65" s="36" t="n"/>
      <x:c r="D65" s="36" t="n"/>
      <x:c r="E65" s="36" t="n"/>
      <x:c r="F65" s="36" t="n"/>
      <x:c r="G65" s="36" t="n"/>
      <x:c r="H65" s="36" t="n"/>
      <x:c r="I65" s="36" t="n"/>
      <x:c r="J65" s="36" t="n"/>
      <x:c r="K65" s="36" t="n"/>
      <x:c r="L65" s="36" t="n"/>
      <x:c r="M65" s="36" t="n"/>
    </x:row>
    <x:row r="66">
      <x:c r="B66" s="36" t="n"/>
      <x:c r="C66" s="36" t="n"/>
      <x:c r="D66" s="36" t="n"/>
      <x:c r="E66" s="36" t="n"/>
      <x:c r="F66" s="36" t="n"/>
      <x:c r="G66" s="36" t="n"/>
      <x:c r="H66" s="36" t="n"/>
      <x:c r="I66" s="36" t="n"/>
      <x:c r="J66" s="36" t="n"/>
      <x:c r="K66" s="36" t="n"/>
      <x:c r="L66" s="36" t="n"/>
      <x:c r="M66" s="36" t="n"/>
    </x:row>
    <x:row r="67">
      <x:c r="B67" s="36" t="n"/>
      <x:c r="C67" s="36" t="n"/>
      <x:c r="D67" s="36" t="n"/>
      <x:c r="E67" s="36" t="n"/>
      <x:c r="F67" s="36" t="n"/>
      <x:c r="G67" s="36" t="n"/>
      <x:c r="H67" s="36" t="n"/>
      <x:c r="I67" s="36" t="n"/>
      <x:c r="J67" s="36" t="n"/>
      <x:c r="K67" s="36" t="n"/>
      <x:c r="L67" s="36" t="n"/>
      <x:c r="M67" s="36" t="n"/>
    </x:row>
    <x:row r="68">
      <x:c r="B68" s="36" t="n"/>
      <x:c r="C68" s="36" t="n"/>
      <x:c r="D68" s="36" t="n"/>
      <x:c r="E68" s="36" t="n"/>
      <x:c r="F68" s="36" t="n"/>
      <x:c r="G68" s="36" t="n"/>
      <x:c r="H68" s="36" t="n"/>
      <x:c r="I68" s="36" t="n"/>
      <x:c r="J68" s="36" t="n"/>
      <x:c r="K68" s="36" t="n"/>
      <x:c r="L68" s="36" t="n"/>
      <x:c r="M68" s="36" t="n"/>
    </x:row>
    <x:row r="69">
      <x:c r="B69" s="36" t="n"/>
      <x:c r="C69" s="36" t="n"/>
      <x:c r="D69" s="36" t="n"/>
      <x:c r="E69" s="36" t="n"/>
      <x:c r="F69" s="36" t="n"/>
      <x:c r="G69" s="36" t="n"/>
      <x:c r="H69" s="36" t="n"/>
      <x:c r="I69" s="36" t="n"/>
      <x:c r="J69" s="36" t="n"/>
      <x:c r="K69" s="36" t="n"/>
      <x:c r="L69" s="36" t="n"/>
      <x:c r="M69" s="36" t="n"/>
    </x:row>
    <x:row r="70">
      <x:c r="B70" s="36" t="n"/>
      <x:c r="C70" s="36" t="n"/>
      <x:c r="D70" s="36" t="n"/>
      <x:c r="E70" s="36" t="n"/>
      <x:c r="F70" s="36" t="n"/>
      <x:c r="G70" s="36" t="n"/>
      <x:c r="H70" s="36" t="n"/>
      <x:c r="I70" s="36" t="n"/>
      <x:c r="J70" s="36" t="n"/>
      <x:c r="K70" s="36" t="n"/>
      <x:c r="L70" s="36" t="n"/>
      <x:c r="M70" s="36" t="n"/>
    </x:row>
    <x:row r="71">
      <x:c r="B71" s="36" t="n"/>
      <x:c r="C71" s="36" t="n"/>
      <x:c r="D71" s="36" t="n"/>
      <x:c r="E71" s="36" t="n"/>
      <x:c r="F71" s="36" t="n"/>
      <x:c r="G71" s="36" t="n"/>
      <x:c r="H71" s="36" t="n"/>
      <x:c r="I71" s="36" t="n"/>
      <x:c r="J71" s="36" t="n"/>
      <x:c r="K71" s="36" t="n"/>
      <x:c r="L71" s="36" t="n"/>
      <x:c r="M71" s="36" t="n"/>
    </x:row>
    <x:row r="72">
      <x:c r="B72" s="36" t="n"/>
      <x:c r="C72" s="36" t="n"/>
      <x:c r="D72" s="36" t="n"/>
      <x:c r="E72" s="36" t="n"/>
      <x:c r="F72" s="36" t="n"/>
      <x:c r="G72" s="36" t="n"/>
      <x:c r="H72" s="36" t="n"/>
      <x:c r="I72" s="36" t="n"/>
      <x:c r="J72" s="36" t="n"/>
      <x:c r="K72" s="36" t="n"/>
      <x:c r="L72" s="36" t="n"/>
      <x:c r="M72" s="36" t="n"/>
    </x:row>
    <x:row r="73">
      <x:c r="B73" s="36" t="n"/>
      <x:c r="C73" s="36" t="n"/>
      <x:c r="D73" s="36" t="n"/>
      <x:c r="E73" s="36" t="n"/>
      <x:c r="F73" s="36" t="n"/>
      <x:c r="G73" s="36" t="n"/>
      <x:c r="H73" s="36" t="n"/>
      <x:c r="I73" s="36" t="n"/>
      <x:c r="J73" s="36" t="n"/>
      <x:c r="K73" s="36" t="n"/>
      <x:c r="L73" s="36" t="n"/>
      <x:c r="M73" s="36" t="n"/>
    </x:row>
    <x:row r="74">
      <x:c r="B74" s="36" t="n"/>
      <x:c r="C74" s="36" t="n"/>
      <x:c r="D74" s="36" t="n"/>
      <x:c r="E74" s="36" t="n"/>
      <x:c r="F74" s="36" t="n"/>
      <x:c r="G74" s="36" t="n"/>
      <x:c r="H74" s="36" t="n"/>
      <x:c r="I74" s="36" t="n"/>
      <x:c r="J74" s="36" t="n"/>
      <x:c r="K74" s="36" t="n"/>
      <x:c r="L74" s="36" t="n"/>
      <x:c r="M74" s="36" t="n"/>
    </x:row>
    <x:row r="75">
      <x:c r="B75" s="36" t="n"/>
      <x:c r="C75" s="36" t="n"/>
      <x:c r="D75" s="36" t="n"/>
      <x:c r="E75" s="36" t="n"/>
      <x:c r="F75" s="36" t="n"/>
      <x:c r="G75" s="36" t="n"/>
      <x:c r="H75" s="36" t="n"/>
      <x:c r="I75" s="36" t="n"/>
      <x:c r="J75" s="36" t="n"/>
      <x:c r="K75" s="36" t="n"/>
      <x:c r="L75" s="36" t="n"/>
      <x:c r="M75" s="36" t="n"/>
    </x:row>
    <x:row r="76">
      <x:c r="B76" s="36" t="n"/>
      <x:c r="C76" s="36" t="n"/>
      <x:c r="D76" s="36" t="n"/>
      <x:c r="E76" s="36" t="n"/>
      <x:c r="F76" s="36" t="n"/>
      <x:c r="G76" s="36" t="n"/>
      <x:c r="H76" s="36" t="n"/>
      <x:c r="I76" s="36" t="n"/>
      <x:c r="J76" s="36" t="n"/>
      <x:c r="K76" s="36" t="n"/>
      <x:c r="L76" s="36" t="n"/>
      <x:c r="M76" s="36" t="n"/>
    </x:row>
    <x:row r="77">
      <x:c r="B77" s="36" t="n"/>
      <x:c r="C77" s="36" t="n"/>
      <x:c r="D77" s="36" t="n"/>
      <x:c r="E77" s="36" t="n"/>
      <x:c r="F77" s="36" t="n"/>
      <x:c r="G77" s="36" t="n"/>
      <x:c r="H77" s="36" t="n"/>
      <x:c r="I77" s="36" t="n"/>
      <x:c r="J77" s="36" t="n"/>
      <x:c r="K77" s="36" t="n"/>
      <x:c r="L77" s="36" t="n"/>
      <x:c r="M77" s="36" t="n"/>
    </x:row>
    <x:row r="78">
      <x:c r="B78" s="36" t="n"/>
      <x:c r="C78" s="36" t="n"/>
      <x:c r="D78" s="36" t="n"/>
      <x:c r="E78" s="36" t="n"/>
      <x:c r="F78" s="36" t="n"/>
      <x:c r="G78" s="36" t="n"/>
      <x:c r="H78" s="36" t="n"/>
      <x:c r="I78" s="36" t="n"/>
      <x:c r="J78" s="36" t="n"/>
      <x:c r="K78" s="36" t="n"/>
      <x:c r="L78" s="36" t="n"/>
      <x:c r="M78" s="36" t="n"/>
    </x:row>
    <x:row r="79">
      <x:c r="B79" s="36" t="n"/>
      <x:c r="C79" s="36" t="n"/>
      <x:c r="D79" s="36" t="n"/>
      <x:c r="E79" s="36" t="n"/>
      <x:c r="F79" s="36" t="n"/>
      <x:c r="G79" s="36" t="n"/>
      <x:c r="H79" s="36" t="n"/>
      <x:c r="I79" s="36" t="n"/>
      <x:c r="J79" s="36" t="n"/>
      <x:c r="K79" s="36" t="n"/>
      <x:c r="L79" s="36" t="n"/>
      <x:c r="M79" s="36" t="n"/>
    </x:row>
  </x:sheetData>
  <x:mergeCells>
    <x:mergeCell ref="C54:K54"/>
    <x:mergeCell ref="C39:F39"/>
    <x:mergeCell ref="G43:K43"/>
    <x:mergeCell ref="C55:K55"/>
    <x:mergeCell ref="B30:K30"/>
    <x:mergeCell ref="G42:K42"/>
    <x:mergeCell ref="M13:O13"/>
    <x:mergeCell ref="C56:K56"/>
    <x:mergeCell ref="B5:E5"/>
    <x:mergeCell ref="B20:E20"/>
    <x:mergeCell ref="G39:K39"/>
    <x:mergeCell ref="C51:K51"/>
    <x:mergeCell ref="C60:K62"/>
    <x:mergeCell ref="B50:K50"/>
    <x:mergeCell ref="C52:K52"/>
    <x:mergeCell ref="C42:F42"/>
    <x:mergeCell ref="B59:K59"/>
    <x:mergeCell ref="C45:F45"/>
    <x:mergeCell ref="B27:K27"/>
    <x:mergeCell ref="C53:K53"/>
    <x:mergeCell ref="G5:K5"/>
    <x:mergeCell ref="C47:F47"/>
    <x:mergeCell ref="G45:K45"/>
    <x:mergeCell ref="C41:F41"/>
    <x:mergeCell ref="C44:F44"/>
    <x:mergeCell ref="C40:F40"/>
    <x:mergeCell ref="B13:E13"/>
    <x:mergeCell ref="C43:F43"/>
    <x:mergeCell ref="G47:K47"/>
    <x:mergeCell ref="C46:F46"/>
    <x:mergeCell ref="B29:K29"/>
    <x:mergeCell ref="G41:K41"/>
    <x:mergeCell ref="G44:K44"/>
    <x:mergeCell ref="B38:K38"/>
    <x:mergeCell ref="G46:K46"/>
    <x:mergeCell ref="B28:K28"/>
    <x:mergeCell ref="G40:K4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40" customWidth="1"/>
    <x:col min="4" max="4" width="46" customWidth="1"/>
    <x:col min="5" max="5" width="9" customWidth="1"/>
    <x:col min="6" max="6" width="18" customWidth="1"/>
    <x:col min="7" max="7" width="8" customWidth="1"/>
    <x:col min="8" max="8" width="14" customWidth="1"/>
    <x:col min="9" max="9" width="22" customWidth="1"/>
    <x:col min="10" max="10" width="22" customWidth="1"/>
    <x:col min="11" max="11" width="12" customWidth="1"/>
    <x:col min="12" max="12" width="13" customWidth="1"/>
    <x:col min="13" max="13" width="24" customWidth="1"/>
  </x:cols>
  <x:sheetData>
    <x:row r="1">
      <x:c r="A1" s="1" t="inlineStr">
        <x:is>
          <x:t xml:space="preserve">AbarVa Pilot Readiness — Master Task List</x:t>
        </x:is>
      </x:c>
    </x:row>
    <x:row r="2">
      <x:c r="A2" s="2" t="inlineStr">
        <x:is>
          <x:t xml:space="preserve">Sorted: Category → Ease → Priority. Use Phase column to filter Pre-Resign vs Post-Resign work.</x:t>
        </x:is>
      </x:c>
    </x:row>
    <x:row r="4">
      <x:c r="A4" s="8" t="inlineStr">
        <x:is>
          <x:t xml:space="preserve">TaskID</x:t>
        </x:is>
      </x:c>
      <x:c r="B4" s="8" t="inlineStr">
        <x:is>
          <x:t xml:space="preserve">Category</x:t>
        </x:is>
      </x:c>
      <x:c r="C4" s="8" t="inlineStr">
        <x:is>
          <x:t xml:space="preserve">Task</x:t>
        </x:is>
      </x:c>
      <x:c r="D4" s="8" t="inlineStr">
        <x:is>
          <x:t xml:space="preserve">Detail / Why</x:t>
        </x:is>
      </x:c>
      <x:c r="E4" s="8" t="inlineStr">
        <x:is>
          <x:t xml:space="preserve">Priority</x:t>
        </x:is>
      </x:c>
      <x:c r="F4" s="8" t="inlineStr">
        <x:is>
          <x:t xml:space="preserve">Ease</x:t>
        </x:is>
      </x:c>
      <x:c r="G4" s="8" t="inlineStr">
        <x:is>
          <x:t xml:space="preserve">Owner</x:t>
        </x:is>
      </x:c>
      <x:c r="H4" s="8" t="inlineStr">
        <x:is>
          <x:t xml:space="preserve">Deps</x:t>
        </x:is>
      </x:c>
      <x:c r="I4" s="8" t="inlineStr">
        <x:is>
          <x:t xml:space="preserve">How To</x:t>
        </x:is>
      </x:c>
      <x:c r="J4" s="8" t="inlineStr">
        <x:is>
          <x:t xml:space="preserve">Cost</x:t>
        </x:is>
      </x:c>
      <x:c r="K4" s="8" t="inlineStr">
        <x:is>
          <x:t xml:space="preserve">Phase</x:t>
        </x:is>
      </x:c>
      <x:c r="L4" s="8" t="inlineStr">
        <x:is>
          <x:t xml:space="preserve">Status</x:t>
        </x:is>
      </x:c>
      <x:c r="M4" s="8" t="inlineStr">
        <x:is>
          <x:t xml:space="preserve">Notes</x:t>
        </x:is>
      </x:c>
    </x:row>
    <x:row r="5">
      <x:c r="A5" s="18" t="inlineStr">
        <x:is>
          <x:t xml:space="preserve">T203</x:t>
        </x:is>
      </x:c>
      <x:c r="B5" s="18" t="inlineStr">
        <x:is>
          <x:t xml:space="preserve">AI Liability Defense</x:t>
        </x:is>
      </x:c>
      <x:c r="C5" s="18" t="inlineStr">
        <x:is>
          <x:t xml:space="preserve">ADR: AI as advisor, never decision-maker (architectural invariant)</x:t>
        </x:is>
      </x:c>
      <x:c r="D5" s="18" t="inlineStr">
        <x:is>
          <x:t xml:space="preserve">Codifies: every consequential action requires a human approval gate; no code path from AI agent to external mutation without human commit. Enforce in dependency-cruiser. The most important ADR in the codebase.</x:t>
        </x:is>
      </x:c>
      <x:c r="E5" s="31" t="inlineStr">
        <x:is>
          <x:t xml:space="preserve">P0</x:t>
        </x:is>
      </x:c>
      <x:c r="F5" s="39" t="inlineStr">
        <x:is>
          <x:t xml:space="preserve">2. CLAUDE DOES IT</x:t>
        </x:is>
      </x:c>
      <x:c r="G5" s="18" t="inlineStr">
        <x:is>
          <x:t xml:space="preserve">Anand</x:t>
        </x:is>
      </x:c>
      <x:c r="H5" s="18" t="inlineStr">
        <x:is>
          <x:t xml:space="preserve"/>
        </x:is>
      </x:c>
      <x:c r="I5" s="45" t="inlineStr">
        <x:is>
          <x:t xml:space="preserve">Claude (draft)</x:t>
        </x:is>
      </x:c>
      <x:c r="J5" s="52" t="inlineStr">
        <x:is>
          <x:t xml:space="preserve">$0</x:t>
        </x:is>
      </x:c>
      <x:c r="K5" s="84" t="inlineStr">
        <x:is>
          <x:t xml:space="preserve">Anytime</x:t>
        </x:is>
      </x:c>
      <x:c r="L5" s="44" t="str">
        <x:v>Done</x:v>
      </x:c>
      <x:c r="M5" s="18" t="str">
        <x:v>PR #2715: https://github.com/anandsundaram-hash/abarva/pull/2715</x:v>
      </x:c>
    </x:row>
    <x:row r="6">
      <x:c r="A6" s="18" t="inlineStr">
        <x:is>
          <x:t xml:space="preserve">T204</x:t>
        </x:is>
      </x:c>
      <x:c r="B6" s="18" t="inlineStr">
        <x:is>
          <x:t xml:space="preserve">AI Liability Defense</x:t>
        </x:is>
      </x:c>
      <x:c r="C6" s="18" t="inlineStr">
        <x:is>
          <x:t xml:space="preserve">Enforce 'no auto-action' rule in dependency-cruiser config</x:t>
        </x:is>
      </x:c>
      <x:c r="D6" s="18" t="inlineStr">
        <x:is>
          <x:t xml:space="preserve">Forbidden: AI agent code → external mutation (DB write outside approval table, API call to client systems, email send, etc.) without crossing a human approval gate.</x:t>
        </x:is>
      </x:c>
      <x:c r="E6" s="31" t="inlineStr">
        <x:is>
          <x:t xml:space="preserve">P0</x:t>
        </x:is>
      </x:c>
      <x:c r="F6" s="39" t="inlineStr">
        <x:is>
          <x:t xml:space="preserve">2. CLAUDE DOES IT</x:t>
        </x:is>
      </x:c>
      <x:c r="G6" s="18" t="inlineStr">
        <x:is>
          <x:t xml:space="preserve">Anand</x:t>
        </x:is>
      </x:c>
      <x:c r="H6" s="18" t="inlineStr">
        <x:is>
          <x:t xml:space="preserve"/>
        </x:is>
      </x:c>
      <x:c r="I6" s="45" t="inlineStr">
        <x:is>
          <x:t xml:space="preserve">Claude (code)</x:t>
        </x:is>
      </x:c>
      <x:c r="J6" s="52" t="inlineStr">
        <x:is>
          <x:t xml:space="preserve">$0</x:t>
        </x:is>
      </x:c>
      <x:c r="K6" s="84" t="inlineStr">
        <x:is>
          <x:t xml:space="preserve">Anytime</x:t>
        </x:is>
      </x:c>
      <x:c r="L6" s="44" t="inlineStr">
        <x:is>
          <x:t xml:space="preserve">Not started</x:t>
        </x:is>
      </x:c>
      <x:c r="M6" s="18" t="inlineStr">
        <x:is>
          <x:t xml:space="preserve"/>
        </x:is>
      </x:c>
    </x:row>
    <x:row r="7">
      <x:c r="A7" s="18" t="inlineStr">
        <x:is>
          <x:t xml:space="preserve">T205</x:t>
        </x:is>
      </x:c>
      <x:c r="B7" s="18" t="inlineStr">
        <x:is>
          <x:t xml:space="preserve">AI Liability Defense</x:t>
        </x:is>
      </x:c>
      <x:c r="C7" s="18" t="inlineStr">
        <x:is>
          <x:t xml:space="preserve">Every AI output visually marked 'AI Draft' / 'Pending Review' / 'Suggested'</x:t>
        </x:is>
      </x:c>
      <x:c r="D7" s="18" t="inlineStr">
        <x:is>
          <x:t xml:space="preserve">Design-system component: AILabel, AISuggestionFrame. Used everywhere AI generates content. Not buried — visible.</x:t>
        </x:is>
      </x:c>
      <x:c r="E7" s="31" t="inlineStr">
        <x:is>
          <x:t xml:space="preserve">P0</x:t>
        </x:is>
      </x:c>
      <x:c r="F7" s="39" t="inlineStr">
        <x:is>
          <x:t xml:space="preserve">2. CLAUDE DOES IT</x:t>
        </x:is>
      </x:c>
      <x:c r="G7" s="18" t="inlineStr">
        <x:is>
          <x:t xml:space="preserve">Anand</x:t>
        </x:is>
      </x:c>
      <x:c r="H7" s="18" t="inlineStr">
        <x:is>
          <x:t xml:space="preserve"/>
        </x:is>
      </x:c>
      <x:c r="I7" s="45" t="inlineStr">
        <x:is>
          <x:t xml:space="preserve">Claude (code)</x:t>
        </x:is>
      </x:c>
      <x:c r="J7" s="52" t="inlineStr">
        <x:is>
          <x:t xml:space="preserve">$0</x:t>
        </x:is>
      </x:c>
      <x:c r="K7" s="82" t="inlineStr">
        <x:is>
          <x:t xml:space="preserve">Pre-Resign</x:t>
        </x:is>
      </x:c>
      <x:c r="L7" s="44" t="inlineStr">
        <x:is>
          <x:t xml:space="preserve">Not started</x:t>
        </x:is>
      </x:c>
      <x:c r="M7" s="18" t="inlineStr">
        <x:is>
          <x:t xml:space="preserve"/>
        </x:is>
      </x:c>
    </x:row>
    <x:row r="8">
      <x:c r="A8" s="18" t="inlineStr">
        <x:is>
          <x:t xml:space="preserve">T206</x:t>
        </x:is>
      </x:c>
      <x:c r="B8" s="18" t="inlineStr">
        <x:is>
          <x:t xml:space="preserve">AI Liability Defense</x:t>
        </x:is>
      </x:c>
      <x:c r="C8" s="18" t="inlineStr">
        <x:is>
          <x:t xml:space="preserve">Approval-gate dialog: 'I have reviewed and accept responsibility' checkbox before commit</x:t>
        </x:is>
      </x:c>
      <x:c r="D8" s="18" t="inlineStr">
        <x:is>
          <x:t xml:space="preserve">Standard component for every consequential action. Checkbox + free-text justification field. Stored as evidence.</x:t>
        </x:is>
      </x:c>
      <x:c r="E8" s="31" t="inlineStr">
        <x:is>
          <x:t xml:space="preserve">P0</x:t>
        </x:is>
      </x:c>
      <x:c r="F8" s="39" t="inlineStr">
        <x:is>
          <x:t xml:space="preserve">2. CLAUDE DOES IT</x:t>
        </x:is>
      </x:c>
      <x:c r="G8" s="18" t="inlineStr">
        <x:is>
          <x:t xml:space="preserve">Anand</x:t>
        </x:is>
      </x:c>
      <x:c r="H8" s="18" t="inlineStr">
        <x:is>
          <x:t xml:space="preserve"/>
        </x:is>
      </x:c>
      <x:c r="I8" s="45" t="inlineStr">
        <x:is>
          <x:t xml:space="preserve">Claude (code)</x:t>
        </x:is>
      </x:c>
      <x:c r="J8" s="52" t="inlineStr">
        <x:is>
          <x:t xml:space="preserve">$0</x:t>
        </x:is>
      </x:c>
      <x:c r="K8" s="84" t="inlineStr">
        <x:is>
          <x:t xml:space="preserve">Anytime</x:t>
        </x:is>
      </x:c>
      <x:c r="L8" s="44" t="inlineStr">
        <x:is>
          <x:t xml:space="preserve">Not started</x:t>
        </x:is>
      </x:c>
      <x:c r="M8" s="18" t="inlineStr">
        <x:is>
          <x:t xml:space="preserve"/>
        </x:is>
      </x:c>
    </x:row>
    <x:row r="9">
      <x:c r="A9" s="18" t="inlineStr">
        <x:is>
          <x:t xml:space="preserve">T207</x:t>
        </x:is>
      </x:c>
      <x:c r="B9" s="18" t="inlineStr">
        <x:is>
          <x:t xml:space="preserve">AI Liability Defense</x:t>
        </x:is>
      </x:c>
      <x:c r="C9" s="18" t="inlineStr">
        <x:is>
          <x:t xml:space="preserve">Free-text justification field on every approval — forces user to articulate THEIR reasoning</x:t>
        </x:is>
      </x:c>
      <x:c r="D9" s="18" t="inlineStr">
        <x:is>
          <x:t xml:space="preserve">Minimum 20 chars. Stored verbatim in audit log. Critical anti-rubber-stamp defense.</x:t>
        </x:is>
      </x:c>
      <x:c r="E9" s="31" t="inlineStr">
        <x:is>
          <x:t xml:space="preserve">P0</x:t>
        </x:is>
      </x:c>
      <x:c r="F9" s="39" t="inlineStr">
        <x:is>
          <x:t xml:space="preserve">2. CLAUDE DOES IT</x:t>
        </x:is>
      </x:c>
      <x:c r="G9" s="18" t="inlineStr">
        <x:is>
          <x:t xml:space="preserve">Anand</x:t>
        </x:is>
      </x:c>
      <x:c r="H9" s="18" t="inlineStr">
        <x:is>
          <x:t xml:space="preserve"/>
        </x:is>
      </x:c>
      <x:c r="I9" s="45" t="inlineStr">
        <x:is>
          <x:t xml:space="preserve">Claude (code)</x:t>
        </x:is>
      </x:c>
      <x:c r="J9" s="52" t="inlineStr">
        <x:is>
          <x:t xml:space="preserve">$0</x:t>
        </x:is>
      </x:c>
      <x:c r="K9" s="84" t="inlineStr">
        <x:is>
          <x:t xml:space="preserve">Anytime</x:t>
        </x:is>
      </x:c>
      <x:c r="L9" s="44" t="inlineStr">
        <x:is>
          <x:t xml:space="preserve">Not started</x:t>
        </x:is>
      </x:c>
      <x:c r="M9" s="18" t="inlineStr">
        <x:is>
          <x:t xml:space="preserve"/>
        </x:is>
      </x:c>
    </x:row>
    <x:row r="10">
      <x:c r="A10" s="18" t="inlineStr">
        <x:is>
          <x:t xml:space="preserve">T208</x:t>
        </x:is>
      </x:c>
      <x:c r="B10" s="18" t="inlineStr">
        <x:is>
          <x:t xml:space="preserve">AI Liability Defense</x:t>
        </x:is>
      </x:c>
      <x:c r="C10" s="18" t="inlineStr">
        <x:is>
          <x:t xml:space="preserve">Confidence indicators on every AI output (low/med/high + rationale)</x:t>
        </x:is>
      </x:c>
      <x:c r="D10" s="18" t="inlineStr">
        <x:is>
          <x:t xml:space="preserve">User sees how confident the system is. Low-confidence outputs trigger extra review prompts.</x:t>
        </x:is>
      </x:c>
      <x:c r="E10" s="31" t="inlineStr">
        <x:is>
          <x:t xml:space="preserve">P0</x:t>
        </x:is>
      </x:c>
      <x:c r="F10" s="39" t="inlineStr">
        <x:is>
          <x:t xml:space="preserve">2. CLAUDE DOES IT</x:t>
        </x:is>
      </x:c>
      <x:c r="G10" s="18" t="inlineStr">
        <x:is>
          <x:t xml:space="preserve">Anand</x:t>
        </x:is>
      </x:c>
      <x:c r="H10" s="18" t="inlineStr">
        <x:is>
          <x:t xml:space="preserve"/>
        </x:is>
      </x:c>
      <x:c r="I10" s="45" t="inlineStr">
        <x:is>
          <x:t xml:space="preserve">Claude (code)</x:t>
        </x:is>
      </x:c>
      <x:c r="J10" s="52" t="inlineStr">
        <x:is>
          <x:t xml:space="preserve">$0</x:t>
        </x:is>
      </x:c>
      <x:c r="K10" s="84" t="inlineStr">
        <x:is>
          <x:t xml:space="preserve">Anytime</x:t>
        </x:is>
      </x:c>
      <x:c r="L10" s="44" t="inlineStr">
        <x:is>
          <x:t xml:space="preserve">Not started</x:t>
        </x:is>
      </x:c>
      <x:c r="M10" s="18" t="inlineStr">
        <x:is>
          <x:t xml:space="preserve"/>
        </x:is>
      </x:c>
    </x:row>
    <x:row r="11">
      <x:c r="A11" s="18" t="inlineStr">
        <x:is>
          <x:t xml:space="preserve">T209</x:t>
        </x:is>
      </x:c>
      <x:c r="B11" s="18" t="inlineStr">
        <x:is>
          <x:t xml:space="preserve">AI Liability Defense</x:t>
        </x:is>
      </x:c>
      <x:c r="C11" s="18" t="inlineStr">
        <x:is>
          <x:t xml:space="preserve">Source citations on every AI claim (link to source data that grounded it)</x:t>
        </x:is>
      </x:c>
      <x:c r="D11" s="18" t="inlineStr">
        <x:is>
          <x:t xml:space="preserve">Every assertion clickable → shows source chunks. Critical for 'I verified this' user defense.</x:t>
        </x:is>
      </x:c>
      <x:c r="E11" s="31" t="inlineStr">
        <x:is>
          <x:t xml:space="preserve">P0</x:t>
        </x:is>
      </x:c>
      <x:c r="F11" s="39" t="inlineStr">
        <x:is>
          <x:t xml:space="preserve">2. CLAUDE DOES IT</x:t>
        </x:is>
      </x:c>
      <x:c r="G11" s="18" t="inlineStr">
        <x:is>
          <x:t xml:space="preserve">Anand</x:t>
        </x:is>
      </x:c>
      <x:c r="H11" s="18" t="inlineStr">
        <x:is>
          <x:t xml:space="preserve"/>
        </x:is>
      </x:c>
      <x:c r="I11" s="45" t="inlineStr">
        <x:is>
          <x:t xml:space="preserve">Claude (code)</x:t>
        </x:is>
      </x:c>
      <x:c r="J11" s="52" t="inlineStr">
        <x:is>
          <x:t xml:space="preserve">$0</x:t>
        </x:is>
      </x:c>
      <x:c r="K11" s="84" t="inlineStr">
        <x:is>
          <x:t xml:space="preserve">Anytime</x:t>
        </x:is>
      </x:c>
      <x:c r="L11" s="44" t="inlineStr">
        <x:is>
          <x:t xml:space="preserve">Not started</x:t>
        </x:is>
      </x:c>
      <x:c r="M11" s="18" t="inlineStr">
        <x:is>
          <x:t xml:space="preserve"/>
        </x:is>
      </x:c>
    </x:row>
    <x:row r="12">
      <x:c r="A12" s="18" t="inlineStr">
        <x:is>
          <x:t xml:space="preserve">T210</x:t>
        </x:is>
      </x:c>
      <x:c r="B12" s="18" t="inlineStr">
        <x:is>
          <x:t xml:space="preserve">AI Liability Defense</x:t>
        </x:is>
      </x:c>
      <x:c r="C12" s="18" t="inlineStr">
        <x:is>
          <x:t xml:space="preserve">'Edit before commit' always available — never force accept-as-is</x:t>
        </x:is>
      </x:c>
      <x:c r="D12" s="18" t="inlineStr">
        <x:is>
          <x:t xml:space="preserve">User can modify any AI output before approval. Modifications also stored as evidence of human authorship.</x:t>
        </x:is>
      </x:c>
      <x:c r="E12" s="31" t="inlineStr">
        <x:is>
          <x:t xml:space="preserve">P0</x:t>
        </x:is>
      </x:c>
      <x:c r="F12" s="39" t="inlineStr">
        <x:is>
          <x:t xml:space="preserve">2. CLAUDE DOES IT</x:t>
        </x:is>
      </x:c>
      <x:c r="G12" s="18" t="inlineStr">
        <x:is>
          <x:t xml:space="preserve">Anand</x:t>
        </x:is>
      </x:c>
      <x:c r="H12" s="18" t="inlineStr">
        <x:is>
          <x:t xml:space="preserve"/>
        </x:is>
      </x:c>
      <x:c r="I12" s="45" t="inlineStr">
        <x:is>
          <x:t xml:space="preserve">Claude (code)</x:t>
        </x:is>
      </x:c>
      <x:c r="J12" s="52" t="inlineStr">
        <x:is>
          <x:t xml:space="preserve">$0</x:t>
        </x:is>
      </x:c>
      <x:c r="K12" s="84" t="inlineStr">
        <x:is>
          <x:t xml:space="preserve">Anytime</x:t>
        </x:is>
      </x:c>
      <x:c r="L12" s="44" t="inlineStr">
        <x:is>
          <x:t xml:space="preserve">Not started</x:t>
        </x:is>
      </x:c>
      <x:c r="M12" s="18" t="inlineStr">
        <x:is>
          <x:t xml:space="preserve"/>
        </x:is>
      </x:c>
    </x:row>
    <x:row r="13">
      <x:c r="A13" s="18" t="inlineStr">
        <x:is>
          <x:t xml:space="preserve">T211</x:t>
        </x:is>
      </x:c>
      <x:c r="B13" s="18" t="inlineStr">
        <x:is>
          <x:t xml:space="preserve">AI Liability Defense</x:t>
        </x:is>
      </x:c>
      <x:c r="C13" s="18" t="inlineStr">
        <x:is>
          <x:t xml:space="preserve">Persistent disclaimer footer in all agent surfaces</x:t>
        </x:is>
      </x:c>
      <x:c r="D13" s="18" t="inlineStr">
        <x:is>
          <x:t xml:space="preserve">Small but always-visible: 'AI may produce errors. You are responsible for decisions taken based on this output.'</x:t>
        </x:is>
      </x:c>
      <x:c r="E13" s="31" t="inlineStr">
        <x:is>
          <x:t xml:space="preserve">P0</x:t>
        </x:is>
      </x:c>
      <x:c r="F13" s="39" t="inlineStr">
        <x:is>
          <x:t xml:space="preserve">2. CLAUDE DOES IT</x:t>
        </x:is>
      </x:c>
      <x:c r="G13" s="18" t="inlineStr">
        <x:is>
          <x:t xml:space="preserve">Anand</x:t>
        </x:is>
      </x:c>
      <x:c r="H13" s="18" t="inlineStr">
        <x:is>
          <x:t xml:space="preserve"/>
        </x:is>
      </x:c>
      <x:c r="I13" s="45" t="inlineStr">
        <x:is>
          <x:t xml:space="preserve">Claude (code)</x:t>
        </x:is>
      </x:c>
      <x:c r="J13" s="52" t="inlineStr">
        <x:is>
          <x:t xml:space="preserve">$0</x:t>
        </x:is>
      </x:c>
      <x:c r="K13" s="84" t="inlineStr">
        <x:is>
          <x:t xml:space="preserve">Anytime</x:t>
        </x:is>
      </x:c>
      <x:c r="L13" s="44" t="inlineStr">
        <x:is>
          <x:t xml:space="preserve">Not started</x:t>
        </x:is>
      </x:c>
      <x:c r="M13" s="18" t="inlineStr">
        <x:is>
          <x:t xml:space="preserve"/>
        </x:is>
      </x:c>
    </x:row>
    <x:row r="14">
      <x:c r="A14" s="18" t="inlineStr">
        <x:is>
          <x:t xml:space="preserve">T212</x:t>
        </x:is>
      </x:c>
      <x:c r="B14" s="18" t="inlineStr">
        <x:is>
          <x:t xml:space="preserve">AI Liability Defense</x:t>
        </x:is>
      </x:c>
      <x:c r="C14" s="18" t="inlineStr">
        <x:is>
          <x:t xml:space="preserve">Click-wrap acknowledgment on first user login (per-tenant, per-user)</x:t>
        </x:is>
      </x:c>
      <x:c r="D14" s="18" t="inlineStr">
        <x:is>
          <x:t xml:space="preserve">Modal on first login: 'I understand AbarVa provides AI-generated suggestions. I am responsible for reviewing and validating all outputs before making decisions or taking action.' Capture timestamp, user, IP, consent text version. Stored immutably.</x:t>
        </x:is>
      </x:c>
      <x:c r="E14" s="31" t="inlineStr">
        <x:is>
          <x:t xml:space="preserve">P0</x:t>
        </x:is>
      </x:c>
      <x:c r="F14" s="39" t="inlineStr">
        <x:is>
          <x:t xml:space="preserve">2. CLAUDE DOES IT</x:t>
        </x:is>
      </x:c>
      <x:c r="G14" s="18" t="inlineStr">
        <x:is>
          <x:t xml:space="preserve">Anand</x:t>
        </x:is>
      </x:c>
      <x:c r="H14" s="18" t="inlineStr">
        <x:is>
          <x:t xml:space="preserve"/>
        </x:is>
      </x:c>
      <x:c r="I14" s="45" t="inlineStr">
        <x:is>
          <x:t xml:space="preserve">Claude (code)</x:t>
        </x:is>
      </x:c>
      <x:c r="J14" s="52" t="inlineStr">
        <x:is>
          <x:t xml:space="preserve">$0</x:t>
        </x:is>
      </x:c>
      <x:c r="K14" s="84" t="inlineStr">
        <x:is>
          <x:t xml:space="preserve">Anytime</x:t>
        </x:is>
      </x:c>
      <x:c r="L14" s="44" t="inlineStr">
        <x:is>
          <x:t xml:space="preserve">Not started</x:t>
        </x:is>
      </x:c>
      <x:c r="M14" s="18" t="inlineStr">
        <x:is>
          <x:t xml:space="preserve"/>
        </x:is>
      </x:c>
    </x:row>
    <x:row r="15">
      <x:c r="A15" s="18" t="inlineStr">
        <x:is>
          <x:t xml:space="preserve">T214</x:t>
        </x:is>
      </x:c>
      <x:c r="B15" s="18" t="inlineStr">
        <x:is>
          <x:t xml:space="preserve">AI Liability Defense</x:t>
        </x:is>
      </x:c>
      <x:c r="C15" s="18" t="inlineStr">
        <x:is>
          <x:t xml:space="preserve">Required 'Responsible AI Use' training module before access (~10 min)</x:t>
        </x:is>
      </x:c>
      <x:c r="D15" s="18" t="inlineStr">
        <x:is>
          <x:t xml:space="preserve">Interactive: covers hallucination, verification duty, approval responsibility. Completion blocks app access. Annual refresh.</x:t>
        </x:is>
      </x:c>
      <x:c r="E15" s="31" t="inlineStr">
        <x:is>
          <x:t xml:space="preserve">P0</x:t>
        </x:is>
      </x:c>
      <x:c r="F15" s="39" t="inlineStr">
        <x:is>
          <x:t xml:space="preserve">2. CLAUDE DOES IT</x:t>
        </x:is>
      </x:c>
      <x:c r="G15" s="18" t="inlineStr">
        <x:is>
          <x:t xml:space="preserve">Anand</x:t>
        </x:is>
      </x:c>
      <x:c r="H15" s="18" t="inlineStr">
        <x:is>
          <x:t xml:space="preserve"/>
        </x:is>
      </x:c>
      <x:c r="I15" s="45" t="inlineStr">
        <x:is>
          <x:t xml:space="preserve">Claude (content+code)</x:t>
        </x:is>
      </x:c>
      <x:c r="J15" s="52" t="inlineStr">
        <x:is>
          <x:t xml:space="preserve">$0</x:t>
        </x:is>
      </x:c>
      <x:c r="K15" s="84" t="inlineStr">
        <x:is>
          <x:t xml:space="preserve">Anytime</x:t>
        </x:is>
      </x:c>
      <x:c r="L15" s="44" t="inlineStr">
        <x:is>
          <x:t xml:space="preserve">Not started</x:t>
        </x:is>
      </x:c>
      <x:c r="M15" s="18" t="inlineStr">
        <x:is>
          <x:t xml:space="preserve"/>
        </x:is>
      </x:c>
    </x:row>
    <x:row r="16">
      <x:c r="A16" s="18" t="inlineStr">
        <x:is>
          <x:t xml:space="preserve">T216</x:t>
        </x:is>
      </x:c>
      <x:c r="B16" s="18" t="inlineStr">
        <x:is>
          <x:t xml:space="preserve">AI Liability Defense</x:t>
        </x:is>
      </x:c>
      <x:c r="C16" s="18" t="inlineStr">
        <x:is>
          <x:t xml:space="preserve">Evidence bundle auto-generated on every consequential action</x:t>
        </x:is>
      </x:c>
      <x:c r="D16" s="18" t="inlineStr">
        <x:is>
          <x:t xml:space="preserve">Bundle = AI suggestion + sources cited + human review timestamp + reviewer ID + justification text + execution timestamp. Attached to every Move/gate/commit. Reportable per-tenant.</x:t>
        </x:is>
      </x:c>
      <x:c r="E16" s="31" t="inlineStr">
        <x:is>
          <x:t xml:space="preserve">P0</x:t>
        </x:is>
      </x:c>
      <x:c r="F16" s="39" t="inlineStr">
        <x:is>
          <x:t xml:space="preserve">2. CLAUDE DOES IT</x:t>
        </x:is>
      </x:c>
      <x:c r="G16" s="18" t="inlineStr">
        <x:is>
          <x:t xml:space="preserve">Anand</x:t>
        </x:is>
      </x:c>
      <x:c r="H16" s="18" t="inlineStr">
        <x:is>
          <x:t xml:space="preserve">T041</x:t>
        </x:is>
      </x:c>
      <x:c r="I16" s="45" t="inlineStr">
        <x:is>
          <x:t xml:space="preserve">Claude (code)</x:t>
        </x:is>
      </x:c>
      <x:c r="J16" s="52" t="inlineStr">
        <x:is>
          <x:t xml:space="preserve">$0</x:t>
        </x:is>
      </x:c>
      <x:c r="K16" s="84" t="inlineStr">
        <x:is>
          <x:t xml:space="preserve">Anytime</x:t>
        </x:is>
      </x:c>
      <x:c r="L16" s="44" t="inlineStr">
        <x:is>
          <x:t xml:space="preserve">Not started</x:t>
        </x:is>
      </x:c>
      <x:c r="M16" s="18" t="inlineStr">
        <x:is>
          <x:t xml:space="preserve"/>
        </x:is>
      </x:c>
    </x:row>
    <x:row r="17">
      <x:c r="A17" s="18" t="inlineStr">
        <x:is>
          <x:t xml:space="preserve">T217</x:t>
        </x:is>
      </x:c>
      <x:c r="B17" s="18" t="inlineStr">
        <x:is>
          <x:t xml:space="preserve">AI Liability Defense</x:t>
        </x:is>
      </x:c>
      <x:c r="C17" s="18" t="inlineStr">
        <x:is>
          <x:t xml:space="preserve">Client-exportable approval audit logs</x:t>
        </x:is>
      </x:c>
      <x:c r="D17" s="18" t="inlineStr">
        <x:is>
          <x:t xml:space="preserve">Client can self-serve export their audit log for any time period. They hold proof too — bilateral evidence.</x:t>
        </x:is>
      </x:c>
      <x:c r="E17" s="31" t="inlineStr">
        <x:is>
          <x:t xml:space="preserve">P0</x:t>
        </x:is>
      </x:c>
      <x:c r="F17" s="39" t="inlineStr">
        <x:is>
          <x:t xml:space="preserve">2. CLAUDE DOES IT</x:t>
        </x:is>
      </x:c>
      <x:c r="G17" s="18" t="inlineStr">
        <x:is>
          <x:t xml:space="preserve">Anand</x:t>
        </x:is>
      </x:c>
      <x:c r="H17" s="18" t="inlineStr">
        <x:is>
          <x:t xml:space="preserve">T041</x:t>
        </x:is>
      </x:c>
      <x:c r="I17" s="45" t="inlineStr">
        <x:is>
          <x:t xml:space="preserve">Claude (code)</x:t>
        </x:is>
      </x:c>
      <x:c r="J17" s="52" t="inlineStr">
        <x:is>
          <x:t xml:space="preserve">$0</x:t>
        </x:is>
      </x:c>
      <x:c r="K17" s="84" t="inlineStr">
        <x:is>
          <x:t xml:space="preserve">Anytime</x:t>
        </x:is>
      </x:c>
      <x:c r="L17" s="44" t="inlineStr">
        <x:is>
          <x:t xml:space="preserve">Not started</x:t>
        </x:is>
      </x:c>
      <x:c r="M17" s="18" t="inlineStr">
        <x:is>
          <x:t xml:space="preserve"/>
        </x:is>
      </x:c>
    </x:row>
    <x:row r="18">
      <x:c r="A18" s="18" t="inlineStr">
        <x:is>
          <x:t xml:space="preserve">T223</x:t>
        </x:is>
      </x:c>
      <x:c r="B18" s="18" t="inlineStr">
        <x:is>
          <x:t xml:space="preserve">AI Liability Defense</x:t>
        </x:is>
      </x:c>
      <x:c r="C18" s="18" t="inlineStr">
        <x:is>
          <x:t xml:space="preserve">ESCALATE: AI Ethics / Responsible AI policy → P0 + publish at abarva.com/responsible-ai</x:t>
        </x:is>
      </x:c>
      <x:c r="D18" s="18" t="inlineStr">
        <x:is>
          <x:t xml:space="preserve">Was P1 in Operational Readiness. Escalate. Public commitment + boundary statement. Procurement reads this.</x:t>
        </x:is>
      </x:c>
      <x:c r="E18" s="31" t="inlineStr">
        <x:is>
          <x:t xml:space="preserve">P0</x:t>
        </x:is>
      </x:c>
      <x:c r="F18" s="39" t="inlineStr">
        <x:is>
          <x:t xml:space="preserve">2. CLAUDE DOES IT</x:t>
        </x:is>
      </x:c>
      <x:c r="G18" s="18" t="inlineStr">
        <x:is>
          <x:t xml:space="preserve">Anand</x:t>
        </x:is>
      </x:c>
      <x:c r="H18" s="18" t="inlineStr">
        <x:is>
          <x:t xml:space="preserve"/>
        </x:is>
      </x:c>
      <x:c r="I18" s="45" t="inlineStr">
        <x:is>
          <x:t xml:space="preserve">Claude (draft)</x:t>
        </x:is>
      </x:c>
      <x:c r="J18" s="52" t="inlineStr">
        <x:is>
          <x:t xml:space="preserve">$0</x:t>
        </x:is>
      </x:c>
      <x:c r="K18" s="83" t="inlineStr">
        <x:is>
          <x:t xml:space="preserve">Post-Resign</x:t>
        </x:is>
      </x:c>
      <x:c r="L18" s="44" t="inlineStr">
        <x:is>
          <x:t xml:space="preserve">Not started</x:t>
        </x:is>
      </x:c>
      <x:c r="M18" s="18" t="inlineStr">
        <x:is>
          <x:t xml:space="preserve"/>
        </x:is>
      </x:c>
    </x:row>
    <x:row r="19">
      <x:c r="A19" s="18" t="inlineStr">
        <x:is>
          <x:t xml:space="preserve">T224</x:t>
        </x:is>
      </x:c>
      <x:c r="B19" s="18" t="inlineStr">
        <x:is>
          <x:t xml:space="preserve">AI Liability Defense</x:t>
        </x:is>
      </x:c>
      <x:c r="C19" s="18" t="inlineStr">
        <x:is>
          <x:t xml:space="preserve">Model card: capabilities, limitations, training data sources, version history</x:t>
        </x:is>
      </x:c>
      <x:c r="D19" s="18" t="inlineStr">
        <x:is>
          <x:t xml:space="preserve">Standardized format (Google/Hugging Face style). Lives at abarva.com/model-card. Updated each major model change.</x:t>
        </x:is>
      </x:c>
      <x:c r="E19" s="31" t="inlineStr">
        <x:is>
          <x:t xml:space="preserve">P0</x:t>
        </x:is>
      </x:c>
      <x:c r="F19" s="39" t="inlineStr">
        <x:is>
          <x:t xml:space="preserve">2. CLAUDE DOES IT</x:t>
        </x:is>
      </x:c>
      <x:c r="G19" s="18" t="inlineStr">
        <x:is>
          <x:t xml:space="preserve">Anand</x:t>
        </x:is>
      </x:c>
      <x:c r="H19" s="18" t="inlineStr">
        <x:is>
          <x:t xml:space="preserve"/>
        </x:is>
      </x:c>
      <x:c r="I19" s="45" t="inlineStr">
        <x:is>
          <x:t xml:space="preserve">Claude (draft)</x:t>
        </x:is>
      </x:c>
      <x:c r="J19" s="52" t="inlineStr">
        <x:is>
          <x:t xml:space="preserve">$0</x:t>
        </x:is>
      </x:c>
      <x:c r="K19" s="83" t="inlineStr">
        <x:is>
          <x:t xml:space="preserve">Post-Resign</x:t>
        </x:is>
      </x:c>
      <x:c r="L19" s="44" t="inlineStr">
        <x:is>
          <x:t xml:space="preserve">Not started</x:t>
        </x:is>
      </x:c>
      <x:c r="M19" s="18" t="inlineStr">
        <x:is>
          <x:t xml:space="preserve"/>
        </x:is>
      </x:c>
    </x:row>
    <x:row r="20">
      <x:c r="A20" s="18" t="inlineStr">
        <x:is>
          <x:t xml:space="preserve">T225</x:t>
        </x:is>
      </x:c>
      <x:c r="B20" s="18" t="inlineStr">
        <x:is>
          <x:t xml:space="preserve">AI Liability Defense</x:t>
        </x:is>
      </x:c>
      <x:c r="C20" s="18" t="inlineStr">
        <x:is>
          <x:t xml:space="preserve">Known limitations + hallucination disclosure page (dated, maintained)</x:t>
        </x:is>
      </x:c>
      <x:c r="D20" s="18" t="inlineStr">
        <x:is>
          <x:t xml:space="preserve">Frank, public list of what AbarVa is bad at. Counter-intuitively strong defense — shows transparency, sets expectations.</x:t>
        </x:is>
      </x:c>
      <x:c r="E20" s="31" t="inlineStr">
        <x:is>
          <x:t xml:space="preserve">P0</x:t>
        </x:is>
      </x:c>
      <x:c r="F20" s="39" t="inlineStr">
        <x:is>
          <x:t xml:space="preserve">2. CLAUDE DOES IT</x:t>
        </x:is>
      </x:c>
      <x:c r="G20" s="18" t="inlineStr">
        <x:is>
          <x:t xml:space="preserve">Anand</x:t>
        </x:is>
      </x:c>
      <x:c r="H20" s="18" t="inlineStr">
        <x:is>
          <x:t xml:space="preserve"/>
        </x:is>
      </x:c>
      <x:c r="I20" s="45" t="inlineStr">
        <x:is>
          <x:t xml:space="preserve">Claude (draft)</x:t>
        </x:is>
      </x:c>
      <x:c r="J20" s="52" t="inlineStr">
        <x:is>
          <x:t xml:space="preserve">$0</x:t>
        </x:is>
      </x:c>
      <x:c r="K20" s="83" t="inlineStr">
        <x:is>
          <x:t xml:space="preserve">Post-Resign</x:t>
        </x:is>
      </x:c>
      <x:c r="L20" s="44" t="inlineStr">
        <x:is>
          <x:t xml:space="preserve">Not started</x:t>
        </x:is>
      </x:c>
      <x:c r="M20" s="18" t="inlineStr">
        <x:is>
          <x:t xml:space="preserve"/>
        </x:is>
      </x:c>
    </x:row>
    <x:row r="21">
      <x:c r="A21" s="18" t="inlineStr">
        <x:is>
          <x:t xml:space="preserve">T231</x:t>
        </x:is>
      </x:c>
      <x:c r="B21" s="18" t="inlineStr">
        <x:is>
          <x:t xml:space="preserve">AI Liability Defense</x:t>
        </x:is>
      </x:c>
      <x:c r="C21" s="18" t="inlineStr">
        <x:is>
          <x:t xml:space="preserve">Cross-module audit: catalog every consequential action across Intelligence / Moves / Source / Tower / Setup</x:t>
        </x:is>
      </x:c>
      <x:c r="D21" s="18" t="inlineStr">
        <x:is>
          <x:t xml:space="preserve">1 spreadsheet listing every action that mutates state, sends external, or commits a decision. Per row: module / surface / action / current gate / required gate. Drives all retrofit work below.</x:t>
        </x:is>
      </x:c>
      <x:c r="E21" s="31" t="inlineStr">
        <x:is>
          <x:t xml:space="preserve">P0</x:t>
        </x:is>
      </x:c>
      <x:c r="F21" s="39" t="inlineStr">
        <x:is>
          <x:t xml:space="preserve">2. CLAUDE DOES IT</x:t>
        </x:is>
      </x:c>
      <x:c r="G21" s="18" t="inlineStr">
        <x:is>
          <x:t xml:space="preserve">Anand</x:t>
        </x:is>
      </x:c>
      <x:c r="H21" s="18" t="inlineStr">
        <x:is>
          <x:t xml:space="preserve">T203</x:t>
        </x:is>
      </x:c>
      <x:c r="I21" s="45" t="inlineStr">
        <x:is>
          <x:t xml:space="preserve">Claude (code-scan) + you</x:t>
        </x:is>
      </x:c>
      <x:c r="J21" s="52" t="inlineStr">
        <x:is>
          <x:t xml:space="preserve">$0</x:t>
        </x:is>
      </x:c>
      <x:c r="K21" s="84" t="inlineStr">
        <x:is>
          <x:t xml:space="preserve">Anytime</x:t>
        </x:is>
      </x:c>
      <x:c r="L21" s="44" t="str">
        <x:v>Done</x:v>
      </x:c>
      <x:c r="M21" s="18" t="str">
        <x:v>PR #2723: docs/legal/AI_CONSEQUENTIAL_ACTION_CATALOG.md catalogs verified cross-module consequential actions.</x:v>
      </x:c>
    </x:row>
    <x:row r="22">
      <x:c r="A22" s="18" t="inlineStr">
        <x:is>
          <x:t xml:space="preserve">T232</x:t>
        </x:is>
      </x:c>
      <x:c r="B22" s="18" t="inlineStr">
        <x:is>
          <x:t xml:space="preserve">AI Liability Defense</x:t>
        </x:is>
      </x:c>
      <x:c r="C22" s="18" t="inlineStr">
        <x:is>
          <x:t xml:space="preserve">Cross-module audit: catalog every AI-generated UI element across all surfaces</x:t>
        </x:is>
      </x:c>
      <x:c r="D22" s="18" t="inlineStr">
        <x:is>
          <x:t xml:space="preserve">Every place the system shows a generated suggestion/draft/summary/score. Per row: module / surface / element / has label? / has citation? / has confidence? Drives label retrofit.</x:t>
        </x:is>
      </x:c>
      <x:c r="E22" s="31" t="inlineStr">
        <x:is>
          <x:t xml:space="preserve">P0</x:t>
        </x:is>
      </x:c>
      <x:c r="F22" s="39" t="inlineStr">
        <x:is>
          <x:t xml:space="preserve">2. CLAUDE DOES IT</x:t>
        </x:is>
      </x:c>
      <x:c r="G22" s="18" t="inlineStr">
        <x:is>
          <x:t xml:space="preserve">Anand</x:t>
        </x:is>
      </x:c>
      <x:c r="H22" s="18" t="inlineStr">
        <x:is>
          <x:t xml:space="preserve">T203</x:t>
        </x:is>
      </x:c>
      <x:c r="I22" s="45" t="inlineStr">
        <x:is>
          <x:t xml:space="preserve">Claude (code-scan) + you</x:t>
        </x:is>
      </x:c>
      <x:c r="J22" s="52" t="inlineStr">
        <x:is>
          <x:t xml:space="preserve">$0</x:t>
        </x:is>
      </x:c>
      <x:c r="K22" s="84" t="inlineStr">
        <x:is>
          <x:t xml:space="preserve">Anytime</x:t>
        </x:is>
      </x:c>
      <x:c r="L22" s="44" t="str">
        <x:v>Done</x:v>
      </x:c>
      <x:c r="M22" s="18" t="str">
        <x:v>PR #2723: docs/legal/AI_GENERATED_UI_CATALOG.md catalogs verified generated-output UI surfaces.</x:v>
      </x:c>
    </x:row>
    <x:row r="23">
      <x:c r="A23" s="18" t="inlineStr">
        <x:is>
          <x:t xml:space="preserve">T233</x:t>
        </x:is>
      </x:c>
      <x:c r="B23" s="18" t="inlineStr">
        <x:is>
          <x:t xml:space="preserve">AI Liability Defense</x:t>
        </x:is>
      </x:c>
      <x:c r="C23" s="18" t="inlineStr">
        <x:is>
          <x:t xml:space="preserve">Intelligence: retrofit pattern recommendations with AI labels + source citations + confidence</x:t>
        </x:is>
      </x:c>
      <x:c r="D23" s="18" t="inlineStr">
        <x:is>
          <x:t xml:space="preserve">Every pattern surfaced shows: 'AI Suggestion' label, link to source corpus chunks that grounded it, confidence score with rationale.</x:t>
        </x:is>
      </x:c>
      <x:c r="E23" s="31" t="inlineStr">
        <x:is>
          <x:t xml:space="preserve">P0</x:t>
        </x:is>
      </x:c>
      <x:c r="F23" s="39" t="inlineStr">
        <x:is>
          <x:t xml:space="preserve">2. CLAUDE DOES IT</x:t>
        </x:is>
      </x:c>
      <x:c r="G23" s="18" t="inlineStr">
        <x:is>
          <x:t xml:space="preserve">Anand</x:t>
        </x:is>
      </x:c>
      <x:c r="H23" s="18" t="inlineStr">
        <x:is>
          <x:t xml:space="preserve">T205,T209,T208</x:t>
        </x:is>
      </x:c>
      <x:c r="I23" s="45" t="inlineStr">
        <x:is>
          <x:t xml:space="preserve">Claude (code)</x:t>
        </x:is>
      </x:c>
      <x:c r="J23" s="52" t="inlineStr">
        <x:is>
          <x:t xml:space="preserve">$0</x:t>
        </x:is>
      </x:c>
      <x:c r="K23" s="84" t="inlineStr">
        <x:is>
          <x:t xml:space="preserve">Anytime</x:t>
        </x:is>
      </x:c>
      <x:c r="L23" s="44" t="inlineStr">
        <x:is>
          <x:t xml:space="preserve">Not started</x:t>
        </x:is>
      </x:c>
      <x:c r="M23" s="18" t="inlineStr">
        <x:is>
          <x:t xml:space="preserve"/>
        </x:is>
      </x:c>
    </x:row>
    <x:row r="24">
      <x:c r="A24" s="18" t="inlineStr">
        <x:is>
          <x:t xml:space="preserve">T234</x:t>
        </x:is>
      </x:c>
      <x:c r="B24" s="18" t="inlineStr">
        <x:is>
          <x:t xml:space="preserve">AI Liability Defense</x:t>
        </x:is>
      </x:c>
      <x:c r="C24" s="18" t="inlineStr">
        <x:is>
          <x:t xml:space="preserve">Intelligence: gate pattern → Move promotion behind approval dialog + justification</x:t>
        </x:is>
      </x:c>
      <x:c r="D24" s="18" t="inlineStr">
        <x:is>
          <x:t xml:space="preserve">User cannot promote a pattern to a Move candidate without explicit click + free-text reason. Evidence bundle generated.</x:t>
        </x:is>
      </x:c>
      <x:c r="E24" s="31" t="inlineStr">
        <x:is>
          <x:t xml:space="preserve">P0</x:t>
        </x:is>
      </x:c>
      <x:c r="F24" s="39" t="inlineStr">
        <x:is>
          <x:t xml:space="preserve">2. CLAUDE DOES IT</x:t>
        </x:is>
      </x:c>
      <x:c r="G24" s="18" t="inlineStr">
        <x:is>
          <x:t xml:space="preserve">Anand</x:t>
        </x:is>
      </x:c>
      <x:c r="H24" s="18" t="inlineStr">
        <x:is>
          <x:t xml:space="preserve">T206,T207,T216</x:t>
        </x:is>
      </x:c>
      <x:c r="I24" s="45" t="inlineStr">
        <x:is>
          <x:t xml:space="preserve">Claude (code)</x:t>
        </x:is>
      </x:c>
      <x:c r="J24" s="52" t="inlineStr">
        <x:is>
          <x:t xml:space="preserve">$0</x:t>
        </x:is>
      </x:c>
      <x:c r="K24" s="84" t="inlineStr">
        <x:is>
          <x:t xml:space="preserve">Anytime</x:t>
        </x:is>
      </x:c>
      <x:c r="L24" s="44" t="inlineStr">
        <x:is>
          <x:t xml:space="preserve">Not started</x:t>
        </x:is>
      </x:c>
      <x:c r="M24" s="18" t="inlineStr">
        <x:is>
          <x:t xml:space="preserve"/>
        </x:is>
      </x:c>
    </x:row>
    <x:row r="25">
      <x:c r="A25" s="18" t="inlineStr">
        <x:is>
          <x:t xml:space="preserve">T235</x:t>
        </x:is>
      </x:c>
      <x:c r="B25" s="18" t="inlineStr">
        <x:is>
          <x:t xml:space="preserve">AI Liability Defense</x:t>
        </x:is>
      </x:c>
      <x:c r="C25" s="18" t="inlineStr">
        <x:is>
          <x:t xml:space="preserve">Moves: every gate approval requires justification field + evidence bundle (extends R8 / GATE_APPROVAL_STRICT_MODE)</x:t>
        </x:is>
      </x:c>
      <x:c r="D25" s="18" t="inlineStr">
        <x:is>
          <x:t xml:space="preserve">Existing approval flow gets free-text reason field + auto-generated evidence bundle (AI inputs + sources + reviewer + timestamp). Cannot approve without filling.</x:t>
        </x:is>
      </x:c>
      <x:c r="E25" s="31" t="inlineStr">
        <x:is>
          <x:t xml:space="preserve">P0</x:t>
        </x:is>
      </x:c>
      <x:c r="F25" s="39" t="inlineStr">
        <x:is>
          <x:t xml:space="preserve">2. CLAUDE DOES IT</x:t>
        </x:is>
      </x:c>
      <x:c r="G25" s="18" t="inlineStr">
        <x:is>
          <x:t xml:space="preserve">Anand</x:t>
        </x:is>
      </x:c>
      <x:c r="H25" s="18" t="inlineStr">
        <x:is>
          <x:t xml:space="preserve">T206,T207,T216</x:t>
        </x:is>
      </x:c>
      <x:c r="I25" s="45" t="inlineStr">
        <x:is>
          <x:t xml:space="preserve">Claude (code)</x:t>
        </x:is>
      </x:c>
      <x:c r="J25" s="52" t="inlineStr">
        <x:is>
          <x:t xml:space="preserve">$0</x:t>
        </x:is>
      </x:c>
      <x:c r="K25" s="84" t="inlineStr">
        <x:is>
          <x:t xml:space="preserve">Anytime</x:t>
        </x:is>
      </x:c>
      <x:c r="L25" s="44" t="str">
        <x:v>Done</x:v>
      </x:c>
      <x:c r="M25" s="18" t="str">
        <x:v>Implemented in codex/moves-ai-liability-retrofit: gate approvals require a human justification and create shared AI decision evidence bundles/audit references.</x:v>
      </x:c>
    </x:row>
    <x:row r="26">
      <x:c r="A26" s="18" t="inlineStr">
        <x:is>
          <x:t xml:space="preserve">T236</x:t>
        </x:is>
      </x:c>
      <x:c r="B26" s="18" t="inlineStr">
        <x:is>
          <x:t xml:space="preserve">AI Liability Defense</x:t>
        </x:is>
      </x:c>
      <x:c r="C26" s="18" t="inlineStr">
        <x:is>
          <x:t xml:space="preserve">Moves: all AI-drafted artifacts (briefs, summaries, next-steps) get 'AI Draft' label + edit-before-commit</x:t>
        </x:is>
      </x:c>
      <x:c r="D26" s="18" t="inlineStr">
        <x:is>
          <x:t xml:space="preserve">Move workspace shows every drafted artifact as draft. User edits, then commits. Modifications also captured in evidence.</x:t>
        </x:is>
      </x:c>
      <x:c r="E26" s="31" t="inlineStr">
        <x:is>
          <x:t xml:space="preserve">P0</x:t>
        </x:is>
      </x:c>
      <x:c r="F26" s="39" t="inlineStr">
        <x:is>
          <x:t xml:space="preserve">2. CLAUDE DOES IT</x:t>
        </x:is>
      </x:c>
      <x:c r="G26" s="18" t="inlineStr">
        <x:is>
          <x:t xml:space="preserve">Anand</x:t>
        </x:is>
      </x:c>
      <x:c r="H26" s="18" t="inlineStr">
        <x:is>
          <x:t xml:space="preserve">T205</x:t>
        </x:is>
      </x:c>
      <x:c r="I26" s="45" t="inlineStr">
        <x:is>
          <x:t xml:space="preserve">Claude (code)</x:t>
        </x:is>
      </x:c>
      <x:c r="J26" s="52" t="inlineStr">
        <x:is>
          <x:t xml:space="preserve">$0</x:t>
        </x:is>
      </x:c>
      <x:c r="K26" s="82" t="inlineStr">
        <x:is>
          <x:t xml:space="preserve">Pre-Resign</x:t>
        </x:is>
      </x:c>
      <x:c r="L26" s="44" t="str">
        <x:v>Done</x:v>
      </x:c>
      <x:c r="M26" s="18" t="str">
        <x:v>Implemented in codex/moves-ai-liability-retrofit: Moves deliverables carry AI Draft labels plus edit-before-commit human-review requirements in the view model and UI.</x:v>
      </x:c>
    </x:row>
    <x:row r="27">
      <x:c r="A27" s="18" t="inlineStr">
        <x:is>
          <x:t xml:space="preserve">T237</x:t>
        </x:is>
      </x:c>
      <x:c r="B27" s="18" t="inlineStr">
        <x:is>
          <x:t xml:space="preserve">AI Liability Defense</x:t>
        </x:is>
      </x:c>
      <x:c r="C27" s="18" t="inlineStr">
        <x:is>
          <x:t xml:space="preserve">Moves: stage advance requires explicit human commit (no AI auto-advance) + advance reason</x:t>
        </x:is>
      </x:c>
      <x:c r="D27" s="18" t="inlineStr">
        <x:is>
          <x:t xml:space="preserve">Even when AI suggests 'ready to advance,' user must click + state why. Audit trail records who, when, why.</x:t>
        </x:is>
      </x:c>
      <x:c r="E27" s="31" t="inlineStr">
        <x:is>
          <x:t xml:space="preserve">P0</x:t>
        </x:is>
      </x:c>
      <x:c r="F27" s="39" t="inlineStr">
        <x:is>
          <x:t xml:space="preserve">2. CLAUDE DOES IT</x:t>
        </x:is>
      </x:c>
      <x:c r="G27" s="18" t="inlineStr">
        <x:is>
          <x:t xml:space="preserve">Anand</x:t>
        </x:is>
      </x:c>
      <x:c r="H27" s="18" t="inlineStr">
        <x:is>
          <x:t xml:space="preserve">T206</x:t>
        </x:is>
      </x:c>
      <x:c r="I27" s="45" t="inlineStr">
        <x:is>
          <x:t xml:space="preserve">Claude (code)</x:t>
        </x:is>
      </x:c>
      <x:c r="J27" s="52" t="inlineStr">
        <x:is>
          <x:t xml:space="preserve">$0</x:t>
        </x:is>
      </x:c>
      <x:c r="K27" s="84" t="inlineStr">
        <x:is>
          <x:t xml:space="preserve">Anytime</x:t>
        </x:is>
      </x:c>
      <x:c r="L27" s="44" t="str">
        <x:v>Done</x:v>
      </x:c>
      <x:c r="M27" s="18" t="str">
        <x:v>Implemented in codex/moves-ai-liability-retrofit: phase advance API, UI, and Nexus tool require explicit human rationale before commit.</x:v>
      </x:c>
    </x:row>
    <x:row r="28">
      <x:c r="A28" s="18" t="inlineStr">
        <x:is>
          <x:t xml:space="preserve">T238</x:t>
        </x:is>
      </x:c>
      <x:c r="B28" s="18" t="inlineStr">
        <x:is>
          <x:t xml:space="preserve">AI Liability Defense</x:t>
        </x:is>
      </x:c>
      <x:c r="C28" s="18" t="inlineStr">
        <x:is>
          <x:t xml:space="preserve">Source: vendor recommendations get AI labels + source citations + confidence + risk caveats</x:t>
        </x:is>
      </x:c>
      <x:c r="D28" s="18" t="inlineStr">
        <x:is>
          <x:t xml:space="preserve">Procurement = high-stakes. Every Sentinel-recommended vendor shows label, sources, confidence, and known limitations of the recommendation.</x:t>
        </x:is>
      </x:c>
      <x:c r="E28" s="31" t="inlineStr">
        <x:is>
          <x:t xml:space="preserve">P0</x:t>
        </x:is>
      </x:c>
      <x:c r="F28" s="39" t="inlineStr">
        <x:is>
          <x:t xml:space="preserve">2. CLAUDE DOES IT</x:t>
        </x:is>
      </x:c>
      <x:c r="G28" s="18" t="inlineStr">
        <x:is>
          <x:t xml:space="preserve">Anand</x:t>
        </x:is>
      </x:c>
      <x:c r="H28" s="18" t="inlineStr">
        <x:is>
          <x:t xml:space="preserve">T205,T209,T208</x:t>
        </x:is>
      </x:c>
      <x:c r="I28" s="45" t="inlineStr">
        <x:is>
          <x:t xml:space="preserve">Claude (code)</x:t>
        </x:is>
      </x:c>
      <x:c r="J28" s="52" t="inlineStr">
        <x:is>
          <x:t xml:space="preserve">$0</x:t>
        </x:is>
      </x:c>
      <x:c r="K28" s="84" t="inlineStr">
        <x:is>
          <x:t xml:space="preserve">Anytime</x:t>
        </x:is>
      </x:c>
      <x:c r="L28" s="44" t="inlineStr">
        <x:is>
          <x:t xml:space="preserve">Not started</x:t>
        </x:is>
      </x:c>
      <x:c r="M28" s="18" t="inlineStr">
        <x:is>
          <x:t xml:space="preserve"/>
        </x:is>
      </x:c>
    </x:row>
    <x:row r="29">
      <x:c r="A29" s="18" t="inlineStr">
        <x:is>
          <x:t xml:space="preserve">T239</x:t>
        </x:is>
      </x:c>
      <x:c r="B29" s="18" t="inlineStr">
        <x:is>
          <x:t xml:space="preserve">AI Liability Defense</x:t>
        </x:is>
      </x:c>
      <x:c r="C29" s="18" t="inlineStr">
        <x:is>
          <x:t xml:space="preserve">Source: any external action (RFP send, contract draft commit, vendor notification) behind explicit human gate</x:t>
        </x:is>
      </x:c>
      <x:c r="D29" s="18" t="inlineStr">
        <x:is>
          <x:t xml:space="preserve">AI drafts; human reviews; human sends. No code path from agent → external transmission without a human click and justification.</x:t>
        </x:is>
      </x:c>
      <x:c r="E29" s="31" t="inlineStr">
        <x:is>
          <x:t xml:space="preserve">P0</x:t>
        </x:is>
      </x:c>
      <x:c r="F29" s="39" t="inlineStr">
        <x:is>
          <x:t xml:space="preserve">2. CLAUDE DOES IT</x:t>
        </x:is>
      </x:c>
      <x:c r="G29" s="18" t="inlineStr">
        <x:is>
          <x:t xml:space="preserve">Anand</x:t>
        </x:is>
      </x:c>
      <x:c r="H29" s="18" t="inlineStr">
        <x:is>
          <x:t xml:space="preserve">T206,T204</x:t>
        </x:is>
      </x:c>
      <x:c r="I29" s="45" t="inlineStr">
        <x:is>
          <x:t xml:space="preserve">Claude (code)</x:t>
        </x:is>
      </x:c>
      <x:c r="J29" s="52" t="inlineStr">
        <x:is>
          <x:t xml:space="preserve">$0</x:t>
        </x:is>
      </x:c>
      <x:c r="K29" s="82" t="inlineStr">
        <x:is>
          <x:t xml:space="preserve">Pre-Resign</x:t>
        </x:is>
      </x:c>
      <x:c r="L29" s="44" t="inlineStr">
        <x:is>
          <x:t xml:space="preserve">Not started</x:t>
        </x:is>
      </x:c>
      <x:c r="M29" s="18" t="inlineStr">
        <x:is>
          <x:t xml:space="preserve"/>
        </x:is>
      </x:c>
    </x:row>
    <x:row r="30">
      <x:c r="A30" s="18" t="inlineStr">
        <x:is>
          <x:t xml:space="preserve">T240</x:t>
        </x:is>
      </x:c>
      <x:c r="B30" s="18" t="inlineStr">
        <x:is>
          <x:t xml:space="preserve">AI Liability Defense</x:t>
        </x:is>
      </x:c>
      <x:c r="C30" s="18" t="inlineStr">
        <x:is>
          <x:t xml:space="preserve">Source: savings/cost estimates marked as estimates with assumptions visible</x:t>
        </x:is>
      </x:c>
      <x:c r="D30" s="18" t="inlineStr">
        <x:is>
          <x:t xml:space="preserve">Every dollar figure AI generates shows the assumptions used. User accepts assumptions explicitly before estimate is committed to a deliverable.</x:t>
        </x:is>
      </x:c>
      <x:c r="E30" s="31" t="inlineStr">
        <x:is>
          <x:t xml:space="preserve">P0</x:t>
        </x:is>
      </x:c>
      <x:c r="F30" s="39" t="inlineStr">
        <x:is>
          <x:t xml:space="preserve">2. CLAUDE DOES IT</x:t>
        </x:is>
      </x:c>
      <x:c r="G30" s="18" t="inlineStr">
        <x:is>
          <x:t xml:space="preserve">Anand</x:t>
        </x:is>
      </x:c>
      <x:c r="H30" s="18" t="inlineStr">
        <x:is>
          <x:t xml:space="preserve">T209</x:t>
        </x:is>
      </x:c>
      <x:c r="I30" s="45" t="inlineStr">
        <x:is>
          <x:t xml:space="preserve">Claude (code)</x:t>
        </x:is>
      </x:c>
      <x:c r="J30" s="52" t="inlineStr">
        <x:is>
          <x:t xml:space="preserve">$0</x:t>
        </x:is>
      </x:c>
      <x:c r="K30" s="84" t="inlineStr">
        <x:is>
          <x:t xml:space="preserve">Anytime</x:t>
        </x:is>
      </x:c>
      <x:c r="L30" s="44" t="inlineStr">
        <x:is>
          <x:t xml:space="preserve">Not started</x:t>
        </x:is>
      </x:c>
      <x:c r="M30" s="18" t="inlineStr">
        <x:is>
          <x:t xml:space="preserve"/>
        </x:is>
      </x:c>
    </x:row>
    <x:row r="31">
      <x:c r="A31" s="18" t="inlineStr">
        <x:is>
          <x:t xml:space="preserve">T241</x:t>
        </x:is>
      </x:c>
      <x:c r="B31" s="18" t="inlineStr">
        <x:is>
          <x:t xml:space="preserve">AI Liability Defense</x:t>
        </x:is>
      </x:c>
      <x:c r="C31" s="18" t="inlineStr">
        <x:is>
          <x:t xml:space="preserve">Tower: AI-generated insights/narratives in executive dashboards marked + cited</x:t>
        </x:is>
      </x:c>
      <x:c r="D31" s="18" t="inlineStr">
        <x:is>
          <x:t xml:space="preserve">Atlas insights shown with 'AI-generated' label, sources cited, generation timestamp. Executives know what's AI vs raw data.</x:t>
        </x:is>
      </x:c>
      <x:c r="E31" s="31" t="inlineStr">
        <x:is>
          <x:t xml:space="preserve">P0</x:t>
        </x:is>
      </x:c>
      <x:c r="F31" s="39" t="inlineStr">
        <x:is>
          <x:t xml:space="preserve">2. CLAUDE DOES IT</x:t>
        </x:is>
      </x:c>
      <x:c r="G31" s="18" t="inlineStr">
        <x:is>
          <x:t xml:space="preserve">Anand</x:t>
        </x:is>
      </x:c>
      <x:c r="H31" s="18" t="inlineStr">
        <x:is>
          <x:t xml:space="preserve">T205,T209</x:t>
        </x:is>
      </x:c>
      <x:c r="I31" s="45" t="inlineStr">
        <x:is>
          <x:t xml:space="preserve">Claude (code)</x:t>
        </x:is>
      </x:c>
      <x:c r="J31" s="52" t="inlineStr">
        <x:is>
          <x:t xml:space="preserve">$0</x:t>
        </x:is>
      </x:c>
      <x:c r="K31" s="84" t="inlineStr">
        <x:is>
          <x:t xml:space="preserve">Anytime</x:t>
        </x:is>
      </x:c>
      <x:c r="L31" s="44" t="inlineStr">
        <x:is>
          <x:t xml:space="preserve">Not started</x:t>
        </x:is>
      </x:c>
      <x:c r="M31" s="18" t="inlineStr">
        <x:is>
          <x:t xml:space="preserve"/>
        </x:is>
      </x:c>
    </x:row>
    <x:row r="32">
      <x:c r="A32" s="18" t="inlineStr">
        <x:is>
          <x:t xml:space="preserve">T242</x:t>
        </x:is>
      </x:c>
      <x:c r="B32" s="18" t="inlineStr">
        <x:is>
          <x:t xml:space="preserve">AI Liability Defense</x:t>
        </x:is>
      </x:c>
      <x:c r="C32" s="18" t="inlineStr">
        <x:is>
          <x:t xml:space="preserve">Tower: trend predictions get confidence intervals + 'AI prediction' label + assumption disclosure</x:t>
        </x:is>
      </x:c>
      <x:c r="D32" s="18" t="inlineStr">
        <x:is>
          <x:t xml:space="preserve">Forecasts are predictions, not facts. Confidence intervals shown. Assumptions visible.</x:t>
        </x:is>
      </x:c>
      <x:c r="E32" s="31" t="inlineStr">
        <x:is>
          <x:t xml:space="preserve">P0</x:t>
        </x:is>
      </x:c>
      <x:c r="F32" s="39" t="inlineStr">
        <x:is>
          <x:t xml:space="preserve">2. CLAUDE DOES IT</x:t>
        </x:is>
      </x:c>
      <x:c r="G32" s="18" t="inlineStr">
        <x:is>
          <x:t xml:space="preserve">Anand</x:t>
        </x:is>
      </x:c>
      <x:c r="H32" s="18" t="inlineStr">
        <x:is>
          <x:t xml:space="preserve">T208</x:t>
        </x:is>
      </x:c>
      <x:c r="I32" s="45" t="inlineStr">
        <x:is>
          <x:t xml:space="preserve">Claude (code)</x:t>
        </x:is>
      </x:c>
      <x:c r="J32" s="52" t="inlineStr">
        <x:is>
          <x:t xml:space="preserve">$0</x:t>
        </x:is>
      </x:c>
      <x:c r="K32" s="84" t="inlineStr">
        <x:is>
          <x:t xml:space="preserve">Anytime</x:t>
        </x:is>
      </x:c>
      <x:c r="L32" s="44" t="inlineStr">
        <x:is>
          <x:t xml:space="preserve">Not started</x:t>
        </x:is>
      </x:c>
      <x:c r="M32" s="18" t="inlineStr">
        <x:is>
          <x:t xml:space="preserve"/>
        </x:is>
      </x:c>
    </x:row>
    <x:row r="33">
      <x:c r="A33" s="18" t="inlineStr">
        <x:is>
          <x:t xml:space="preserve">T243</x:t>
        </x:is>
      </x:c>
      <x:c r="B33" s="18" t="inlineStr">
        <x:is>
          <x:t xml:space="preserve">AI Liability Defense</x:t>
        </x:is>
      </x:c>
      <x:c r="C33" s="18" t="inlineStr">
        <x:is>
          <x:t xml:space="preserve">Tower: AI-driven alerts require human acknowledge before triggering action</x:t>
        </x:is>
      </x:c>
      <x:c r="D33" s="18" t="inlineStr">
        <x:is>
          <x:t xml:space="preserve">Alert fires → human acknowledges/dismisses with reason → action taken or not. Never auto-action on AI alert.</x:t>
        </x:is>
      </x:c>
      <x:c r="E33" s="31" t="inlineStr">
        <x:is>
          <x:t xml:space="preserve">P0</x:t>
        </x:is>
      </x:c>
      <x:c r="F33" s="39" t="inlineStr">
        <x:is>
          <x:t xml:space="preserve">2. CLAUDE DOES IT</x:t>
        </x:is>
      </x:c>
      <x:c r="G33" s="18" t="inlineStr">
        <x:is>
          <x:t xml:space="preserve">Anand</x:t>
        </x:is>
      </x:c>
      <x:c r="H33" s="18" t="inlineStr">
        <x:is>
          <x:t xml:space="preserve">T206</x:t>
        </x:is>
      </x:c>
      <x:c r="I33" s="45" t="inlineStr">
        <x:is>
          <x:t xml:space="preserve">Claude (code)</x:t>
        </x:is>
      </x:c>
      <x:c r="J33" s="52" t="inlineStr">
        <x:is>
          <x:t xml:space="preserve">$0</x:t>
        </x:is>
      </x:c>
      <x:c r="K33" s="84" t="inlineStr">
        <x:is>
          <x:t xml:space="preserve">Anytime</x:t>
        </x:is>
      </x:c>
      <x:c r="L33" s="44" t="inlineStr">
        <x:is>
          <x:t xml:space="preserve">Not started</x:t>
        </x:is>
      </x:c>
      <x:c r="M33" s="18" t="inlineStr">
        <x:is>
          <x:t xml:space="preserve"/>
        </x:is>
      </x:c>
    </x:row>
    <x:row r="34">
      <x:c r="A34" s="18" t="inlineStr">
        <x:is>
          <x:t xml:space="preserve">T244</x:t>
        </x:is>
      </x:c>
      <x:c r="B34" s="18" t="inlineStr">
        <x:is>
          <x:t xml:space="preserve">AI Liability Defense</x:t>
        </x:is>
      </x:c>
      <x:c r="C34" s="18" t="inlineStr">
        <x:is>
          <x:t xml:space="preserve">Setup: AI-suggested tenant configurations require admin approval + reason</x:t>
        </x:is>
      </x:c>
      <x:c r="D34" s="18" t="inlineStr">
        <x:is>
          <x:t xml:space="preserve">Steward never auto-applies a config. Suggests + admin approves + reason recorded.</x:t>
        </x:is>
      </x:c>
      <x:c r="E34" s="31" t="inlineStr">
        <x:is>
          <x:t xml:space="preserve">P0</x:t>
        </x:is>
      </x:c>
      <x:c r="F34" s="39" t="inlineStr">
        <x:is>
          <x:t xml:space="preserve">2. CLAUDE DOES IT</x:t>
        </x:is>
      </x:c>
      <x:c r="G34" s="18" t="inlineStr">
        <x:is>
          <x:t xml:space="preserve">Anand</x:t>
        </x:is>
      </x:c>
      <x:c r="H34" s="18" t="inlineStr">
        <x:is>
          <x:t xml:space="preserve">T206</x:t>
        </x:is>
      </x:c>
      <x:c r="I34" s="45" t="inlineStr">
        <x:is>
          <x:t xml:space="preserve">Claude (code)</x:t>
        </x:is>
      </x:c>
      <x:c r="J34" s="52" t="inlineStr">
        <x:is>
          <x:t xml:space="preserve">$0</x:t>
        </x:is>
      </x:c>
      <x:c r="K34" s="84" t="inlineStr">
        <x:is>
          <x:t xml:space="preserve">Anytime</x:t>
        </x:is>
      </x:c>
      <x:c r="L34" s="44" t="inlineStr">
        <x:is>
          <x:t xml:space="preserve">Not started</x:t>
        </x:is>
      </x:c>
      <x:c r="M34" s="18" t="inlineStr">
        <x:is>
          <x:t xml:space="preserve"/>
        </x:is>
      </x:c>
    </x:row>
    <x:row r="35">
      <x:c r="A35" s="18" t="inlineStr">
        <x:is>
          <x:t xml:space="preserve">T245</x:t>
        </x:is>
      </x:c>
      <x:c r="B35" s="18" t="inlineStr">
        <x:is>
          <x:t xml:space="preserve">AI Liability Defense</x:t>
        </x:is>
      </x:c>
      <x:c r="C35" s="18" t="inlineStr">
        <x:is>
          <x:t xml:space="preserve">Setup: AI-detected anomalies require human triage acknowledgment before any auto-remediation</x:t>
        </x:is>
      </x:c>
      <x:c r="D35" s="18" t="inlineStr">
        <x:is>
          <x:t xml:space="preserve">No silent auto-fix. Anomaly surfaced → admin sees + decides + acts.</x:t>
        </x:is>
      </x:c>
      <x:c r="E35" s="31" t="inlineStr">
        <x:is>
          <x:t xml:space="preserve">P0</x:t>
        </x:is>
      </x:c>
      <x:c r="F35" s="39" t="inlineStr">
        <x:is>
          <x:t xml:space="preserve">2. CLAUDE DOES IT</x:t>
        </x:is>
      </x:c>
      <x:c r="G35" s="18" t="inlineStr">
        <x:is>
          <x:t xml:space="preserve">Anand</x:t>
        </x:is>
      </x:c>
      <x:c r="H35" s="18" t="inlineStr">
        <x:is>
          <x:t xml:space="preserve">T206</x:t>
        </x:is>
      </x:c>
      <x:c r="I35" s="45" t="inlineStr">
        <x:is>
          <x:t xml:space="preserve">Claude (code)</x:t>
        </x:is>
      </x:c>
      <x:c r="J35" s="52" t="inlineStr">
        <x:is>
          <x:t xml:space="preserve">$0</x:t>
        </x:is>
      </x:c>
      <x:c r="K35" s="84" t="inlineStr">
        <x:is>
          <x:t xml:space="preserve">Anytime</x:t>
        </x:is>
      </x:c>
      <x:c r="L35" s="44" t="inlineStr">
        <x:is>
          <x:t xml:space="preserve">Not started</x:t>
        </x:is>
      </x:c>
      <x:c r="M35" s="18" t="inlineStr">
        <x:is>
          <x:t xml:space="preserve"/>
        </x:is>
      </x:c>
    </x:row>
    <x:row r="36">
      <x:c r="A36" s="18" t="inlineStr">
        <x:is>
          <x:t xml:space="preserve">T246</x:t>
        </x:is>
      </x:c>
      <x:c r="B36" s="18" t="inlineStr">
        <x:is>
          <x:t xml:space="preserve">AI Liability Defense</x:t>
        </x:is>
      </x:c>
      <x:c r="C36" s="18" t="inlineStr">
        <x:is>
          <x:t xml:space="preserve">Agent chat surfaces: persistent disclaimer footer present in all 4 fronts (Nexus/Sentinel/Atlas/Steward)</x:t>
        </x:is>
      </x:c>
      <x:c r="D36" s="18" t="inlineStr">
        <x:is>
          <x:t xml:space="preserve">Standard footer component. Always visible. Disclaimer copy from Responsible AI policy.</x:t>
        </x:is>
      </x:c>
      <x:c r="E36" s="31" t="inlineStr">
        <x:is>
          <x:t xml:space="preserve">P0</x:t>
        </x:is>
      </x:c>
      <x:c r="F36" s="39" t="inlineStr">
        <x:is>
          <x:t xml:space="preserve">2. CLAUDE DOES IT</x:t>
        </x:is>
      </x:c>
      <x:c r="G36" s="18" t="inlineStr">
        <x:is>
          <x:t xml:space="preserve">Anand</x:t>
        </x:is>
      </x:c>
      <x:c r="H36" s="18" t="inlineStr">
        <x:is>
          <x:t xml:space="preserve">T205</x:t>
        </x:is>
      </x:c>
      <x:c r="I36" s="45" t="inlineStr">
        <x:is>
          <x:t xml:space="preserve">Claude (code)</x:t>
        </x:is>
      </x:c>
      <x:c r="J36" s="52" t="inlineStr">
        <x:is>
          <x:t xml:space="preserve">$0</x:t>
        </x:is>
      </x:c>
      <x:c r="K36" s="84" t="inlineStr">
        <x:is>
          <x:t xml:space="preserve">Anytime</x:t>
        </x:is>
      </x:c>
      <x:c r="L36" s="44" t="inlineStr">
        <x:is>
          <x:t xml:space="preserve">Not started</x:t>
        </x:is>
      </x:c>
      <x:c r="M36" s="18" t="inlineStr">
        <x:is>
          <x:t xml:space="preserve"/>
        </x:is>
      </x:c>
    </x:row>
    <x:row r="37">
      <x:c r="A37" s="18" t="inlineStr">
        <x:is>
          <x:t xml:space="preserve">T247</x:t>
        </x:is>
      </x:c>
      <x:c r="B37" s="18" t="inlineStr">
        <x:is>
          <x:t xml:space="preserve">AI Liability Defense</x:t>
        </x:is>
      </x:c>
      <x:c r="C37" s="18" t="inlineStr">
        <x:is>
          <x:t xml:space="preserve">Agent chat: any agent-initiated action requires explicit human approval in-chat</x:t>
        </x:is>
      </x:c>
      <x:c r="D37" s="18" t="inlineStr">
        <x:is>
          <x:t xml:space="preserve">If user says 'Sentinel, source 3 vendors for X' — agent drafts list + waits for user 'go' before any external action. No agent auto-execution.</x:t>
        </x:is>
      </x:c>
      <x:c r="E37" s="31" t="inlineStr">
        <x:is>
          <x:t xml:space="preserve">P0</x:t>
        </x:is>
      </x:c>
      <x:c r="F37" s="39" t="inlineStr">
        <x:is>
          <x:t xml:space="preserve">2. CLAUDE DOES IT</x:t>
        </x:is>
      </x:c>
      <x:c r="G37" s="18" t="inlineStr">
        <x:is>
          <x:t xml:space="preserve">Anand</x:t>
        </x:is>
      </x:c>
      <x:c r="H37" s="18" t="inlineStr">
        <x:is>
          <x:t xml:space="preserve">T206,T204</x:t>
        </x:is>
      </x:c>
      <x:c r="I37" s="45" t="inlineStr">
        <x:is>
          <x:t xml:space="preserve">Claude (code)</x:t>
        </x:is>
      </x:c>
      <x:c r="J37" s="52" t="inlineStr">
        <x:is>
          <x:t xml:space="preserve">$0</x:t>
        </x:is>
      </x:c>
      <x:c r="K37" s="84" t="inlineStr">
        <x:is>
          <x:t xml:space="preserve">Anytime</x:t>
        </x:is>
      </x:c>
      <x:c r="L37" s="44" t="inlineStr">
        <x:is>
          <x:t xml:space="preserve">Not started</x:t>
        </x:is>
      </x:c>
      <x:c r="M37" s="18" t="inlineStr">
        <x:is>
          <x:t xml:space="preserve"/>
        </x:is>
      </x:c>
    </x:row>
    <x:row r="38">
      <x:c r="A38" s="18" t="inlineStr">
        <x:is>
          <x:t xml:space="preserve">T248</x:t>
        </x:is>
      </x:c>
      <x:c r="B38" s="18" t="inlineStr">
        <x:is>
          <x:t xml:space="preserve">AI Liability Defense</x:t>
        </x:is>
      </x:c>
      <x:c r="C38" s="18" t="inlineStr">
        <x:is>
          <x:t xml:space="preserve">Agent chat: responses cite sources where the claim came from (RAG-grounded citations)</x:t>
        </x:is>
      </x:c>
      <x:c r="D38" s="18" t="inlineStr">
        <x:is>
          <x:t xml:space="preserve">Every factual claim in agent response shows [1] [2] [3] links to source chunks. Ungrounded claims marked 'general knowledge'.</x:t>
        </x:is>
      </x:c>
      <x:c r="E38" s="31" t="inlineStr">
        <x:is>
          <x:t xml:space="preserve">P0</x:t>
        </x:is>
      </x:c>
      <x:c r="F38" s="39" t="inlineStr">
        <x:is>
          <x:t xml:space="preserve">2. CLAUDE DOES IT</x:t>
        </x:is>
      </x:c>
      <x:c r="G38" s="18" t="inlineStr">
        <x:is>
          <x:t xml:space="preserve">Anand</x:t>
        </x:is>
      </x:c>
      <x:c r="H38" s="18" t="inlineStr">
        <x:is>
          <x:t xml:space="preserve">T209</x:t>
        </x:is>
      </x:c>
      <x:c r="I38" s="45" t="inlineStr">
        <x:is>
          <x:t xml:space="preserve">Claude (code)</x:t>
        </x:is>
      </x:c>
      <x:c r="J38" s="52" t="inlineStr">
        <x:is>
          <x:t xml:space="preserve">$0</x:t>
        </x:is>
      </x:c>
      <x:c r="K38" s="84" t="inlineStr">
        <x:is>
          <x:t xml:space="preserve">Anytime</x:t>
        </x:is>
      </x:c>
      <x:c r="L38" s="44" t="inlineStr">
        <x:is>
          <x:t xml:space="preserve">Not started</x:t>
        </x:is>
      </x:c>
      <x:c r="M38" s="18" t="inlineStr">
        <x:is>
          <x:t xml:space="preserve"/>
        </x:is>
      </x:c>
    </x:row>
    <x:row r="39">
      <x:c r="A39" s="18" t="inlineStr">
        <x:is>
          <x:t xml:space="preserve">T250</x:t>
        </x:is>
      </x:c>
      <x:c r="B39" s="18" t="inlineStr">
        <x:is>
          <x:t xml:space="preserve">AI Liability Defense</x:t>
        </x:is>
      </x:c>
      <x:c r="C39" s="18" t="inlineStr">
        <x:is>
          <x:t xml:space="preserve">CI gate: E2E test asserts AI label + citation + gate present in every surface (per audit catalog)</x:t>
        </x:is>
      </x:c>
      <x:c r="D39" s="18" t="inlineStr">
        <x:is>
          <x:t xml:space="preserve">Regression prevention. New surface added without the pattern = CI fails. Test reads the audit catalog as truth source.</x:t>
        </x:is>
      </x:c>
      <x:c r="E39" s="31" t="inlineStr">
        <x:is>
          <x:t xml:space="preserve">P0</x:t>
        </x:is>
      </x:c>
      <x:c r="F39" s="39" t="inlineStr">
        <x:is>
          <x:t xml:space="preserve">2. CLAUDE DOES IT</x:t>
        </x:is>
      </x:c>
      <x:c r="G39" s="18" t="inlineStr">
        <x:is>
          <x:t xml:space="preserve">Anand</x:t>
        </x:is>
      </x:c>
      <x:c r="H39" s="18" t="inlineStr">
        <x:is>
          <x:t xml:space="preserve">T204</x:t>
        </x:is>
      </x:c>
      <x:c r="I39" s="45" t="inlineStr">
        <x:is>
          <x:t xml:space="preserve">Claude (workflow)</x:t>
        </x:is>
      </x:c>
      <x:c r="J39" s="52" t="inlineStr">
        <x:is>
          <x:t xml:space="preserve">$0</x:t>
        </x:is>
      </x:c>
      <x:c r="K39" s="84" t="inlineStr">
        <x:is>
          <x:t xml:space="preserve">Anytime</x:t>
        </x:is>
      </x:c>
      <x:c r="L39" s="44" t="inlineStr">
        <x:is>
          <x:t xml:space="preserve">Not started</x:t>
        </x:is>
      </x:c>
      <x:c r="M39" s="18" t="inlineStr">
        <x:is>
          <x:t xml:space="preserve"/>
        </x:is>
      </x:c>
    </x:row>
    <x:row r="40">
      <x:c r="A40" s="18" t="inlineStr">
        <x:is>
          <x:t xml:space="preserve">T213</x:t>
        </x:is>
      </x:c>
      <x:c r="B40" s="18" t="inlineStr">
        <x:is>
          <x:t xml:space="preserve">AI Liability Defense</x:t>
        </x:is>
      </x:c>
      <x:c r="C40" s="18" t="inlineStr">
        <x:is>
          <x:t xml:space="preserve">Annual re-acknowledgment requirement</x:t>
        </x:is>
      </x:c>
      <x:c r="D40" s="18" t="inlineStr">
        <x:is>
          <x:t xml:space="preserve">On anniversary, user must re-accept. New consent text version triggers immediate re-acknowledgment.</x:t>
        </x:is>
      </x:c>
      <x:c r="E40" s="32" t="inlineStr">
        <x:is>
          <x:t xml:space="preserve">P1</x:t>
        </x:is>
      </x:c>
      <x:c r="F40" s="39" t="inlineStr">
        <x:is>
          <x:t xml:space="preserve">2. CLAUDE DOES IT</x:t>
        </x:is>
      </x:c>
      <x:c r="G40" s="18" t="inlineStr">
        <x:is>
          <x:t xml:space="preserve">Anand</x:t>
        </x:is>
      </x:c>
      <x:c r="H40" s="18" t="inlineStr">
        <x:is>
          <x:t xml:space="preserve"/>
        </x:is>
      </x:c>
      <x:c r="I40" s="45" t="inlineStr">
        <x:is>
          <x:t xml:space="preserve">Claude (code)</x:t>
        </x:is>
      </x:c>
      <x:c r="J40" s="52" t="inlineStr">
        <x:is>
          <x:t xml:space="preserve">$0</x:t>
        </x:is>
      </x:c>
      <x:c r="K40" s="84" t="inlineStr">
        <x:is>
          <x:t xml:space="preserve">Anytime</x:t>
        </x:is>
      </x:c>
      <x:c r="L40" s="44" t="inlineStr">
        <x:is>
          <x:t xml:space="preserve">Not started</x:t>
        </x:is>
      </x:c>
      <x:c r="M40" s="18" t="inlineStr">
        <x:is>
          <x:t xml:space="preserve"/>
        </x:is>
      </x:c>
    </x:row>
    <x:row r="41">
      <x:c r="A41" s="18" t="inlineStr">
        <x:is>
          <x:t xml:space="preserve">T218</x:t>
        </x:is>
      </x:c>
      <x:c r="B41" s="18" t="inlineStr">
        <x:is>
          <x:t xml:space="preserve">AI Liability Defense</x:t>
        </x:is>
      </x:c>
      <x:c r="C41" s="18" t="inlineStr">
        <x:is>
          <x:t xml:space="preserve">Quarterly approval-pattern review (anti-rubber-stamp detection)</x:t>
        </x:is>
      </x:c>
      <x:c r="D41" s="18" t="inlineStr">
        <x:is>
          <x:t xml:space="preserve">Flag users approving in &lt;X seconds. Surface to tenant admin + AbarVa. Proactive defense against 'they didn't really review' claims later.</x:t>
        </x:is>
      </x:c>
      <x:c r="E41" s="32" t="inlineStr">
        <x:is>
          <x:t xml:space="preserve">P1</x:t>
        </x:is>
      </x:c>
      <x:c r="F41" s="39" t="inlineStr">
        <x:is>
          <x:t xml:space="preserve">2. CLAUDE DOES IT</x:t>
        </x:is>
      </x:c>
      <x:c r="G41" s="18" t="inlineStr">
        <x:is>
          <x:t xml:space="preserve">Anand</x:t>
        </x:is>
      </x:c>
      <x:c r="H41" s="18" t="inlineStr">
        <x:is>
          <x:t xml:space="preserve"/>
        </x:is>
      </x:c>
      <x:c r="I41" s="45" t="inlineStr">
        <x:is>
          <x:t xml:space="preserve">Claude (code+report)</x:t>
        </x:is>
      </x:c>
      <x:c r="J41" s="52" t="inlineStr">
        <x:is>
          <x:t xml:space="preserve">$0</x:t>
        </x:is>
      </x:c>
      <x:c r="K41" s="84" t="inlineStr">
        <x:is>
          <x:t xml:space="preserve">Anytime</x:t>
        </x:is>
      </x:c>
      <x:c r="L41" s="44" t="inlineStr">
        <x:is>
          <x:t xml:space="preserve">Not started</x:t>
        </x:is>
      </x:c>
      <x:c r="M41" s="18" t="inlineStr">
        <x:is>
          <x:t xml:space="preserve"/>
        </x:is>
      </x:c>
    </x:row>
    <x:row r="42">
      <x:c r="A42" s="18" t="inlineStr">
        <x:is>
          <x:t xml:space="preserve">T226</x:t>
        </x:is>
      </x:c>
      <x:c r="B42" s="18" t="inlineStr">
        <x:is>
          <x:t xml:space="preserve">AI Liability Defense</x:t>
        </x:is>
      </x:c>
      <x:c r="C42" s="18" t="inlineStr">
        <x:is>
          <x:t xml:space="preserve">Incident reporting channel for AI-output complaints</x:t>
        </x:is>
      </x:c>
      <x:c r="D42" s="18" t="inlineStr">
        <x:is>
          <x:t xml:space="preserve">Dedicated path: client reports 'output was wrong' → triaged, documented, RCA, response within SLA. Evidence of ongoing care.</x:t>
        </x:is>
      </x:c>
      <x:c r="E42" s="32" t="inlineStr">
        <x:is>
          <x:t xml:space="preserve">P1</x:t>
        </x:is>
      </x:c>
      <x:c r="F42" s="39" t="inlineStr">
        <x:is>
          <x:t xml:space="preserve">2. CLAUDE DOES IT</x:t>
        </x:is>
      </x:c>
      <x:c r="G42" s="18" t="inlineStr">
        <x:is>
          <x:t xml:space="preserve">Anand</x:t>
        </x:is>
      </x:c>
      <x:c r="H42" s="18" t="inlineStr">
        <x:is>
          <x:t xml:space="preserve"/>
        </x:is>
      </x:c>
      <x:c r="I42" s="45" t="inlineStr">
        <x:is>
          <x:t xml:space="preserve">Claude (process+code)</x:t>
        </x:is>
      </x:c>
      <x:c r="J42" s="52" t="inlineStr">
        <x:is>
          <x:t xml:space="preserve">$0</x:t>
        </x:is>
      </x:c>
      <x:c r="K42" s="84" t="inlineStr">
        <x:is>
          <x:t xml:space="preserve">Anytime</x:t>
        </x:is>
      </x:c>
      <x:c r="L42" s="44" t="inlineStr">
        <x:is>
          <x:t xml:space="preserve">Not started</x:t>
        </x:is>
      </x:c>
      <x:c r="M42" s="18" t="inlineStr">
        <x:is>
          <x:t xml:space="preserve"/>
        </x:is>
      </x:c>
    </x:row>
    <x:row r="43">
      <x:c r="A43" s="18" t="inlineStr">
        <x:is>
          <x:t xml:space="preserve">T229</x:t>
        </x:is>
      </x:c>
      <x:c r="B43" s="18" t="inlineStr">
        <x:is>
          <x:t xml:space="preserve">AI Liability Defense</x:t>
        </x:is>
      </x:c>
      <x:c r="C43" s="18" t="inlineStr">
        <x:is>
          <x:t xml:space="preserve">Internal protocol: client AI-output complaint → documented escalation + RCA + response</x:t>
        </x:is>
      </x:c>
      <x:c r="D43" s="18" t="inlineStr">
        <x:is>
          <x:t xml:space="preserve">Lightweight process doc. Every complaint logged + responded to within Xh. Shows good-faith handling.</x:t>
        </x:is>
      </x:c>
      <x:c r="E43" s="32" t="inlineStr">
        <x:is>
          <x:t xml:space="preserve">P1</x:t>
        </x:is>
      </x:c>
      <x:c r="F43" s="39" t="inlineStr">
        <x:is>
          <x:t xml:space="preserve">2. CLAUDE DOES IT</x:t>
        </x:is>
      </x:c>
      <x:c r="G43" s="18" t="inlineStr">
        <x:is>
          <x:t xml:space="preserve">Anand</x:t>
        </x:is>
      </x:c>
      <x:c r="H43" s="18" t="inlineStr">
        <x:is>
          <x:t xml:space="preserve"/>
        </x:is>
      </x:c>
      <x:c r="I43" s="45" t="inlineStr">
        <x:is>
          <x:t xml:space="preserve">Claude (draft)</x:t>
        </x:is>
      </x:c>
      <x:c r="J43" s="52" t="inlineStr">
        <x:is>
          <x:t xml:space="preserve">$0</x:t>
        </x:is>
      </x:c>
      <x:c r="K43" s="84" t="inlineStr">
        <x:is>
          <x:t xml:space="preserve">Anytime</x:t>
        </x:is>
      </x:c>
      <x:c r="L43" s="44" t="inlineStr">
        <x:is>
          <x:t xml:space="preserve">Not started</x:t>
        </x:is>
      </x:c>
      <x:c r="M43" s="18" t="inlineStr">
        <x:is>
          <x:t xml:space="preserve"/>
        </x:is>
      </x:c>
    </x:row>
    <x:row r="44">
      <x:c r="A44" s="18" t="inlineStr">
        <x:is>
          <x:t xml:space="preserve">T249</x:t>
        </x:is>
      </x:c>
      <x:c r="B44" s="18" t="inlineStr">
        <x:is>
          <x:t xml:space="preserve">AI Liability Defense</x:t>
        </x:is>
      </x:c>
      <x:c r="C44" s="18" t="inlineStr">
        <x:is>
          <x:t xml:space="preserve">Historical data backfill policy (records pre-dating evidence bundle)</x:t>
        </x:is>
      </x:c>
      <x:c r="D44" s="18" t="inlineStr">
        <x:is>
          <x:t xml:space="preserve">Existing records without evidence bundle marked 'pre-policy — captured before evidence framework'. Document the cutoff date. Do not retroactively fabricate evidence.</x:t>
        </x:is>
      </x:c>
      <x:c r="E44" s="32" t="inlineStr">
        <x:is>
          <x:t xml:space="preserve">P1</x:t>
        </x:is>
      </x:c>
      <x:c r="F44" s="39" t="inlineStr">
        <x:is>
          <x:t xml:space="preserve">2. CLAUDE DOES IT</x:t>
        </x:is>
      </x:c>
      <x:c r="G44" s="18" t="inlineStr">
        <x:is>
          <x:t xml:space="preserve">Anand</x:t>
        </x:is>
      </x:c>
      <x:c r="H44" s="18" t="inlineStr">
        <x:is>
          <x:t xml:space="preserve">T216</x:t>
        </x:is>
      </x:c>
      <x:c r="I44" s="45" t="inlineStr">
        <x:is>
          <x:t xml:space="preserve">Claude (code+docs)</x:t>
        </x:is>
      </x:c>
      <x:c r="J44" s="52" t="inlineStr">
        <x:is>
          <x:t xml:space="preserve">$0</x:t>
        </x:is>
      </x:c>
      <x:c r="K44" s="84" t="inlineStr">
        <x:is>
          <x:t xml:space="preserve">Anytime</x:t>
        </x:is>
      </x:c>
      <x:c r="L44" s="44" t="inlineStr">
        <x:is>
          <x:t xml:space="preserve">Not started</x:t>
        </x:is>
      </x:c>
      <x:c r="M44" s="18" t="inlineStr">
        <x:is>
          <x:t xml:space="preserve"/>
        </x:is>
      </x:c>
    </x:row>
    <x:row r="45">
      <x:c r="A45" s="18" t="inlineStr">
        <x:is>
          <x:t xml:space="preserve">T230</x:t>
        </x:is>
      </x:c>
      <x:c r="B45" s="18" t="inlineStr">
        <x:is>
          <x:t xml:space="preserve">AI Liability Defense</x:t>
        </x:is>
      </x:c>
      <x:c r="C45" s="18" t="inlineStr">
        <x:is>
          <x:t xml:space="preserve">Quarterly litigation precedent monitoring (legal updates affecting AI vendor risk)</x:t>
        </x:is>
      </x:c>
      <x:c r="D45" s="18" t="inlineStr">
        <x:is>
          <x:t xml:space="preserve">Track Air Canada / Mata-style cases. Update policies + system as the legal landscape evolves.</x:t>
        </x:is>
      </x:c>
      <x:c r="E45" s="49" t="inlineStr">
        <x:is>
          <x:t xml:space="preserve">P2</x:t>
        </x:is>
      </x:c>
      <x:c r="F45" s="39" t="inlineStr">
        <x:is>
          <x:t xml:space="preserve">2. CLAUDE DOES IT</x:t>
        </x:is>
      </x:c>
      <x:c r="G45" s="18" t="inlineStr">
        <x:is>
          <x:t xml:space="preserve">Anand</x:t>
        </x:is>
      </x:c>
      <x:c r="H45" s="18" t="inlineStr">
        <x:is>
          <x:t xml:space="preserve"/>
        </x:is>
      </x:c>
      <x:c r="I45" s="45" t="inlineStr">
        <x:is>
          <x:t xml:space="preserve">Claude (research) + you</x:t>
        </x:is>
      </x:c>
      <x:c r="J45" s="52" t="inlineStr">
        <x:is>
          <x:t xml:space="preserve">$0</x:t>
        </x:is>
      </x:c>
      <x:c r="K45" s="84" t="inlineStr">
        <x:is>
          <x:t xml:space="preserve">Anytime</x:t>
        </x:is>
      </x:c>
      <x:c r="L45" s="44" t="inlineStr">
        <x:is>
          <x:t xml:space="preserve">Not started</x:t>
        </x:is>
      </x:c>
      <x:c r="M45" s="18" t="inlineStr">
        <x:is>
          <x:t xml:space="preserve"/>
        </x:is>
      </x:c>
    </x:row>
    <x:row r="46">
      <x:c r="A46" s="18" t="inlineStr">
        <x:is>
          <x:t xml:space="preserve">T215</x:t>
        </x:is>
      </x:c>
      <x:c r="B46" s="18" t="inlineStr">
        <x:is>
          <x:t xml:space="preserve">AI Liability Defense</x:t>
        </x:is>
      </x:c>
      <x:c r="C46" s="18" t="inlineStr">
        <x:is>
          <x:t xml:space="preserve">Tenant admin signs 'system role acknowledgment' at onboarding</x:t>
        </x:is>
      </x:c>
      <x:c r="D46" s="18" t="inlineStr">
        <x:is>
          <x:t xml:space="preserve">Admin confirms understanding: AbarVa = advisor, client = decision-maker. Captured during SSO setup. Separate from per-user click-wrap.</x:t>
        </x:is>
      </x:c>
      <x:c r="E46" s="31" t="inlineStr">
        <x:is>
          <x:t xml:space="preserve">P0</x:t>
        </x:is>
      </x:c>
      <x:c r="F46" s="40" t="inlineStr">
        <x:is>
          <x:t xml:space="preserve">3. CLAUDE + YOU</x:t>
        </x:is>
      </x:c>
      <x:c r="G46" s="18" t="inlineStr">
        <x:is>
          <x:t xml:space="preserve">Anand</x:t>
        </x:is>
      </x:c>
      <x:c r="H46" s="18" t="inlineStr">
        <x:is>
          <x:t xml:space="preserve"/>
        </x:is>
      </x:c>
      <x:c r="I46" s="47" t="inlineStr">
        <x:is>
          <x:t xml:space="preserve">Claude + you (template)</x:t>
        </x:is>
      </x:c>
      <x:c r="J46" s="52" t="inlineStr">
        <x:is>
          <x:t xml:space="preserve">$0</x:t>
        </x:is>
      </x:c>
      <x:c r="K46" s="84" t="inlineStr">
        <x:is>
          <x:t xml:space="preserve">Anytime</x:t>
        </x:is>
      </x:c>
      <x:c r="L46" s="44" t="inlineStr">
        <x:is>
          <x:t xml:space="preserve">Not started</x:t>
        </x:is>
      </x:c>
      <x:c r="M46" s="18" t="inlineStr">
        <x:is>
          <x:t xml:space="preserve"/>
        </x:is>
      </x:c>
    </x:row>
    <x:row r="47">
      <x:c r="A47" s="18" t="inlineStr">
        <x:is>
          <x:t xml:space="preserve">T219</x:t>
        </x:is>
      </x:c>
      <x:c r="B47" s="18" t="inlineStr">
        <x:is>
          <x:t xml:space="preserve">AI Liability Defense</x:t>
        </x:is>
      </x:c>
      <x:c r="C47" s="18" t="inlineStr">
        <x:is>
          <x:t xml:space="preserve">SOW boilerplate: AI-specific advisory clauses (warranty disclaimer, advisor-not-decider, validation duty, hallucination disclosure)</x:t>
        </x:is>
      </x:c>
      <x:c r="D47" s="18" t="inlineStr">
        <x:is>
          <x:t xml:space="preserve">Standard block in every SOW. Drafted by Claude, lawyer-reviewed. Reusable.</x:t>
        </x:is>
      </x:c>
      <x:c r="E47" s="31" t="inlineStr">
        <x:is>
          <x:t xml:space="preserve">P0</x:t>
        </x:is>
      </x:c>
      <x:c r="F47" s="41" t="inlineStr">
        <x:is>
          <x:t xml:space="preserve">4. CLAUDE + PRO</x:t>
        </x:is>
      </x:c>
      <x:c r="G47" s="18" t="inlineStr">
        <x:is>
          <x:t xml:space="preserve">Anand</x:t>
        </x:is>
      </x:c>
      <x:c r="H47" s="18" t="inlineStr">
        <x:is>
          <x:t xml:space="preserve">T006</x:t>
        </x:is>
      </x:c>
      <x:c r="I47" s="50" t="inlineStr">
        <x:is>
          <x:t xml:space="preserve">Claude + lawyer</x:t>
        </x:is>
      </x:c>
      <x:c r="J47" s="51" t="inlineStr">
        <x:is>
          <x:t xml:space="preserve">$1-2k (lawyer review)</x:t>
        </x:is>
      </x:c>
      <x:c r="K47" s="84" t="inlineStr">
        <x:is>
          <x:t xml:space="preserve">Anytime</x:t>
        </x:is>
      </x:c>
      <x:c r="L47" s="44" t="inlineStr">
        <x:is>
          <x:t xml:space="preserve">Not started</x:t>
        </x:is>
      </x:c>
      <x:c r="M47" s="18" t="inlineStr">
        <x:is>
          <x:t xml:space="preserve"/>
        </x:is>
      </x:c>
    </x:row>
    <x:row r="48">
      <x:c r="A48" s="18" t="inlineStr">
        <x:is>
          <x:t xml:space="preserve">T220</x:t>
        </x:is>
      </x:c>
      <x:c r="B48" s="18" t="inlineStr">
        <x:is>
          <x:t xml:space="preserve">AI Liability Defense</x:t>
        </x:is>
      </x:c>
      <x:c r="C48" s="18" t="inlineStr">
        <x:is>
          <x:t xml:space="preserve">SOW: client indemnifies AbarVa for claims arising from client's reliance on outputs</x:t>
        </x:is>
      </x:c>
      <x:c r="D48" s="18" t="inlineStr">
        <x:is>
          <x:t xml:space="preserve">Specific clause separate from general indemnity. Client takes responsibility for their decisions.</x:t>
        </x:is>
      </x:c>
      <x:c r="E48" s="31" t="inlineStr">
        <x:is>
          <x:t xml:space="preserve">P0</x:t>
        </x:is>
      </x:c>
      <x:c r="F48" s="41" t="inlineStr">
        <x:is>
          <x:t xml:space="preserve">4. CLAUDE + PRO</x:t>
        </x:is>
      </x:c>
      <x:c r="G48" s="18" t="inlineStr">
        <x:is>
          <x:t xml:space="preserve">Anand</x:t>
        </x:is>
      </x:c>
      <x:c r="H48" s="18" t="inlineStr">
        <x:is>
          <x:t xml:space="preserve">T006</x:t>
        </x:is>
      </x:c>
      <x:c r="I48" s="50" t="inlineStr">
        <x:is>
          <x:t xml:space="preserve">Claude + lawyer</x:t>
        </x:is>
      </x:c>
      <x:c r="J48" s="52" t="inlineStr">
        <x:is>
          <x:t xml:space="preserve">$0 (within lawyer review above)</x:t>
        </x:is>
      </x:c>
      <x:c r="K48" s="84" t="inlineStr">
        <x:is>
          <x:t xml:space="preserve">Anytime</x:t>
        </x:is>
      </x:c>
      <x:c r="L48" s="44" t="inlineStr">
        <x:is>
          <x:t xml:space="preserve">Not started</x:t>
        </x:is>
      </x:c>
      <x:c r="M48" s="18" t="inlineStr">
        <x:is>
          <x:t xml:space="preserve"/>
        </x:is>
      </x:c>
    </x:row>
    <x:row r="49">
      <x:c r="A49" s="18" t="inlineStr">
        <x:is>
          <x:t xml:space="preserve">T221</x:t>
        </x:is>
      </x:c>
      <x:c r="B49" s="18" t="inlineStr">
        <x:is>
          <x:t xml:space="preserve">AI Liability Defense</x:t>
        </x:is>
      </x:c>
      <x:c r="C49" s="18" t="inlineStr">
        <x:is>
          <x:t xml:space="preserve">SOW: liability cap carve-out for AI-output reliance claims</x:t>
        </x:is>
      </x:c>
      <x:c r="D49" s="18" t="inlineStr">
        <x:is>
          <x:t xml:space="preserve">Caps your exposure to AI-specific risk separately. Should not count against general 12-month liability cap.</x:t>
        </x:is>
      </x:c>
      <x:c r="E49" s="31" t="inlineStr">
        <x:is>
          <x:t xml:space="preserve">P0</x:t>
        </x:is>
      </x:c>
      <x:c r="F49" s="41" t="inlineStr">
        <x:is>
          <x:t xml:space="preserve">4. CLAUDE + PRO</x:t>
        </x:is>
      </x:c>
      <x:c r="G49" s="18" t="inlineStr">
        <x:is>
          <x:t xml:space="preserve">Anand</x:t>
        </x:is>
      </x:c>
      <x:c r="H49" s="18" t="inlineStr">
        <x:is>
          <x:t xml:space="preserve">T006</x:t>
        </x:is>
      </x:c>
      <x:c r="I49" s="50" t="inlineStr">
        <x:is>
          <x:t xml:space="preserve">Claude + lawyer</x:t>
        </x:is>
      </x:c>
      <x:c r="J49" s="52" t="inlineStr">
        <x:is>
          <x:t xml:space="preserve">$0</x:t>
        </x:is>
      </x:c>
      <x:c r="K49" s="84" t="inlineStr">
        <x:is>
          <x:t xml:space="preserve">Anytime</x:t>
        </x:is>
      </x:c>
      <x:c r="L49" s="44" t="inlineStr">
        <x:is>
          <x:t xml:space="preserve">Not started</x:t>
        </x:is>
      </x:c>
      <x:c r="M49" s="18" t="inlineStr">
        <x:is>
          <x:t xml:space="preserve"/>
        </x:is>
      </x:c>
    </x:row>
    <x:row r="50">
      <x:c r="A50" s="18" t="inlineStr">
        <x:is>
          <x:t xml:space="preserve">T222</x:t>
        </x:is>
      </x:c>
      <x:c r="B50" s="18" t="inlineStr">
        <x:is>
          <x:t xml:space="preserve">AI Liability Defense</x:t>
        </x:is>
      </x:c>
      <x:c r="C50" s="18" t="inlineStr">
        <x:is>
          <x:t xml:space="preserve">SOW: client warrants users will complete training before access</x:t>
        </x:is>
      </x:c>
      <x:c r="D50" s="18" t="inlineStr">
        <x:is>
          <x:t xml:space="preserve">Forces client to enforce the training requirement on their side. Shifts breach to them if they grant access without training.</x:t>
        </x:is>
      </x:c>
      <x:c r="E50" s="31" t="inlineStr">
        <x:is>
          <x:t xml:space="preserve">P0</x:t>
        </x:is>
      </x:c>
      <x:c r="F50" s="41" t="inlineStr">
        <x:is>
          <x:t xml:space="preserve">4. CLAUDE + PRO</x:t>
        </x:is>
      </x:c>
      <x:c r="G50" s="18" t="inlineStr">
        <x:is>
          <x:t xml:space="preserve">Anand</x:t>
        </x:is>
      </x:c>
      <x:c r="H50" s="18" t="inlineStr">
        <x:is>
          <x:t xml:space="preserve">T006</x:t>
        </x:is>
      </x:c>
      <x:c r="I50" s="50" t="inlineStr">
        <x:is>
          <x:t xml:space="preserve">Claude + lawyer</x:t>
        </x:is>
      </x:c>
      <x:c r="J50" s="52" t="inlineStr">
        <x:is>
          <x:t xml:space="preserve">$0</x:t>
        </x:is>
      </x:c>
      <x:c r="K50" s="84" t="inlineStr">
        <x:is>
          <x:t xml:space="preserve">Anytime</x:t>
        </x:is>
      </x:c>
      <x:c r="L50" s="44" t="inlineStr">
        <x:is>
          <x:t xml:space="preserve">Not started</x:t>
        </x:is>
      </x:c>
      <x:c r="M50" s="18" t="inlineStr">
        <x:is>
          <x:t xml:space="preserve"/>
        </x:is>
      </x:c>
    </x:row>
    <x:row r="51">
      <x:c r="A51" s="18" t="inlineStr">
        <x:is>
          <x:t xml:space="preserve">T227</x:t>
        </x:is>
      </x:c>
      <x:c r="B51" s="18" t="inlineStr">
        <x:is>
          <x:t xml:space="preserve">AI Liability Defense</x:t>
        </x:is>
      </x:c>
      <x:c r="C51" s="18" t="inlineStr">
        <x:is>
          <x:t xml:space="preserve">Confirm E&amp;O policy explicitly covers AI/ML technology claims</x:t>
        </x:is>
      </x:c>
      <x:c r="D51" s="18" t="inlineStr">
        <x:is>
          <x:t xml:space="preserve">Some older policies exclude. Get carrier letter confirming coverage. May require rider/endorsement.</x:t>
        </x:is>
      </x:c>
      <x:c r="E51" s="31" t="inlineStr">
        <x:is>
          <x:t xml:space="preserve">P0</x:t>
        </x:is>
      </x:c>
      <x:c r="F51" s="42" t="inlineStr">
        <x:is>
          <x:t xml:space="preserve">5. EXTERNAL</x:t>
        </x:is>
      </x:c>
      <x:c r="G51" s="18" t="inlineStr">
        <x:is>
          <x:t xml:space="preserve">Anand</x:t>
        </x:is>
      </x:c>
      <x:c r="H51" s="18" t="inlineStr">
        <x:is>
          <x:t xml:space="preserve">T007</x:t>
        </x:is>
      </x:c>
      <x:c r="I51" s="48" t="inlineStr">
        <x:is>
          <x:t xml:space="preserve">3rd party: broker</x:t>
        </x:is>
      </x:c>
      <x:c r="J51" s="52" t="inlineStr">
        <x:is>
          <x:t xml:space="preserve">$0 (within E&amp;O premium) or rider $500-2k</x:t>
        </x:is>
      </x:c>
      <x:c r="K51" s="84" t="inlineStr">
        <x:is>
          <x:t xml:space="preserve">Anytime</x:t>
        </x:is>
      </x:c>
      <x:c r="L51" s="44" t="inlineStr">
        <x:is>
          <x:t xml:space="preserve">Not started</x:t>
        </x:is>
      </x:c>
      <x:c r="M51" s="18" t="inlineStr">
        <x:is>
          <x:t xml:space="preserve"/>
        </x:is>
      </x:c>
    </x:row>
    <x:row r="52">
      <x:c r="A52" s="18" t="inlineStr">
        <x:is>
          <x:t xml:space="preserve">T251</x:t>
        </x:is>
      </x:c>
      <x:c r="B52" s="18" t="inlineStr">
        <x:is>
          <x:t xml:space="preserve">AI Liability Defense</x:t>
        </x:is>
      </x:c>
      <x:c r="C52" s="18" t="inlineStr">
        <x:is>
          <x:t xml:space="preserve">Retrofit completion checkpoint: every cataloged action gated, every cataloged AI element labeled</x:t>
        </x:is>
      </x:c>
      <x:c r="D52" s="18" t="inlineStr">
        <x:is>
          <x:t xml:space="preserve">Rollup task. Plan reviewable: % retrofit complete per module. Pilot launches only when 100% across all 5 surfaces.</x:t>
        </x:is>
      </x:c>
      <x:c r="E52" s="31" t="inlineStr">
        <x:is>
          <x:t xml:space="preserve">P0</x:t>
        </x:is>
      </x:c>
      <x:c r="F52" s="42" t="inlineStr">
        <x:is>
          <x:t xml:space="preserve">5. EXTERNAL</x:t>
        </x:is>
      </x:c>
      <x:c r="G52" s="18" t="inlineStr">
        <x:is>
          <x:t xml:space="preserve">Anand</x:t>
        </x:is>
      </x:c>
      <x:c r="H52" s="18" t="inlineStr">
        <x:is>
          <x:t xml:space="preserve"/>
        </x:is>
      </x:c>
      <x:c r="I52" s="48" t="inlineStr">
        <x:is>
          <x:t xml:space="preserve">You only (review)</x:t>
        </x:is>
      </x:c>
      <x:c r="J52" s="52" t="inlineStr">
        <x:is>
          <x:t xml:space="preserve">$0</x:t>
        </x:is>
      </x:c>
      <x:c r="K52" s="84" t="inlineStr">
        <x:is>
          <x:t xml:space="preserve">Anytime</x:t>
        </x:is>
      </x:c>
      <x:c r="L52" s="44" t="inlineStr">
        <x:is>
          <x:t xml:space="preserve">Not started</x:t>
        </x:is>
      </x:c>
      <x:c r="M52" s="18" t="inlineStr">
        <x:is>
          <x:t xml:space="preserve"/>
        </x:is>
      </x:c>
    </x:row>
    <x:row r="53">
      <x:c r="A53" s="18" t="inlineStr">
        <x:is>
          <x:t xml:space="preserve">T228</x:t>
        </x:is>
      </x:c>
      <x:c r="B53" s="18" t="inlineStr">
        <x:is>
          <x:t xml:space="preserve">AI Liability Defense</x:t>
        </x:is>
      </x:c>
      <x:c r="C53" s="18" t="inlineStr">
        <x:is>
          <x:t xml:space="preserve">Investigate dedicated AI Liability insurance (emerging product)</x:t>
        </x:is>
      </x:c>
      <x:c r="D53" s="18" t="inlineStr">
        <x:is>
          <x:t xml:space="preserve">Munich Re, Vouch, others offer AI-specific E&amp;O. Get a quote — may not buy now, but know the market for renewal/Series A.</x:t>
        </x:is>
      </x:c>
      <x:c r="E53" s="32" t="inlineStr">
        <x:is>
          <x:t xml:space="preserve">P1</x:t>
        </x:is>
      </x:c>
      <x:c r="F53" s="42" t="inlineStr">
        <x:is>
          <x:t xml:space="preserve">5. EXTERNAL</x:t>
        </x:is>
      </x:c>
      <x:c r="G53" s="18" t="inlineStr">
        <x:is>
          <x:t xml:space="preserve">Anand</x:t>
        </x:is>
      </x:c>
      <x:c r="H53" s="18" t="inlineStr">
        <x:is>
          <x:t xml:space="preserve"/>
        </x:is>
      </x:c>
      <x:c r="I53" s="48" t="inlineStr">
        <x:is>
          <x:t xml:space="preserve">3rd party: broker</x:t>
        </x:is>
      </x:c>
      <x:c r="J53" s="52" t="inlineStr">
        <x:is>
          <x:t xml:space="preserve">$0 (quote)</x:t>
        </x:is>
      </x:c>
      <x:c r="K53" s="82" t="inlineStr">
        <x:is>
          <x:t xml:space="preserve">Pre-Resign</x:t>
        </x:is>
      </x:c>
      <x:c r="L53" s="44" t="inlineStr">
        <x:is>
          <x:t xml:space="preserve">Not started</x:t>
        </x:is>
      </x:c>
      <x:c r="M53" s="18" t="inlineStr">
        <x:is>
          <x:t xml:space="preserve"/>
        </x:is>
      </x:c>
    </x:row>
    <x:row r="54">
      <x:c r="A54" s="18" t="inlineStr">
        <x:is>
          <x:t xml:space="preserve">T168</x:t>
        </x:is>
      </x:c>
      <x:c r="B54" s="18" t="inlineStr">
        <x:is>
          <x:t xml:space="preserve">Adversarial Test</x:t>
        </x:is>
      </x:c>
      <x:c r="C54" s="18" t="inlineStr">
        <x:is>
          <x:t xml:space="preserve">Build agent-driven test harness using Claude Agent SDK</x:t>
        </x:is>
      </x:c>
      <x:c r="D54" s="18" t="inlineStr">
        <x:is>
          <x:t xml:space="preserve">Persona agents (CIO/CDO/CDIO/CDAO/SME) read UI snapshots, make decisions, execute workflows. Tests INTENT and SEMANTICS, not just bytes.</x:t>
        </x:is>
      </x:c>
      <x:c r="E54" s="31" t="inlineStr">
        <x:is>
          <x:t xml:space="preserve">P0</x:t>
        </x:is>
      </x:c>
      <x:c r="F54" s="39" t="inlineStr">
        <x:is>
          <x:t xml:space="preserve">2. CLAUDE DOES IT</x:t>
        </x:is>
      </x:c>
      <x:c r="G54" s="18" t="inlineStr">
        <x:is>
          <x:t xml:space="preserve">Anand</x:t>
        </x:is>
      </x:c>
      <x:c r="H54" s="18" t="inlineStr">
        <x:is>
          <x:t xml:space="preserve"/>
        </x:is>
      </x:c>
      <x:c r="I54" s="45" t="inlineStr">
        <x:is>
          <x:t xml:space="preserve">Claude (code)</x:t>
        </x:is>
      </x:c>
      <x:c r="J54" s="52" t="inlineStr">
        <x:is>
          <x:t xml:space="preserve">$0</x:t>
        </x:is>
      </x:c>
      <x:c r="K54" s="84" t="inlineStr">
        <x:is>
          <x:t xml:space="preserve">Anytime</x:t>
        </x:is>
      </x:c>
      <x:c r="L54" s="44" t="inlineStr">
        <x:is>
          <x:t xml:space="preserve">Not started</x:t>
        </x:is>
      </x:c>
      <x:c r="M54" s="18" t="inlineStr">
        <x:is>
          <x:t xml:space="preserve"/>
        </x:is>
      </x:c>
    </x:row>
    <x:row r="55">
      <x:c r="A55" s="18" t="inlineStr">
        <x:is>
          <x:t xml:space="preserve">T169</x:t>
        </x:is>
      </x:c>
      <x:c r="B55" s="18" t="inlineStr">
        <x:is>
          <x:t xml:space="preserve">Adversarial Test</x:t>
        </x:is>
      </x:c>
      <x:c r="C55" s="18" t="inlineStr">
        <x:is>
          <x:t xml:space="preserve">10 persona-agent army hammering FakeClient tenant for 24h</x:t>
        </x:is>
      </x:c>
      <x:c r="D55" s="18" t="inlineStr">
        <x:is>
          <x:t xml:space="preserve">Realistic concurrent usage patterns vs k6 byte-pushing. Catches UX dead ends, broken workflows, semantic bugs.</x:t>
        </x:is>
      </x:c>
      <x:c r="E55" s="31" t="inlineStr">
        <x:is>
          <x:t xml:space="preserve">P0</x:t>
        </x:is>
      </x:c>
      <x:c r="F55" s="39" t="inlineStr">
        <x:is>
          <x:t xml:space="preserve">2. CLAUDE DOES IT</x:t>
        </x:is>
      </x:c>
      <x:c r="G55" s="18" t="inlineStr">
        <x:is>
          <x:t xml:space="preserve">Anand</x:t>
        </x:is>
      </x:c>
      <x:c r="H55" s="18" t="inlineStr">
        <x:is>
          <x:t xml:space="preserve">T142</x:t>
        </x:is>
      </x:c>
      <x:c r="I55" s="45" t="inlineStr">
        <x:is>
          <x:t xml:space="preserve">Claude (code)</x:t>
        </x:is>
      </x:c>
      <x:c r="J55" s="52" t="inlineStr">
        <x:is>
          <x:t xml:space="preserve">$0 (consumes credits)</x:t>
        </x:is>
      </x:c>
      <x:c r="K55" s="84" t="inlineStr">
        <x:is>
          <x:t xml:space="preserve">Anytime</x:t>
        </x:is>
      </x:c>
      <x:c r="L55" s="44" t="inlineStr">
        <x:is>
          <x:t xml:space="preserve">Not started</x:t>
        </x:is>
      </x:c>
      <x:c r="M55" s="18" t="inlineStr">
        <x:is>
          <x:t xml:space="preserve"/>
        </x:is>
      </x:c>
    </x:row>
    <x:row r="56">
      <x:c r="A56" s="18" t="inlineStr">
        <x:is>
          <x:t xml:space="preserve">T170</x:t>
        </x:is>
      </x:c>
      <x:c r="B56" s="18" t="inlineStr">
        <x:is>
          <x:t xml:space="preserve">Adversarial Test</x:t>
        </x:is>
      </x:c>
      <x:c r="C56" s="18" t="inlineStr">
        <x:is>
          <x:t xml:space="preserve">Hallucination detection: agent outputs fact-checked against ground truth corpus</x:t>
        </x:is>
      </x:c>
      <x:c r="D56" s="18" t="inlineStr">
        <x:is>
          <x:t xml:space="preserve">Each agent response auto-graded vs known-correct answers from synthetic data. Track hallucination rate as KPI.</x:t>
        </x:is>
      </x:c>
      <x:c r="E56" s="31" t="inlineStr">
        <x:is>
          <x:t xml:space="preserve">P0</x:t>
        </x:is>
      </x:c>
      <x:c r="F56" s="39" t="inlineStr">
        <x:is>
          <x:t xml:space="preserve">2. CLAUDE DOES IT</x:t>
        </x:is>
      </x:c>
      <x:c r="G56" s="18" t="inlineStr">
        <x:is>
          <x:t xml:space="preserve">Anand</x:t>
        </x:is>
      </x:c>
      <x:c r="H56" s="18" t="inlineStr">
        <x:is>
          <x:t xml:space="preserve"/>
        </x:is>
      </x:c>
      <x:c r="I56" s="45" t="inlineStr">
        <x:is>
          <x:t xml:space="preserve">Claude (code)</x:t>
        </x:is>
      </x:c>
      <x:c r="J56" s="52" t="inlineStr">
        <x:is>
          <x:t xml:space="preserve">$0</x:t>
        </x:is>
      </x:c>
      <x:c r="K56" s="84" t="inlineStr">
        <x:is>
          <x:t xml:space="preserve">Anytime</x:t>
        </x:is>
      </x:c>
      <x:c r="L56" s="44" t="inlineStr">
        <x:is>
          <x:t xml:space="preserve">Not started</x:t>
        </x:is>
      </x:c>
      <x:c r="M56" s="18" t="inlineStr">
        <x:is>
          <x:t xml:space="preserve"/>
        </x:is>
      </x:c>
    </x:row>
    <x:row r="57">
      <x:c r="A57" s="18" t="inlineStr">
        <x:is>
          <x:t xml:space="preserve">T171</x:t>
        </x:is>
      </x:c>
      <x:c r="B57" s="18" t="inlineStr">
        <x:is>
          <x:t xml:space="preserve">Adversarial Test</x:t>
        </x:is>
      </x:c>
      <x:c r="C57" s="18" t="inlineStr">
        <x:is>
          <x:t xml:space="preserve">Agent-loop detection: kill any specialist routing chain &gt;N hops</x:t>
        </x:is>
      </x:c>
      <x:c r="D57" s="18" t="inlineStr">
        <x:is>
          <x:t xml:space="preserve">Defensive guardrail. Specialist routing back to specialist forever = budget destroyer. Hard cap with alert.</x:t>
        </x:is>
      </x:c>
      <x:c r="E57" s="31" t="inlineStr">
        <x:is>
          <x:t xml:space="preserve">P0</x:t>
        </x:is>
      </x:c>
      <x:c r="F57" s="39" t="inlineStr">
        <x:is>
          <x:t xml:space="preserve">2. CLAUDE DOES IT</x:t>
        </x:is>
      </x:c>
      <x:c r="G57" s="18" t="inlineStr">
        <x:is>
          <x:t xml:space="preserve">Anand</x:t>
        </x:is>
      </x:c>
      <x:c r="H57" s="18" t="inlineStr">
        <x:is>
          <x:t xml:space="preserve"/>
        </x:is>
      </x:c>
      <x:c r="I57" s="45" t="inlineStr">
        <x:is>
          <x:t xml:space="preserve">Claude (code)</x:t>
        </x:is>
      </x:c>
      <x:c r="J57" s="52" t="inlineStr">
        <x:is>
          <x:t xml:space="preserve">$0</x:t>
        </x:is>
      </x:c>
      <x:c r="K57" s="84" t="inlineStr">
        <x:is>
          <x:t xml:space="preserve">Anytime</x:t>
        </x:is>
      </x:c>
      <x:c r="L57" s="44" t="inlineStr">
        <x:is>
          <x:t xml:space="preserve">Not started</x:t>
        </x:is>
      </x:c>
      <x:c r="M57" s="18" t="inlineStr">
        <x:is>
          <x:t xml:space="preserve"/>
        </x:is>
      </x:c>
    </x:row>
    <x:row r="58">
      <x:c r="A58" s="18" t="inlineStr">
        <x:is>
          <x:t xml:space="preserve">T172</x:t>
        </x:is>
      </x:c>
      <x:c r="B58" s="18" t="inlineStr">
        <x:is>
          <x:t xml:space="preserve">Adversarial Test</x:t>
        </x:is>
      </x:c>
      <x:c r="C58" s="18" t="inlineStr">
        <x:is>
          <x:t xml:space="preserve">Prompt injection resilience test (OWASP LLM Top 10)</x:t>
        </x:is>
      </x:c>
      <x:c r="D58" s="18" t="inlineStr">
        <x:is>
          <x:t xml:space="preserve">Adversarial inputs in user uploads + chat: jailbreak attempts, instruction override, data exfil. Document defenses.</x:t>
        </x:is>
      </x:c>
      <x:c r="E58" s="31" t="inlineStr">
        <x:is>
          <x:t xml:space="preserve">P0</x:t>
        </x:is>
      </x:c>
      <x:c r="F58" s="39" t="inlineStr">
        <x:is>
          <x:t xml:space="preserve">2. CLAUDE DOES IT</x:t>
        </x:is>
      </x:c>
      <x:c r="G58" s="18" t="inlineStr">
        <x:is>
          <x:t xml:space="preserve">Anand</x:t>
        </x:is>
      </x:c>
      <x:c r="H58" s="18" t="inlineStr">
        <x:is>
          <x:t xml:space="preserve"/>
        </x:is>
      </x:c>
      <x:c r="I58" s="45" t="inlineStr">
        <x:is>
          <x:t xml:space="preserve">Claude (test suite)</x:t>
        </x:is>
      </x:c>
      <x:c r="J58" s="52" t="inlineStr">
        <x:is>
          <x:t xml:space="preserve">$0</x:t>
        </x:is>
      </x:c>
      <x:c r="K58" s="84" t="inlineStr">
        <x:is>
          <x:t xml:space="preserve">Anytime</x:t>
        </x:is>
      </x:c>
      <x:c r="L58" s="44" t="inlineStr">
        <x:is>
          <x:t xml:space="preserve">Not started</x:t>
        </x:is>
      </x:c>
      <x:c r="M58" s="18" t="inlineStr">
        <x:is>
          <x:t xml:space="preserve"/>
        </x:is>
      </x:c>
    </x:row>
    <x:row r="59">
      <x:c r="A59" s="18" t="inlineStr">
        <x:is>
          <x:t xml:space="preserve">T173</x:t>
        </x:is>
      </x:c>
      <x:c r="B59" s="18" t="inlineStr">
        <x:is>
          <x:t xml:space="preserve">Adversarial Test</x:t>
        </x:is>
      </x:c>
      <x:c r="C59" s="18" t="inlineStr">
        <x:is>
          <x:t xml:space="preserve">Cost-attack simulation: adversarial user maximizing token spend in 1h</x:t>
        </x:is>
      </x:c>
      <x:c r="D59" s="18" t="inlineStr">
        <x:is>
          <x:t xml:space="preserve">Validates token cap + rate limiting + alert path. Critical for COGS protection.</x:t>
        </x:is>
      </x:c>
      <x:c r="E59" s="31" t="inlineStr">
        <x:is>
          <x:t xml:space="preserve">P0</x:t>
        </x:is>
      </x:c>
      <x:c r="F59" s="39" t="inlineStr">
        <x:is>
          <x:t xml:space="preserve">2. CLAUDE DOES IT</x:t>
        </x:is>
      </x:c>
      <x:c r="G59" s="18" t="inlineStr">
        <x:is>
          <x:t xml:space="preserve">Anand</x:t>
        </x:is>
      </x:c>
      <x:c r="H59" s="18" t="inlineStr">
        <x:is>
          <x:t xml:space="preserve"/>
        </x:is>
      </x:c>
      <x:c r="I59" s="45" t="inlineStr">
        <x:is>
          <x:t xml:space="preserve">Claude (code)</x:t>
        </x:is>
      </x:c>
      <x:c r="J59" s="52" t="inlineStr">
        <x:is>
          <x:t xml:space="preserve">$0 (consumes credits)</x:t>
        </x:is>
      </x:c>
      <x:c r="K59" s="84" t="inlineStr">
        <x:is>
          <x:t xml:space="preserve">Anytime</x:t>
        </x:is>
      </x:c>
      <x:c r="L59" s="44" t="inlineStr">
        <x:is>
          <x:t xml:space="preserve">Not started</x:t>
        </x:is>
      </x:c>
      <x:c r="M59" s="18" t="inlineStr">
        <x:is>
          <x:t xml:space="preserve"/>
        </x:is>
      </x:c>
    </x:row>
    <x:row r="60">
      <x:c r="A60" s="18" t="inlineStr">
        <x:is>
          <x:t xml:space="preserve">T174</x:t>
        </x:is>
      </x:c>
      <x:c r="B60" s="18" t="inlineStr">
        <x:is>
          <x:t xml:space="preserve">Adversarial Test</x:t>
        </x:is>
      </x:c>
      <x:c r="C60" s="18" t="inlineStr">
        <x:is>
          <x:t xml:space="preserve">Chaos engineering: inject failures (network drop, DB slow, LLM 429s)</x:t>
        </x:is>
      </x:c>
      <x:c r="D60" s="18" t="inlineStr">
        <x:is>
          <x:t xml:space="preserve">Use Toxiproxy or Azure Chaos Studio. Observe recovery + alerting. Document MTTR.</x:t>
        </x:is>
      </x:c>
      <x:c r="E60" s="31" t="inlineStr">
        <x:is>
          <x:t xml:space="preserve">P0</x:t>
        </x:is>
      </x:c>
      <x:c r="F60" s="39" t="inlineStr">
        <x:is>
          <x:t xml:space="preserve">2. CLAUDE DOES IT</x:t>
        </x:is>
      </x:c>
      <x:c r="G60" s="18" t="inlineStr">
        <x:is>
          <x:t xml:space="preserve">Anand</x:t>
        </x:is>
      </x:c>
      <x:c r="H60" s="18" t="inlineStr">
        <x:is>
          <x:t xml:space="preserve"/>
        </x:is>
      </x:c>
      <x:c r="I60" s="45" t="inlineStr">
        <x:is>
          <x:t xml:space="preserve">Claude (code)</x:t>
        </x:is>
      </x:c>
      <x:c r="J60" s="52" t="inlineStr">
        <x:is>
          <x:t xml:space="preserve">$0 (Toxiproxy free)</x:t>
        </x:is>
      </x:c>
      <x:c r="K60" s="84" t="inlineStr">
        <x:is>
          <x:t xml:space="preserve">Anytime</x:t>
        </x:is>
      </x:c>
      <x:c r="L60" s="44" t="inlineStr">
        <x:is>
          <x:t xml:space="preserve">Not started</x:t>
        </x:is>
      </x:c>
      <x:c r="M60" s="18" t="inlineStr">
        <x:is>
          <x:t xml:space="preserve"/>
        </x:is>
      </x:c>
    </x:row>
    <x:row r="61">
      <x:c r="A61" s="18" t="inlineStr">
        <x:is>
          <x:t xml:space="preserve">T175</x:t>
        </x:is>
      </x:c>
      <x:c r="B61" s="18" t="inlineStr">
        <x:is>
          <x:t xml:space="preserve">Adversarial Test</x:t>
        </x:is>
      </x:c>
      <x:c r="C61" s="18" t="inlineStr">
        <x:is>
          <x:t xml:space="preserve">Cross-tenant isolation stress: agent in tenant A attempts to read tenant B data</x:t>
        </x:is>
      </x:c>
      <x:c r="D61" s="18" t="inlineStr">
        <x:is>
          <x:t xml:space="preserve">Validates broker boundary + per-user RLS under load. Should always be denied; log every attempt.</x:t>
        </x:is>
      </x:c>
      <x:c r="E61" s="31" t="inlineStr">
        <x:is>
          <x:t xml:space="preserve">P0</x:t>
        </x:is>
      </x:c>
      <x:c r="F61" s="39" t="inlineStr">
        <x:is>
          <x:t xml:space="preserve">2. CLAUDE DOES IT</x:t>
        </x:is>
      </x:c>
      <x:c r="G61" s="18" t="inlineStr">
        <x:is>
          <x:t xml:space="preserve">Anand</x:t>
        </x:is>
      </x:c>
      <x:c r="H61" s="18" t="inlineStr">
        <x:is>
          <x:t xml:space="preserve"/>
        </x:is>
      </x:c>
      <x:c r="I61" s="45" t="inlineStr">
        <x:is>
          <x:t xml:space="preserve">Claude (code)</x:t>
        </x:is>
      </x:c>
      <x:c r="J61" s="52" t="inlineStr">
        <x:is>
          <x:t xml:space="preserve">$0</x:t>
        </x:is>
      </x:c>
      <x:c r="K61" s="84" t="inlineStr">
        <x:is>
          <x:t xml:space="preserve">Anytime</x:t>
        </x:is>
      </x:c>
      <x:c r="L61" s="44" t="inlineStr">
        <x:is>
          <x:t xml:space="preserve">Not started</x:t>
        </x:is>
      </x:c>
      <x:c r="M61" s="18" t="inlineStr">
        <x:is>
          <x:t xml:space="preserve"/>
        </x:is>
      </x:c>
    </x:row>
    <x:row r="62">
      <x:c r="A62" s="18" t="inlineStr">
        <x:is>
          <x:t xml:space="preserve">T177</x:t>
        </x:is>
      </x:c>
      <x:c r="B62" s="18" t="inlineStr">
        <x:is>
          <x:t xml:space="preserve">Adversarial Test</x:t>
        </x:is>
      </x:c>
      <x:c r="C62" s="18" t="inlineStr">
        <x:is>
          <x:t xml:space="preserve">Security stress: simulate attacker patterns (SQLi, IDOR, SSRF, auth bypass)</x:t>
        </x:is>
      </x:c>
      <x:c r="D62" s="18" t="inlineStr">
        <x:is>
          <x:t xml:space="preserve">Automated security regression suite. Complements pen test. Run on every release.</x:t>
        </x:is>
      </x:c>
      <x:c r="E62" s="31" t="inlineStr">
        <x:is>
          <x:t xml:space="preserve">P0</x:t>
        </x:is>
      </x:c>
      <x:c r="F62" s="39" t="inlineStr">
        <x:is>
          <x:t xml:space="preserve">2. CLAUDE DOES IT</x:t>
        </x:is>
      </x:c>
      <x:c r="G62" s="18" t="inlineStr">
        <x:is>
          <x:t xml:space="preserve">Anand</x:t>
        </x:is>
      </x:c>
      <x:c r="H62" s="18" t="inlineStr">
        <x:is>
          <x:t xml:space="preserve"/>
        </x:is>
      </x:c>
      <x:c r="I62" s="45" t="inlineStr">
        <x:is>
          <x:t xml:space="preserve">Claude (code) + 3rd party tools</x:t>
        </x:is>
      </x:c>
      <x:c r="J62" s="52" t="inlineStr">
        <x:is>
          <x:t xml:space="preserve">$0</x:t>
        </x:is>
      </x:c>
      <x:c r="K62" s="84" t="inlineStr">
        <x:is>
          <x:t xml:space="preserve">Anytime</x:t>
        </x:is>
      </x:c>
      <x:c r="L62" s="44" t="inlineStr">
        <x:is>
          <x:t xml:space="preserve">Not started</x:t>
        </x:is>
      </x:c>
      <x:c r="M62" s="18" t="inlineStr">
        <x:is>
          <x:t xml:space="preserve"/>
        </x:is>
      </x:c>
    </x:row>
    <x:row r="63">
      <x:c r="A63" s="18" t="inlineStr">
        <x:is>
          <x:t xml:space="preserve">T178</x:t>
        </x:is>
      </x:c>
      <x:c r="B63" s="18" t="inlineStr">
        <x:is>
          <x:t xml:space="preserve">Adversarial Test</x:t>
        </x:is>
      </x:c>
      <x:c r="C63" s="18" t="inlineStr">
        <x:is>
          <x:t xml:space="preserve">Document storm test: 100 large PDFs uploaded simultaneously by 10 users</x:t>
        </x:is>
      </x:c>
      <x:c r="D63" s="18" t="inlineStr">
        <x:is>
          <x:t xml:space="preserve">Ingestion back-pressure, embedding queue depth, blob storage limits, processing fairness across tenants.</x:t>
        </x:is>
      </x:c>
      <x:c r="E63" s="31" t="inlineStr">
        <x:is>
          <x:t xml:space="preserve">P0</x:t>
        </x:is>
      </x:c>
      <x:c r="F63" s="39" t="inlineStr">
        <x:is>
          <x:t xml:space="preserve">2. CLAUDE DOES IT</x:t>
        </x:is>
      </x:c>
      <x:c r="G63" s="18" t="inlineStr">
        <x:is>
          <x:t xml:space="preserve">Anand</x:t>
        </x:is>
      </x:c>
      <x:c r="H63" s="18" t="inlineStr">
        <x:is>
          <x:t xml:space="preserve"/>
        </x:is>
      </x:c>
      <x:c r="I63" s="45" t="inlineStr">
        <x:is>
          <x:t xml:space="preserve">Claude (code)</x:t>
        </x:is>
      </x:c>
      <x:c r="J63" s="52" t="inlineStr">
        <x:is>
          <x:t xml:space="preserve">$0 (credits)</x:t>
        </x:is>
      </x:c>
      <x:c r="K63" s="84" t="inlineStr">
        <x:is>
          <x:t xml:space="preserve">Anytime</x:t>
        </x:is>
      </x:c>
      <x:c r="L63" s="44" t="inlineStr">
        <x:is>
          <x:t xml:space="preserve">Not started</x:t>
        </x:is>
      </x:c>
      <x:c r="M63" s="18" t="inlineStr">
        <x:is>
          <x:t xml:space="preserve"/>
        </x:is>
      </x:c>
    </x:row>
    <x:row r="64">
      <x:c r="A64" s="18" t="inlineStr">
        <x:is>
          <x:t xml:space="preserve">T190</x:t>
        </x:is>
      </x:c>
      <x:c r="B64" s="18" t="inlineStr">
        <x:is>
          <x:t xml:space="preserve">Adversarial Test</x:t>
        </x:is>
      </x:c>
      <x:c r="C64" s="18" t="inlineStr">
        <x:is>
          <x:t xml:space="preserve">Parser robustness test: corrupted PDFs, encrypted PDFs, 1000-page docs, scanned-only PDFs, multi-language</x:t>
        </x:is>
      </x:c>
      <x:c r="D64" s="18" t="inlineStr">
        <x:is>
          <x:t xml:space="preserve">Edge cases that break parsers in production. Each failure mode has a defined behavior (skip + alert vs fallback vs reject).</x:t>
        </x:is>
      </x:c>
      <x:c r="E64" s="31" t="inlineStr">
        <x:is>
          <x:t xml:space="preserve">P0</x:t>
        </x:is>
      </x:c>
      <x:c r="F64" s="39" t="inlineStr">
        <x:is>
          <x:t xml:space="preserve">2. CLAUDE DOES IT</x:t>
        </x:is>
      </x:c>
      <x:c r="G64" s="18" t="inlineStr">
        <x:is>
          <x:t xml:space="preserve">Anand</x:t>
        </x:is>
      </x:c>
      <x:c r="H64" s="18" t="inlineStr">
        <x:is>
          <x:t xml:space="preserve"/>
        </x:is>
      </x:c>
      <x:c r="I64" s="45" t="inlineStr">
        <x:is>
          <x:t xml:space="preserve">Claude (test suite)</x:t>
        </x:is>
      </x:c>
      <x:c r="J64" s="52" t="inlineStr">
        <x:is>
          <x:t xml:space="preserve">$0</x:t>
        </x:is>
      </x:c>
      <x:c r="K64" s="84" t="inlineStr">
        <x:is>
          <x:t xml:space="preserve">Anytime</x:t>
        </x:is>
      </x:c>
      <x:c r="L64" s="44" t="inlineStr">
        <x:is>
          <x:t xml:space="preserve">Not started</x:t>
        </x:is>
      </x:c>
      <x:c r="M64" s="18" t="inlineStr">
        <x:is>
          <x:t xml:space="preserve"/>
        </x:is>
      </x:c>
    </x:row>
    <x:row r="65">
      <x:c r="A65" s="18" t="inlineStr">
        <x:is>
          <x:t xml:space="preserve">T201</x:t>
        </x:is>
      </x:c>
      <x:c r="B65" s="18" t="inlineStr">
        <x:is>
          <x:t xml:space="preserve">Adversarial Test</x:t>
        </x:is>
      </x:c>
      <x:c r="C65" s="18" t="inlineStr">
        <x:is>
          <x:t xml:space="preserve">Paperclip abuse test: rapid-fire 50 uploads in 60 seconds + 1000-page upload + .exe in PDF wrapper</x:t>
        </x:is>
      </x:c>
      <x:c r="D65" s="18" t="inlineStr">
        <x:is>
          <x:t xml:space="preserve">Validates upload limits, virus scan, cost caps, queue fairness. Should not degrade other tenants.</x:t>
        </x:is>
      </x:c>
      <x:c r="E65" s="31" t="inlineStr">
        <x:is>
          <x:t xml:space="preserve">P0</x:t>
        </x:is>
      </x:c>
      <x:c r="F65" s="39" t="inlineStr">
        <x:is>
          <x:t xml:space="preserve">2. CLAUDE DOES IT</x:t>
        </x:is>
      </x:c>
      <x:c r="G65" s="18" t="inlineStr">
        <x:is>
          <x:t xml:space="preserve">Anand</x:t>
        </x:is>
      </x:c>
      <x:c r="H65" s="18" t="inlineStr">
        <x:is>
          <x:t xml:space="preserve"/>
        </x:is>
      </x:c>
      <x:c r="I65" s="45" t="inlineStr">
        <x:is>
          <x:t xml:space="preserve">Claude (code)</x:t>
        </x:is>
      </x:c>
      <x:c r="J65" s="52" t="inlineStr">
        <x:is>
          <x:t xml:space="preserve">$0</x:t>
        </x:is>
      </x:c>
      <x:c r="K65" s="84" t="inlineStr">
        <x:is>
          <x:t xml:space="preserve">Anytime</x:t>
        </x:is>
      </x:c>
      <x:c r="L65" s="44" t="inlineStr">
        <x:is>
          <x:t xml:space="preserve">Not started</x:t>
        </x:is>
      </x:c>
      <x:c r="M65" s="18" t="inlineStr">
        <x:is>
          <x:t xml:space="preserve"/>
        </x:is>
      </x:c>
    </x:row>
    <x:row r="66">
      <x:c r="A66" s="18" t="inlineStr">
        <x:is>
          <x:t xml:space="preserve">T176</x:t>
        </x:is>
      </x:c>
      <x:c r="B66" s="18" t="inlineStr">
        <x:is>
          <x:t xml:space="preserve">Adversarial Test</x:t>
        </x:is>
      </x:c>
      <x:c r="C66" s="18" t="inlineStr">
        <x:is>
          <x:t xml:space="preserve">Long-session memory test: 24h continuous agent conversation</x:t>
        </x:is>
      </x:c>
      <x:c r="D66" s="18" t="inlineStr">
        <x:is>
          <x:t xml:space="preserve">Agent context growth, prompt cache behavior, semantic drift. Detect when agent 'loses the plot'.</x:t>
        </x:is>
      </x:c>
      <x:c r="E66" s="32" t="inlineStr">
        <x:is>
          <x:t xml:space="preserve">P1</x:t>
        </x:is>
      </x:c>
      <x:c r="F66" s="39" t="inlineStr">
        <x:is>
          <x:t xml:space="preserve">2. CLAUDE DOES IT</x:t>
        </x:is>
      </x:c>
      <x:c r="G66" s="18" t="inlineStr">
        <x:is>
          <x:t xml:space="preserve">Anand</x:t>
        </x:is>
      </x:c>
      <x:c r="H66" s="18" t="inlineStr">
        <x:is>
          <x:t xml:space="preserve"/>
        </x:is>
      </x:c>
      <x:c r="I66" s="45" t="inlineStr">
        <x:is>
          <x:t xml:space="preserve">Claude (code)</x:t>
        </x:is>
      </x:c>
      <x:c r="J66" s="52" t="inlineStr">
        <x:is>
          <x:t xml:space="preserve">$0 (credits)</x:t>
        </x:is>
      </x:c>
      <x:c r="K66" s="84" t="inlineStr">
        <x:is>
          <x:t xml:space="preserve">Anytime</x:t>
        </x:is>
      </x:c>
      <x:c r="L66" s="44" t="inlineStr">
        <x:is>
          <x:t xml:space="preserve">Not started</x:t>
        </x:is>
      </x:c>
      <x:c r="M66" s="18" t="inlineStr">
        <x:is>
          <x:t xml:space="preserve"/>
        </x:is>
      </x:c>
    </x:row>
    <x:row r="67">
      <x:c r="A67" s="18" t="inlineStr">
        <x:is>
          <x:t xml:space="preserve">T179</x:t>
        </x:is>
      </x:c>
      <x:c r="B67" s="18" t="inlineStr">
        <x:is>
          <x:t xml:space="preserve">Adversarial Test</x:t>
        </x:is>
      </x:c>
      <x:c r="C67" s="18" t="inlineStr">
        <x:is>
          <x:t xml:space="preserve">100x agent army (chaos load) — stretch test capacity ceiling</x:t>
        </x:is>
      </x:c>
      <x:c r="D67" s="18" t="inlineStr">
        <x:is>
          <x:t xml:space="preserve">Push past 50-user target until something breaks. Document the cliff. Inform capacity planning.</x:t>
        </x:is>
      </x:c>
      <x:c r="E67" s="32" t="inlineStr">
        <x:is>
          <x:t xml:space="preserve">P1</x:t>
        </x:is>
      </x:c>
      <x:c r="F67" s="39" t="inlineStr">
        <x:is>
          <x:t xml:space="preserve">2. CLAUDE DOES IT</x:t>
        </x:is>
      </x:c>
      <x:c r="G67" s="18" t="inlineStr">
        <x:is>
          <x:t xml:space="preserve">Anand</x:t>
        </x:is>
      </x:c>
      <x:c r="H67" s="18" t="inlineStr">
        <x:is>
          <x:t xml:space="preserve"/>
        </x:is>
      </x:c>
      <x:c r="I67" s="45" t="inlineStr">
        <x:is>
          <x:t xml:space="preserve">Claude (code)</x:t>
        </x:is>
      </x:c>
      <x:c r="J67" s="52" t="inlineStr">
        <x:is>
          <x:t xml:space="preserve">$0 (consumes significant credits)</x:t>
        </x:is>
      </x:c>
      <x:c r="K67" s="84" t="inlineStr">
        <x:is>
          <x:t xml:space="preserve">Anytime</x:t>
        </x:is>
      </x:c>
      <x:c r="L67" s="44" t="inlineStr">
        <x:is>
          <x:t xml:space="preserve">Not started</x:t>
        </x:is>
      </x:c>
      <x:c r="M67" s="18" t="inlineStr">
        <x:is>
          <x:t xml:space="preserve"/>
        </x:is>
      </x:c>
    </x:row>
    <x:row r="68">
      <x:c r="A68" s="18" t="inlineStr">
        <x:is>
          <x:t xml:space="preserve">T180</x:t>
        </x:is>
      </x:c>
      <x:c r="B68" s="18" t="inlineStr">
        <x:is>
          <x:t xml:space="preserve">Adversarial Test</x:t>
        </x:is>
      </x:c>
      <x:c r="C68" s="18" t="inlineStr">
        <x:is>
          <x:t xml:space="preserve">Browser matrix smoke test (Chrome/Safari/Firefox/mobile)</x:t>
        </x:is>
      </x:c>
      <x:c r="D68" s="18" t="inlineStr">
        <x:is>
          <x:t xml:space="preserve">Playwright cross-browser run on every release. Catches browser-specific regressions.</x:t>
        </x:is>
      </x:c>
      <x:c r="E68" s="32" t="inlineStr">
        <x:is>
          <x:t xml:space="preserve">P1</x:t>
        </x:is>
      </x:c>
      <x:c r="F68" s="39" t="inlineStr">
        <x:is>
          <x:t xml:space="preserve">2. CLAUDE DOES IT</x:t>
        </x:is>
      </x:c>
      <x:c r="G68" s="18" t="inlineStr">
        <x:is>
          <x:t xml:space="preserve">Anand</x:t>
        </x:is>
      </x:c>
      <x:c r="H68" s="18" t="inlineStr">
        <x:is>
          <x:t xml:space="preserve"/>
        </x:is>
      </x:c>
      <x:c r="I68" s="45" t="inlineStr">
        <x:is>
          <x:t xml:space="preserve">Claude (workflow)</x:t>
        </x:is>
      </x:c>
      <x:c r="J68" s="52" t="inlineStr">
        <x:is>
          <x:t xml:space="preserve">$0</x:t>
        </x:is>
      </x:c>
      <x:c r="K68" s="84" t="inlineStr">
        <x:is>
          <x:t xml:space="preserve">Anytime</x:t>
        </x:is>
      </x:c>
      <x:c r="L68" s="44" t="inlineStr">
        <x:is>
          <x:t xml:space="preserve">Not started</x:t>
        </x:is>
      </x:c>
      <x:c r="M68" s="18" t="inlineStr">
        <x:is>
          <x:t xml:space="preserve"/>
        </x:is>
      </x:c>
    </x:row>
    <x:row r="69">
      <x:c r="A69" s="18" t="inlineStr">
        <x:is>
          <x:t xml:space="preserve">T182</x:t>
        </x:is>
      </x:c>
      <x:c r="B69" s="18" t="inlineStr">
        <x:is>
          <x:t xml:space="preserve">Adversarial Test</x:t>
        </x:is>
      </x:c>
      <x:c r="C69" s="18" t="inlineStr">
        <x:is>
          <x:t xml:space="preserve">Capture all adversarial test results in continuous quality dashboard</x:t>
        </x:is>
      </x:c>
      <x:c r="D69" s="18" t="inlineStr">
        <x:is>
          <x:t xml:space="preserve">Hallucination rate, agent-loop count, cost-attack defense, prompt-injection block rate. Trend over releases.</x:t>
        </x:is>
      </x:c>
      <x:c r="E69" s="32" t="inlineStr">
        <x:is>
          <x:t xml:space="preserve">P1</x:t>
        </x:is>
      </x:c>
      <x:c r="F69" s="39" t="inlineStr">
        <x:is>
          <x:t xml:space="preserve">2. CLAUDE DOES IT</x:t>
        </x:is>
      </x:c>
      <x:c r="G69" s="18" t="inlineStr">
        <x:is>
          <x:t xml:space="preserve">Anand</x:t>
        </x:is>
      </x:c>
      <x:c r="H69" s="18" t="inlineStr">
        <x:is>
          <x:t xml:space="preserve"/>
        </x:is>
      </x:c>
      <x:c r="I69" s="45" t="inlineStr">
        <x:is>
          <x:t xml:space="preserve">Claude (code+docs)</x:t>
        </x:is>
      </x:c>
      <x:c r="J69" s="52" t="inlineStr">
        <x:is>
          <x:t xml:space="preserve">$0</x:t>
        </x:is>
      </x:c>
      <x:c r="K69" s="84" t="inlineStr">
        <x:is>
          <x:t xml:space="preserve">Anytime</x:t>
        </x:is>
      </x:c>
      <x:c r="L69" s="44" t="inlineStr">
        <x:is>
          <x:t xml:space="preserve">Not started</x:t>
        </x:is>
      </x:c>
      <x:c r="M69" s="18" t="inlineStr">
        <x:is>
          <x:t xml:space="preserve"/>
        </x:is>
      </x:c>
    </x:row>
    <x:row r="70">
      <x:c r="A70" s="18" t="inlineStr">
        <x:is>
          <x:t xml:space="preserve">T181</x:t>
        </x:is>
      </x:c>
      <x:c r="B70" s="18" t="inlineStr">
        <x:is>
          <x:t xml:space="preserve">Adversarial Test</x:t>
        </x:is>
      </x:c>
      <x:c r="C70" s="18" t="inlineStr">
        <x:is>
          <x:t xml:space="preserve">Accessibility stress: screen reader + keyboard-only navigation through full workflows</x:t>
        </x:is>
      </x:c>
      <x:c r="D70" s="18" t="inlineStr">
        <x:is>
          <x:t xml:space="preserve">Beyond axe-core static check — actually navigate as a screen-reader user would. WCAG 2.1 AA compliance for F500.</x:t>
        </x:is>
      </x:c>
      <x:c r="E70" s="32" t="inlineStr">
        <x:is>
          <x:t xml:space="preserve">P1</x:t>
        </x:is>
      </x:c>
      <x:c r="F70" s="40" t="inlineStr">
        <x:is>
          <x:t xml:space="preserve">3. CLAUDE + YOU</x:t>
        </x:is>
      </x:c>
      <x:c r="G70" s="18" t="inlineStr">
        <x:is>
          <x:t xml:space="preserve">Anand</x:t>
        </x:is>
      </x:c>
      <x:c r="H70" s="18" t="inlineStr">
        <x:is>
          <x:t xml:space="preserve"/>
        </x:is>
      </x:c>
      <x:c r="I70" s="47" t="inlineStr">
        <x:is>
          <x:t xml:space="preserve">Claude + you (manual+auto)</x:t>
        </x:is>
      </x:c>
      <x:c r="J70" s="52" t="inlineStr">
        <x:is>
          <x:t xml:space="preserve">$0</x:t>
        </x:is>
      </x:c>
      <x:c r="K70" s="84" t="inlineStr">
        <x:is>
          <x:t xml:space="preserve">Anytime</x:t>
        </x:is>
      </x:c>
      <x:c r="L70" s="44" t="inlineStr">
        <x:is>
          <x:t xml:space="preserve">Not started</x:t>
        </x:is>
      </x:c>
      <x:c r="M70" s="18" t="inlineStr">
        <x:is>
          <x:t xml:space="preserve"/>
        </x:is>
      </x:c>
    </x:row>
    <x:row r="71">
      <x:c r="A71" s="18" t="inlineStr">
        <x:is>
          <x:t xml:space="preserve">T034</x:t>
        </x:is>
      </x:c>
      <x:c r="B71" s="18" t="inlineStr">
        <x:is>
          <x:t xml:space="preserve">Architecture</x:t>
        </x:is>
      </x:c>
      <x:c r="C71" s="18" t="inlineStr">
        <x:is>
          <x:t xml:space="preserve">Configure Clerk Organizations + SAML/OIDC SSO</x:t>
        </x:is>
      </x:c>
      <x:c r="D71" s="18" t="inlineStr">
        <x:is>
          <x:t xml:space="preserve">Pro/Enterprise plan. Map Entra/Okta groups → Clerk roles → RBAC.</x:t>
        </x:is>
      </x:c>
      <x:c r="E71" s="31" t="inlineStr">
        <x:is>
          <x:t xml:space="preserve">P0</x:t>
        </x:is>
      </x:c>
      <x:c r="F71" s="38" t="inlineStr">
        <x:is>
          <x:t xml:space="preserve">1. QUICK WIN</x:t>
        </x:is>
      </x:c>
      <x:c r="G71" s="18" t="inlineStr">
        <x:is>
          <x:t xml:space="preserve">Anand</x:t>
        </x:is>
      </x:c>
      <x:c r="H71" s="18" t="inlineStr">
        <x:is>
          <x:t xml:space="preserve">T128</x:t>
        </x:is>
      </x:c>
      <x:c r="I71" s="43" t="inlineStr">
        <x:is>
          <x:t xml:space="preserve">Self-serve + Claude (config)</x:t>
        </x:is>
      </x:c>
      <x:c r="J71" s="51" t="inlineStr">
        <x:is>
          <x:t xml:space="preserve">Part of Clerk subscription</x:t>
        </x:is>
      </x:c>
      <x:c r="K71" s="84" t="inlineStr">
        <x:is>
          <x:t xml:space="preserve">Anytime</x:t>
        </x:is>
      </x:c>
      <x:c r="L71" s="44" t="inlineStr">
        <x:is>
          <x:t xml:space="preserve">Not started</x:t>
        </x:is>
      </x:c>
      <x:c r="M71" s="18" t="inlineStr">
        <x:is>
          <x:t xml:space="preserve">Insist on SCIM for deprovisioning</x:t>
        </x:is>
      </x:c>
    </x:row>
    <x:row r="72">
      <x:c r="A72" s="18" t="inlineStr">
        <x:is>
          <x:t xml:space="preserve">T194</x:t>
        </x:is>
      </x:c>
      <x:c r="B72" s="18" t="inlineStr">
        <x:is>
          <x:t xml:space="preserve">Architecture</x:t>
        </x:is>
      </x:c>
      <x:c r="C72" s="18" t="inlineStr">
        <x:is>
          <x:t xml:space="preserve">Defender for Storage virus scan on every upload before parsing</x:t>
        </x:is>
      </x:c>
      <x:c r="D72" s="18" t="inlineStr">
        <x:is>
          <x:t xml:space="preserve">Azure-native, integrates with blob events. Prevents malware ingestion into customer tenant.</x:t>
        </x:is>
      </x:c>
      <x:c r="E72" s="31" t="inlineStr">
        <x:is>
          <x:t xml:space="preserve">P0</x:t>
        </x:is>
      </x:c>
      <x:c r="F72" s="38" t="inlineStr">
        <x:is>
          <x:t xml:space="preserve">1. QUICK WIN</x:t>
        </x:is>
      </x:c>
      <x:c r="G72" s="18" t="inlineStr">
        <x:is>
          <x:t xml:space="preserve">Anand</x:t>
        </x:is>
      </x:c>
      <x:c r="H72" s="18" t="inlineStr">
        <x:is>
          <x:t xml:space="preserve">T036</x:t>
        </x:is>
      </x:c>
      <x:c r="I72" s="43" t="inlineStr">
        <x:is>
          <x:t xml:space="preserve">Self-serve (Azure portal)</x:t>
        </x:is>
      </x:c>
      <x:c r="J72" s="51" t="inlineStr">
        <x:is>
          <x:t xml:space="preserve">~$10/mo per tenant (covered)</x:t>
        </x:is>
      </x:c>
      <x:c r="K72" s="84" t="inlineStr">
        <x:is>
          <x:t xml:space="preserve">Anytime</x:t>
        </x:is>
      </x:c>
      <x:c r="L72" s="44" t="inlineStr">
        <x:is>
          <x:t xml:space="preserve">Not started</x:t>
        </x:is>
      </x:c>
      <x:c r="M72" s="18" t="inlineStr">
        <x:is>
          <x:t xml:space="preserve"/>
        </x:is>
      </x:c>
    </x:row>
    <x:row r="73">
      <x:c r="A73" s="18" t="inlineStr">
        <x:is>
          <x:t xml:space="preserve">T043</x:t>
        </x:is>
      </x:c>
      <x:c r="B73" s="18" t="inlineStr">
        <x:is>
          <x:t xml:space="preserve">Architecture</x:t>
        </x:is>
      </x:c>
      <x:c r="C73" s="18" t="inlineStr">
        <x:is>
          <x:t xml:space="preserve">Set up status page (statuspage.io or instatus, ~$30/mo)</x:t>
        </x:is>
      </x:c>
      <x:c r="D73" s="18" t="inlineStr">
        <x:is>
          <x:t xml:space="preserve">F500 procurement will look for one.</x:t>
        </x:is>
      </x:c>
      <x:c r="E73" s="32" t="inlineStr">
        <x:is>
          <x:t xml:space="preserve">P1</x:t>
        </x:is>
      </x:c>
      <x:c r="F73" s="38" t="inlineStr">
        <x:is>
          <x:t xml:space="preserve">1. QUICK WIN</x:t>
        </x:is>
      </x:c>
      <x:c r="G73" s="18" t="inlineStr">
        <x:is>
          <x:t xml:space="preserve">Anand</x:t>
        </x:is>
      </x:c>
      <x:c r="H73" s="18" t="inlineStr">
        <x:is>
          <x:t xml:space="preserve"/>
        </x:is>
      </x:c>
      <x:c r="I73" s="43" t="inlineStr">
        <x:is>
          <x:t xml:space="preserve">Self-serve (instatus)</x:t>
        </x:is>
      </x:c>
      <x:c r="J73" s="51" t="inlineStr">
        <x:is>
          <x:t xml:space="preserve">$30-50/mo (instatus)</x:t>
        </x:is>
      </x:c>
      <x:c r="K73" s="84" t="inlineStr">
        <x:is>
          <x:t xml:space="preserve">Anytime</x:t>
        </x:is>
      </x:c>
      <x:c r="L73" s="44" t="inlineStr">
        <x:is>
          <x:t xml:space="preserve">Not started</x:t>
        </x:is>
      </x:c>
      <x:c r="M73" s="18" t="inlineStr">
        <x:is>
          <x:t xml:space="preserve"/>
        </x:is>
      </x:c>
    </x:row>
    <x:row r="74">
      <x:c r="A74" s="18" t="inlineStr">
        <x:is>
          <x:t xml:space="preserve">T027</x:t>
        </x:is>
      </x:c>
      <x:c r="B74" s="18" t="inlineStr">
        <x:is>
          <x:t xml:space="preserve">Architecture</x:t>
        </x:is>
      </x:c>
      <x:c r="C74" s="18" t="inlineStr">
        <x:is>
          <x:t xml:space="preserve">Write ADR: control plane vs private data plane separation</x:t>
        </x:is>
      </x:c>
      <x:c r="D74" s="18" t="inlineStr">
        <x:is>
          <x:t xml:space="preserve">App=multi-tenant Vercel. Data=per-client Azure. No cross-tenant reads ever.</x:t>
        </x:is>
      </x:c>
      <x:c r="E74" s="31" t="inlineStr">
        <x:is>
          <x:t xml:space="preserve">P0</x:t>
        </x:is>
      </x:c>
      <x:c r="F74" s="39" t="inlineStr">
        <x:is>
          <x:t xml:space="preserve">2. CLAUDE DOES IT</x:t>
        </x:is>
      </x:c>
      <x:c r="G74" s="18" t="inlineStr">
        <x:is>
          <x:t xml:space="preserve">Anand</x:t>
        </x:is>
      </x:c>
      <x:c r="H74" s="18" t="inlineStr">
        <x:is>
          <x:t xml:space="preserve"/>
        </x:is>
      </x:c>
      <x:c r="I74" s="45" t="inlineStr">
        <x:is>
          <x:t xml:space="preserve">Claude (draft)</x:t>
        </x:is>
      </x:c>
      <x:c r="J74" s="52" t="inlineStr">
        <x:is>
          <x:t xml:space="preserve">$0</x:t>
        </x:is>
      </x:c>
      <x:c r="K74" s="82" t="inlineStr">
        <x:is>
          <x:t xml:space="preserve">Pre-Resign</x:t>
        </x:is>
      </x:c>
      <x:c r="L74" s="44" t="inlineStr">
        <x:is>
          <x:t xml:space="preserve">Not started</x:t>
        </x:is>
      </x:c>
      <x:c r="M74" s="18" t="inlineStr">
        <x:is>
          <x:t xml:space="preserve">Foundation for every security conversation</x:t>
        </x:is>
      </x:c>
    </x:row>
    <x:row r="75">
      <x:c r="A75" s="18" t="inlineStr">
        <x:is>
          <x:t xml:space="preserve">T029</x:t>
        </x:is>
      </x:c>
      <x:c r="B75" s="18" t="inlineStr">
        <x:is>
          <x:t xml:space="preserve">Architecture</x:t>
        </x:is>
      </x:c>
      <x:c r="C75" s="18" t="inlineStr">
        <x:is>
          <x:t xml:space="preserve">Build IaC (Bicep/Terraform) for reproducible client tenant</x:t>
        </x:is>
      </x:c>
      <x:c r="D75" s="18" t="inlineStr">
        <x:is>
          <x:t xml:space="preserve">Every pilot deploys from same templates. Extend reports/2026-05-30-atlas-iac-e2e-live-prod/.</x:t>
        </x:is>
      </x:c>
      <x:c r="E75" s="31" t="inlineStr">
        <x:is>
          <x:t xml:space="preserve">P0</x:t>
        </x:is>
      </x:c>
      <x:c r="F75" s="39" t="inlineStr">
        <x:is>
          <x:t xml:space="preserve">2. CLAUDE DOES IT</x:t>
        </x:is>
      </x:c>
      <x:c r="G75" s="18" t="inlineStr">
        <x:is>
          <x:t xml:space="preserve">Anand</x:t>
        </x:is>
      </x:c>
      <x:c r="H75" s="18" t="inlineStr">
        <x:is>
          <x:t xml:space="preserve">T028</x:t>
        </x:is>
      </x:c>
      <x:c r="I75" s="45" t="inlineStr">
        <x:is>
          <x:t xml:space="preserve">Claude (code)</x:t>
        </x:is>
      </x:c>
      <x:c r="J75" s="52" t="inlineStr">
        <x:is>
          <x:t xml:space="preserve">$0 (founder time)</x:t>
        </x:is>
      </x:c>
      <x:c r="K75" s="84" t="inlineStr">
        <x:is>
          <x:t xml:space="preserve">Anytime</x:t>
        </x:is>
      </x:c>
      <x:c r="L75" s="44" t="inlineStr">
        <x:is>
          <x:t xml:space="preserve">Not started</x:t>
        </x:is>
      </x:c>
      <x:c r="M75" s="18" t="inlineStr">
        <x:is>
          <x:t xml:space="preserve"/>
        </x:is>
      </x:c>
    </x:row>
    <x:row r="76">
      <x:c r="A76" s="18" t="inlineStr">
        <x:is>
          <x:t xml:space="preserve">T030</x:t>
        </x:is>
      </x:c>
      <x:c r="B76" s="18" t="inlineStr">
        <x:is>
          <x:t xml:space="preserve">Architecture</x:t>
        </x:is>
      </x:c>
      <x:c r="C76" s="18" t="inlineStr">
        <x:is>
          <x:t xml:space="preserve">Implement tenant-scoped connection string resolution</x:t>
        </x:is>
      </x:c>
      <x:c r="D76" s="18" t="inlineStr">
        <x:is>
          <x:t xml:space="preserve">Clerk session → tenant ID → secrets vault → DB connection. First line of isolation.</x:t>
        </x:is>
      </x:c>
      <x:c r="E76" s="31" t="inlineStr">
        <x:is>
          <x:t xml:space="preserve">P0</x:t>
        </x:is>
      </x:c>
      <x:c r="F76" s="39" t="inlineStr">
        <x:is>
          <x:t xml:space="preserve">2. CLAUDE DOES IT</x:t>
        </x:is>
      </x:c>
      <x:c r="G76" s="18" t="inlineStr">
        <x:is>
          <x:t xml:space="preserve">Anand</x:t>
        </x:is>
      </x:c>
      <x:c r="H76" s="18" t="inlineStr">
        <x:is>
          <x:t xml:space="preserve">T027</x:t>
        </x:is>
      </x:c>
      <x:c r="I76" s="45" t="inlineStr">
        <x:is>
          <x:t xml:space="preserve">Claude (code)</x:t>
        </x:is>
      </x:c>
      <x:c r="J76" s="52" t="inlineStr">
        <x:is>
          <x:t xml:space="preserve">$0 (founder time)</x:t>
        </x:is>
      </x:c>
      <x:c r="K76" s="84" t="inlineStr">
        <x:is>
          <x:t xml:space="preserve">Anytime</x:t>
        </x:is>
      </x:c>
      <x:c r="L76" s="44" t="inlineStr">
        <x:is>
          <x:t xml:space="preserve">Not started</x:t>
        </x:is>
      </x:c>
      <x:c r="M76" s="18" t="inlineStr">
        <x:is>
          <x:t xml:space="preserve">Per-user RLS is second line</x:t>
        </x:is>
      </x:c>
    </x:row>
    <x:row r="77">
      <x:c r="A77" s="18" t="inlineStr">
        <x:is>
          <x:t xml:space="preserve">T032</x:t>
        </x:is>
      </x:c>
      <x:c r="B77" s="18" t="inlineStr">
        <x:is>
          <x:t xml:space="preserve">Architecture</x:t>
        </x:is>
      </x:c>
      <x:c r="C77" s="18" t="inlineStr">
        <x:is>
          <x:t xml:space="preserve">Build pre-ingest PHI/PII scanner (Microsoft Presidio)</x:t>
        </x:is>
      </x:c>
      <x:c r="D77" s="18" t="inlineStr">
        <x:is>
          <x:t xml:space="preserve">Quarantine + alert on detection. Protects you legally even with no PHI scope.</x:t>
        </x:is>
      </x:c>
      <x:c r="E77" s="31" t="inlineStr">
        <x:is>
          <x:t xml:space="preserve">P0</x:t>
        </x:is>
      </x:c>
      <x:c r="F77" s="39" t="inlineStr">
        <x:is>
          <x:t xml:space="preserve">2. CLAUDE DOES IT</x:t>
        </x:is>
      </x:c>
      <x:c r="G77" s="18" t="inlineStr">
        <x:is>
          <x:t xml:space="preserve">Anand</x:t>
        </x:is>
      </x:c>
      <x:c r="H77" s="18" t="inlineStr">
        <x:is>
          <x:t xml:space="preserve"/>
        </x:is>
      </x:c>
      <x:c r="I77" s="45" t="inlineStr">
        <x:is>
          <x:t xml:space="preserve">Claude (code)</x:t>
        </x:is>
      </x:c>
      <x:c r="J77" s="52" t="inlineStr">
        <x:is>
          <x:t xml:space="preserve">$0 (Presidio open-source)</x:t>
        </x:is>
      </x:c>
      <x:c r="K77" s="84" t="inlineStr">
        <x:is>
          <x:t xml:space="preserve">Anytime</x:t>
        </x:is>
      </x:c>
      <x:c r="L77" s="44" t="inlineStr">
        <x:is>
          <x:t xml:space="preserve">Not started</x:t>
        </x:is>
      </x:c>
      <x:c r="M77" s="18" t="inlineStr">
        <x:is>
          <x:t xml:space="preserve"/>
        </x:is>
      </x:c>
    </x:row>
    <x:row r="78">
      <x:c r="A78" s="18" t="inlineStr">
        <x:is>
          <x:t xml:space="preserve">T033</x:t>
        </x:is>
      </x:c>
      <x:c r="B78" s="18" t="inlineStr">
        <x:is>
          <x:t xml:space="preserve">Architecture</x:t>
        </x:is>
      </x:c>
      <x:c r="C78" s="18" t="inlineStr">
        <x:is>
          <x:t xml:space="preserve">Build token/consumption meter into the app</x:t>
        </x:is>
      </x:c>
      <x:c r="D78" s="18" t="inlineStr">
        <x:is>
          <x:t xml:space="preserve">Per-tenant LLM token usage. Show to client weekly. Cap enforcement.</x:t>
        </x:is>
      </x:c>
      <x:c r="E78" s="31" t="inlineStr">
        <x:is>
          <x:t xml:space="preserve">P0</x:t>
        </x:is>
      </x:c>
      <x:c r="F78" s="39" t="inlineStr">
        <x:is>
          <x:t xml:space="preserve">2. CLAUDE DOES IT</x:t>
        </x:is>
      </x:c>
      <x:c r="G78" s="18" t="inlineStr">
        <x:is>
          <x:t xml:space="preserve">Anand</x:t>
        </x:is>
      </x:c>
      <x:c r="H78" s="18" t="inlineStr">
        <x:is>
          <x:t xml:space="preserve"/>
        </x:is>
      </x:c>
      <x:c r="I78" s="45" t="inlineStr">
        <x:is>
          <x:t xml:space="preserve">Claude (code)</x:t>
        </x:is>
      </x:c>
      <x:c r="J78" s="52" t="inlineStr">
        <x:is>
          <x:t xml:space="preserve">$0 (founder time)</x:t>
        </x:is>
      </x:c>
      <x:c r="K78" s="84" t="inlineStr">
        <x:is>
          <x:t xml:space="preserve">Anytime</x:t>
        </x:is>
      </x:c>
      <x:c r="L78" s="44" t="inlineStr">
        <x:is>
          <x:t xml:space="preserve">Not started</x:t>
        </x:is>
      </x:c>
      <x:c r="M78" s="18" t="inlineStr">
        <x:is>
          <x:t xml:space="preserve">Without this you'll lose your shirt</x:t>
        </x:is>
      </x:c>
    </x:row>
    <x:row r="79">
      <x:c r="A79" s="18" t="inlineStr">
        <x:is>
          <x:t xml:space="preserve">T036</x:t>
        </x:is>
      </x:c>
      <x:c r="B79" s="18" t="inlineStr">
        <x:is>
          <x:t xml:space="preserve">Architecture</x:t>
        </x:is>
      </x:c>
      <x:c r="C79" s="18" t="inlineStr">
        <x:is>
          <x:t xml:space="preserve">Define Azure Blob upload pattern (SAS tokens, direct upload)</x:t>
        </x:is>
      </x:c>
      <x:c r="D79" s="18" t="inlineStr">
        <x:is>
          <x:t xml:space="preserve">Browser → blob, no data through control plane. Event Grid → processing.</x:t>
        </x:is>
      </x:c>
      <x:c r="E79" s="31" t="inlineStr">
        <x:is>
          <x:t xml:space="preserve">P0</x:t>
        </x:is>
      </x:c>
      <x:c r="F79" s="39" t="inlineStr">
        <x:is>
          <x:t xml:space="preserve">2. CLAUDE DOES IT</x:t>
        </x:is>
      </x:c>
      <x:c r="G79" s="18" t="inlineStr">
        <x:is>
          <x:t xml:space="preserve">Anand</x:t>
        </x:is>
      </x:c>
      <x:c r="H79" s="18" t="inlineStr">
        <x:is>
          <x:t xml:space="preserve"/>
        </x:is>
      </x:c>
      <x:c r="I79" s="45" t="inlineStr">
        <x:is>
          <x:t xml:space="preserve">Claude (code+docs)</x:t>
        </x:is>
      </x:c>
      <x:c r="J79" s="52" t="inlineStr">
        <x:is>
          <x:t xml:space="preserve">$0 (Azure native; covered by credits)</x:t>
        </x:is>
      </x:c>
      <x:c r="K79" s="84" t="inlineStr">
        <x:is>
          <x:t xml:space="preserve">Anytime</x:t>
        </x:is>
      </x:c>
      <x:c r="L79" s="44" t="inlineStr">
        <x:is>
          <x:t xml:space="preserve">Not started</x:t>
        </x:is>
      </x:c>
      <x:c r="M79" s="18" t="inlineStr">
        <x:is>
          <x:t xml:space="preserve">Standard Azure pattern, F500 IT knows it</x:t>
        </x:is>
      </x:c>
    </x:row>
    <x:row r="80">
      <x:c r="A80" s="18" t="inlineStr">
        <x:is>
          <x:t xml:space="preserve">T047</x:t>
        </x:is>
      </x:c>
      <x:c r="B80" s="18" t="inlineStr">
        <x:is>
          <x:t xml:space="preserve">Architecture</x:t>
        </x:is>
      </x:c>
      <x:c r="C80" s="18" t="inlineStr">
        <x:is>
          <x:t xml:space="preserve">Write incident response plan + 72h breach notification SLA</x:t>
        </x:is>
      </x:c>
      <x:c r="D80" s="18" t="inlineStr">
        <x:is>
          <x:t xml:space="preserve">Required for SOC 2 and most security questionnaires.</x:t>
        </x:is>
      </x:c>
      <x:c r="E80" s="31" t="inlineStr">
        <x:is>
          <x:t xml:space="preserve">P0</x:t>
        </x:is>
      </x:c>
      <x:c r="F80" s="39" t="inlineStr">
        <x:is>
          <x:t xml:space="preserve">2. CLAUDE DOES IT</x:t>
        </x:is>
      </x:c>
      <x:c r="G80" s="18" t="inlineStr">
        <x:is>
          <x:t xml:space="preserve">Anand</x:t>
        </x:is>
      </x:c>
      <x:c r="H80" s="18" t="inlineStr">
        <x:is>
          <x:t xml:space="preserve"/>
        </x:is>
      </x:c>
      <x:c r="I80" s="45" t="inlineStr">
        <x:is>
          <x:t xml:space="preserve">Claude (template)</x:t>
        </x:is>
      </x:c>
      <x:c r="J80" s="52" t="inlineStr">
        <x:is>
          <x:t xml:space="preserve">$0</x:t>
        </x:is>
      </x:c>
      <x:c r="K80" s="82" t="inlineStr">
        <x:is>
          <x:t xml:space="preserve">Pre-Resign</x:t>
        </x:is>
      </x:c>
      <x:c r="L80" s="44" t="inlineStr">
        <x:is>
          <x:t xml:space="preserve">Not started</x:t>
        </x:is>
      </x:c>
      <x:c r="M80" s="18" t="inlineStr">
        <x:is>
          <x:t xml:space="preserve"/>
        </x:is>
      </x:c>
    </x:row>
    <x:row r="81">
      <x:c r="A81" s="18" t="inlineStr">
        <x:is>
          <x:t xml:space="preserve">T161</x:t>
        </x:is>
      </x:c>
      <x:c r="B81" s="18" t="inlineStr">
        <x:is>
          <x:t xml:space="preserve">Architecture</x:t>
        </x:is>
      </x:c>
      <x:c r="C81" s="18" t="inlineStr">
        <x:is>
          <x:t xml:space="preserve">ADR: Why we stay on Vercel (not Azure-native control plane)</x:t>
        </x:is>
      </x:c>
      <x:c r="D81" s="18" t="inlineStr">
        <x:is>
          <x:t xml:space="preserve">Documents decision + criteria for revisiting. Reusable answer for every F500 security review. References: data plane IS in customer Azure; Marketplace listing gives MACC; co-sell still works.</x:t>
        </x:is>
      </x:c>
      <x:c r="E81" s="31" t="inlineStr">
        <x:is>
          <x:t xml:space="preserve">P0</x:t>
        </x:is>
      </x:c>
      <x:c r="F81" s="39" t="inlineStr">
        <x:is>
          <x:t xml:space="preserve">2. CLAUDE DOES IT</x:t>
        </x:is>
      </x:c>
      <x:c r="G81" s="18" t="inlineStr">
        <x:is>
          <x:t xml:space="preserve">Anand</x:t>
        </x:is>
      </x:c>
      <x:c r="H81" s="18" t="inlineStr">
        <x:is>
          <x:t xml:space="preserve">T078</x:t>
        </x:is>
      </x:c>
      <x:c r="I81" s="45" t="inlineStr">
        <x:is>
          <x:t xml:space="preserve">Claude (draft)</x:t>
        </x:is>
      </x:c>
      <x:c r="J81" s="52" t="inlineStr">
        <x:is>
          <x:t xml:space="preserve">$0</x:t>
        </x:is>
      </x:c>
      <x:c r="K81" s="84" t="inlineStr">
        <x:is>
          <x:t xml:space="preserve">Anytime</x:t>
        </x:is>
      </x:c>
      <x:c r="L81" s="44" t="inlineStr">
        <x:is>
          <x:t xml:space="preserve">Not started</x:t>
        </x:is>
      </x:c>
      <x:c r="M81" s="18" t="inlineStr">
        <x:is>
          <x:t xml:space="preserve"/>
        </x:is>
      </x:c>
    </x:row>
    <x:row r="82">
      <x:c r="A82" s="18" t="inlineStr">
        <x:is>
          <x:t xml:space="preserve">T183</x:t>
        </x:is>
      </x:c>
      <x:c r="B82" s="18" t="inlineStr">
        <x:is>
          <x:t xml:space="preserve">Architecture</x:t>
        </x:is>
      </x:c>
      <x:c r="C82" s="18" t="inlineStr">
        <x:is>
          <x:t xml:space="preserve">ADR: Document ingestion pipeline (parse-once → cache → reuse)</x:t>
        </x:is>
      </x:c>
      <x:c r="D82" s="18" t="inlineStr">
        <x:is>
          <x:t xml:space="preserve">Pre-parse PDFs/docx/xlsx via Azure AI Document Intelligence; cache markdown in customer blob (keyed by content hash); never send raw PDF to Claude. Stacks parse-once + RAG + Anthropic prompt caching = ~50-100x cheaper than naive 'PDF every turn'.</x:t>
        </x:is>
      </x:c>
      <x:c r="E82" s="31" t="inlineStr">
        <x:is>
          <x:t xml:space="preserve">P0</x:t>
        </x:is>
      </x:c>
      <x:c r="F82" s="39" t="inlineStr">
        <x:is>
          <x:t xml:space="preserve">2. CLAUDE DOES IT</x:t>
        </x:is>
      </x:c>
      <x:c r="G82" s="18" t="inlineStr">
        <x:is>
          <x:t xml:space="preserve">Anand</x:t>
        </x:is>
      </x:c>
      <x:c r="H82" s="18" t="inlineStr">
        <x:is>
          <x:t xml:space="preserve"/>
        </x:is>
      </x:c>
      <x:c r="I82" s="45" t="inlineStr">
        <x:is>
          <x:t xml:space="preserve">Claude (draft)</x:t>
        </x:is>
      </x:c>
      <x:c r="J82" s="52" t="inlineStr">
        <x:is>
          <x:t xml:space="preserve">$0</x:t>
        </x:is>
      </x:c>
      <x:c r="K82" s="84" t="inlineStr">
        <x:is>
          <x:t xml:space="preserve">Anytime</x:t>
        </x:is>
      </x:c>
      <x:c r="L82" s="44" t="inlineStr">
        <x:is>
          <x:t xml:space="preserve">Not started</x:t>
        </x:is>
      </x:c>
      <x:c r="M82" s="18" t="inlineStr">
        <x:is>
          <x:t xml:space="preserve"/>
        </x:is>
      </x:c>
    </x:row>
    <x:row r="83">
      <x:c r="A83" s="18" t="inlineStr">
        <x:is>
          <x:t xml:space="preserve">T184</x:t>
        </x:is>
      </x:c>
      <x:c r="B83" s="18" t="inlineStr">
        <x:is>
          <x:t xml:space="preserve">Architecture</x:t>
        </x:is>
      </x:c>
      <x:c r="C83" s="18" t="inlineStr">
        <x:is>
          <x:t xml:space="preserve">Integrate Azure AI Document Intelligence (Layout model) as primary PDF parser</x:t>
        </x:is>
      </x:c>
      <x:c r="D83" s="18" t="inlineStr">
        <x:is>
          <x:t xml:space="preserve">Runs in customer tenant → data residency preserved. Cost $0.10-1.50 per 20-page doc, covered by Founders Hub credits. Tables/forms/layout supported.</x:t>
        </x:is>
      </x:c>
      <x:c r="E83" s="31" t="inlineStr">
        <x:is>
          <x:t xml:space="preserve">P0</x:t>
        </x:is>
      </x:c>
      <x:c r="F83" s="39" t="inlineStr">
        <x:is>
          <x:t xml:space="preserve">2. CLAUDE DOES IT</x:t>
        </x:is>
      </x:c>
      <x:c r="G83" s="18" t="inlineStr">
        <x:is>
          <x:t xml:space="preserve">Anand</x:t>
        </x:is>
      </x:c>
      <x:c r="H83" s="18" t="inlineStr">
        <x:is>
          <x:t xml:space="preserve">T036</x:t>
        </x:is>
      </x:c>
      <x:c r="I83" s="45" t="inlineStr">
        <x:is>
          <x:t xml:space="preserve">Claude (code)</x:t>
        </x:is>
      </x:c>
      <x:c r="J83" s="52" t="inlineStr">
        <x:is>
          <x:t xml:space="preserve">$0 (covered by Azure credits)</x:t>
        </x:is>
      </x:c>
      <x:c r="K83" s="84" t="inlineStr">
        <x:is>
          <x:t xml:space="preserve">Anytime</x:t>
        </x:is>
      </x:c>
      <x:c r="L83" s="44" t="inlineStr">
        <x:is>
          <x:t xml:space="preserve">Not started</x:t>
        </x:is>
      </x:c>
      <x:c r="M83" s="18" t="inlineStr">
        <x:is>
          <x:t xml:space="preserve"/>
        </x:is>
      </x:c>
    </x:row>
    <x:row r="84">
      <x:c r="A84" s="18" t="inlineStr">
        <x:is>
          <x:t xml:space="preserve">T185</x:t>
        </x:is>
      </x:c>
      <x:c r="B84" s="18" t="inlineStr">
        <x:is>
          <x:t xml:space="preserve">Architecture</x:t>
        </x:is>
      </x:c>
      <x:c r="C84" s="18" t="inlineStr">
        <x:is>
          <x:t xml:space="preserve">Implement content-hash-keyed parse cache (idempotent re-uploads cost $0)</x:t>
        </x:is>
      </x:c>
      <x:c r="D84" s="18" t="inlineStr">
        <x:is>
          <x:t xml:space="preserve">Same file uploaded twice = one parse. Stored in customer blob as markdown + structure JSON. Invalidated only on content change.</x:t>
        </x:is>
      </x:c>
      <x:c r="E84" s="31" t="inlineStr">
        <x:is>
          <x:t xml:space="preserve">P0</x:t>
        </x:is>
      </x:c>
      <x:c r="F84" s="39" t="inlineStr">
        <x:is>
          <x:t xml:space="preserve">2. CLAUDE DOES IT</x:t>
        </x:is>
      </x:c>
      <x:c r="G84" s="18" t="inlineStr">
        <x:is>
          <x:t xml:space="preserve">Anand</x:t>
        </x:is>
      </x:c>
      <x:c r="H84" s="18" t="inlineStr">
        <x:is>
          <x:t xml:space="preserve"/>
        </x:is>
      </x:c>
      <x:c r="I84" s="45" t="inlineStr">
        <x:is>
          <x:t xml:space="preserve">Claude (code)</x:t>
        </x:is>
      </x:c>
      <x:c r="J84" s="52" t="inlineStr">
        <x:is>
          <x:t xml:space="preserve">$0 (Azure blob, credits)</x:t>
        </x:is>
      </x:c>
      <x:c r="K84" s="84" t="inlineStr">
        <x:is>
          <x:t xml:space="preserve">Anytime</x:t>
        </x:is>
      </x:c>
      <x:c r="L84" s="44" t="inlineStr">
        <x:is>
          <x:t xml:space="preserve">Not started</x:t>
        </x:is>
      </x:c>
      <x:c r="M84" s="18" t="inlineStr">
        <x:is>
          <x:t xml:space="preserve"/>
        </x:is>
      </x:c>
    </x:row>
    <x:row r="85">
      <x:c r="A85" s="18" t="inlineStr">
        <x:is>
          <x:t xml:space="preserve">T187</x:t>
        </x:is>
      </x:c>
      <x:c r="B85" s="18" t="inlineStr">
        <x:is>
          <x:t xml:space="preserve">Architecture</x:t>
        </x:is>
      </x:c>
      <x:c r="C85" s="18" t="inlineStr">
        <x:is>
          <x:t xml:space="preserve">Wire Anthropic prompt caching for parsed-doc + agent system prompts</x:t>
        </x:is>
      </x:c>
      <x:c r="D85" s="18" t="inlineStr">
        <x:is>
          <x:t xml:space="preserve">5-10x additional cost reduction on repeat chat sessions about the same doc. ephemeral cache lasts 5min, write cost = 25% premium, read cost = 90% discount.</x:t>
        </x:is>
      </x:c>
      <x:c r="E85" s="31" t="inlineStr">
        <x:is>
          <x:t xml:space="preserve">P0</x:t>
        </x:is>
      </x:c>
      <x:c r="F85" s="39" t="inlineStr">
        <x:is>
          <x:t xml:space="preserve">2. CLAUDE DOES IT</x:t>
        </x:is>
      </x:c>
      <x:c r="G85" s="18" t="inlineStr">
        <x:is>
          <x:t xml:space="preserve">Anand</x:t>
        </x:is>
      </x:c>
      <x:c r="H85" s="18" t="inlineStr">
        <x:is>
          <x:t xml:space="preserve"/>
        </x:is>
      </x:c>
      <x:c r="I85" s="45" t="inlineStr">
        <x:is>
          <x:t xml:space="preserve">Claude (code)</x:t>
        </x:is>
      </x:c>
      <x:c r="J85" s="52" t="inlineStr">
        <x:is>
          <x:t xml:space="preserve">$0 (config)</x:t>
        </x:is>
      </x:c>
      <x:c r="K85" s="84" t="inlineStr">
        <x:is>
          <x:t xml:space="preserve">Anytime</x:t>
        </x:is>
      </x:c>
      <x:c r="L85" s="44" t="inlineStr">
        <x:is>
          <x:t xml:space="preserve">Not started</x:t>
        </x:is>
      </x:c>
      <x:c r="M85" s="18" t="inlineStr">
        <x:is>
          <x:t xml:space="preserve"/>
        </x:is>
      </x:c>
    </x:row>
    <x:row r="86">
      <x:c r="A86" s="18" t="inlineStr">
        <x:is>
          <x:t xml:space="preserve">T188</x:t>
        </x:is>
      </x:c>
      <x:c r="B86" s="18" t="inlineStr">
        <x:is>
          <x:t xml:space="preserve">Architecture</x:t>
        </x:is>
      </x:c>
      <x:c r="C86" s="18" t="inlineStr">
        <x:is>
          <x:t xml:space="preserve">Skip Claude native PDF in production paths (fallback only)</x:t>
        </x:is>
      </x:c>
      <x:c r="D86" s="18" t="inlineStr">
        <x:is>
          <x:t xml:space="preserve">Only use when both Doc Intelligence + Marker fail. Log every fallback as a parsing-bug ticket. Default mode = pre-parsed markdown.</x:t>
        </x:is>
      </x:c>
      <x:c r="E86" s="31" t="inlineStr">
        <x:is>
          <x:t xml:space="preserve">P0</x:t>
        </x:is>
      </x:c>
      <x:c r="F86" s="39" t="inlineStr">
        <x:is>
          <x:t xml:space="preserve">2. CLAUDE DOES IT</x:t>
        </x:is>
      </x:c>
      <x:c r="G86" s="18" t="inlineStr">
        <x:is>
          <x:t xml:space="preserve">Anand</x:t>
        </x:is>
      </x:c>
      <x:c r="H86" s="18" t="inlineStr">
        <x:is>
          <x:t xml:space="preserve"/>
        </x:is>
      </x:c>
      <x:c r="I86" s="45" t="inlineStr">
        <x:is>
          <x:t xml:space="preserve">Claude (code+docs)</x:t>
        </x:is>
      </x:c>
      <x:c r="J86" s="52" t="inlineStr">
        <x:is>
          <x:t xml:space="preserve">$0</x:t>
        </x:is>
      </x:c>
      <x:c r="K86" s="84" t="inlineStr">
        <x:is>
          <x:t xml:space="preserve">Anytime</x:t>
        </x:is>
      </x:c>
      <x:c r="L86" s="44" t="inlineStr">
        <x:is>
          <x:t xml:space="preserve">Not started</x:t>
        </x:is>
      </x:c>
      <x:c r="M86" s="18" t="inlineStr">
        <x:is>
          <x:t xml:space="preserve"/>
        </x:is>
      </x:c>
    </x:row>
    <x:row r="87">
      <x:c r="A87" s="18" t="inlineStr">
        <x:is>
          <x:t xml:space="preserve">T191</x:t>
        </x:is>
      </x:c>
      <x:c r="B87" s="18" t="inlineStr">
        <x:is>
          <x:t xml:space="preserve">Architecture</x:t>
        </x:is>
      </x:c>
      <x:c r="C87" s="18" t="inlineStr">
        <x:is>
          <x:t xml:space="preserve">Chat-paperclip uploads route through SAME ingestion pipeline (no bypass)</x:t>
        </x:is>
      </x:c>
      <x:c r="D87" s="18" t="inlineStr">
        <x:is>
          <x:t xml:space="preserve">📎 in chat = browser → SAS-uploaded direct to customer blob → cache check → Doc Intelligence parse → cached markdown into chat context. No shortcuts to Claude native PDF.</x:t>
        </x:is>
      </x:c>
      <x:c r="E87" s="31" t="inlineStr">
        <x:is>
          <x:t xml:space="preserve">P0</x:t>
        </x:is>
      </x:c>
      <x:c r="F87" s="39" t="inlineStr">
        <x:is>
          <x:t xml:space="preserve">2. CLAUDE DOES IT</x:t>
        </x:is>
      </x:c>
      <x:c r="G87" s="18" t="inlineStr">
        <x:is>
          <x:t xml:space="preserve">Anand</x:t>
        </x:is>
      </x:c>
      <x:c r="H87" s="18" t="inlineStr">
        <x:is>
          <x:t xml:space="preserve">T036,T184</x:t>
        </x:is>
      </x:c>
      <x:c r="I87" s="45" t="inlineStr">
        <x:is>
          <x:t xml:space="preserve">Claude (code)</x:t>
        </x:is>
      </x:c>
      <x:c r="J87" s="52" t="inlineStr">
        <x:is>
          <x:t xml:space="preserve">$0</x:t>
        </x:is>
      </x:c>
      <x:c r="K87" s="84" t="inlineStr">
        <x:is>
          <x:t xml:space="preserve">Anytime</x:t>
        </x:is>
      </x:c>
      <x:c r="L87" s="44" t="inlineStr">
        <x:is>
          <x:t xml:space="preserve">Not started</x:t>
        </x:is>
      </x:c>
      <x:c r="M87" s="18" t="inlineStr">
        <x:is>
          <x:t xml:space="preserve"/>
        </x:is>
      </x:c>
    </x:row>
    <x:row r="88">
      <x:c r="A88" s="18" t="inlineStr">
        <x:is>
          <x:t xml:space="preserve">T192</x:t>
        </x:is>
      </x:c>
      <x:c r="B88" s="18" t="inlineStr">
        <x:is>
          <x:t xml:space="preserve">Architecture</x:t>
        </x:is>
      </x:c>
      <x:c r="C88" s="18" t="inlineStr">
        <x:is>
          <x:t xml:space="preserve">Streaming 'parsing...' UX indicator (page X of Y, time elapsed)</x:t>
        </x:is>
      </x:c>
      <x:c r="D88" s="18" t="inlineStr">
        <x:is>
          <x:t xml:space="preserve">Don't make user stare at a spinner. Show parse progress. Allow typing during parse; defer send until ready.</x:t>
        </x:is>
      </x:c>
      <x:c r="E88" s="31" t="inlineStr">
        <x:is>
          <x:t xml:space="preserve">P0</x:t>
        </x:is>
      </x:c>
      <x:c r="F88" s="39" t="inlineStr">
        <x:is>
          <x:t xml:space="preserve">2. CLAUDE DOES IT</x:t>
        </x:is>
      </x:c>
      <x:c r="G88" s="18" t="inlineStr">
        <x:is>
          <x:t xml:space="preserve">Anand</x:t>
        </x:is>
      </x:c>
      <x:c r="H88" s="18" t="inlineStr">
        <x:is>
          <x:t xml:space="preserve"/>
        </x:is>
      </x:c>
      <x:c r="I88" s="45" t="inlineStr">
        <x:is>
          <x:t xml:space="preserve">Claude (code)</x:t>
        </x:is>
      </x:c>
      <x:c r="J88" s="52" t="inlineStr">
        <x:is>
          <x:t xml:space="preserve">$0</x:t>
        </x:is>
      </x:c>
      <x:c r="K88" s="84" t="inlineStr">
        <x:is>
          <x:t xml:space="preserve">Anytime</x:t>
        </x:is>
      </x:c>
      <x:c r="L88" s="44" t="inlineStr">
        <x:is>
          <x:t xml:space="preserve">Not started</x:t>
        </x:is>
      </x:c>
      <x:c r="M88" s="18" t="inlineStr">
        <x:is>
          <x:t xml:space="preserve"/>
        </x:is>
      </x:c>
    </x:row>
    <x:row r="89">
      <x:c r="A89" s="18" t="inlineStr">
        <x:is>
          <x:t xml:space="preserve">T193</x:t>
        </x:is>
      </x:c>
      <x:c r="B89" s="18" t="inlineStr">
        <x:is>
          <x:t xml:space="preserve">Architecture</x:t>
        </x:is>
      </x:c>
      <x:c r="C89" s="18" t="inlineStr">
        <x:is>
          <x:t xml:space="preserve">Upload limits: max 500 pages, 100MB per file, N files per session, M files per day per user</x:t>
        </x:is>
      </x:c>
      <x:c r="D89" s="18" t="inlineStr">
        <x:is>
          <x:t xml:space="preserve">Prevents 1000-page PDF spam + cost runaway. Per-tenant configurable.</x:t>
        </x:is>
      </x:c>
      <x:c r="E89" s="31" t="inlineStr">
        <x:is>
          <x:t xml:space="preserve">P0</x:t>
        </x:is>
      </x:c>
      <x:c r="F89" s="39" t="inlineStr">
        <x:is>
          <x:t xml:space="preserve">2. CLAUDE DOES IT</x:t>
        </x:is>
      </x:c>
      <x:c r="G89" s="18" t="inlineStr">
        <x:is>
          <x:t xml:space="preserve">Anand</x:t>
        </x:is>
      </x:c>
      <x:c r="H89" s="18" t="inlineStr">
        <x:is>
          <x:t xml:space="preserve"/>
        </x:is>
      </x:c>
      <x:c r="I89" s="45" t="inlineStr">
        <x:is>
          <x:t xml:space="preserve">Claude (code+config)</x:t>
        </x:is>
      </x:c>
      <x:c r="J89" s="52" t="inlineStr">
        <x:is>
          <x:t xml:space="preserve">$0</x:t>
        </x:is>
      </x:c>
      <x:c r="K89" s="84" t="inlineStr">
        <x:is>
          <x:t xml:space="preserve">Anytime</x:t>
        </x:is>
      </x:c>
      <x:c r="L89" s="44" t="inlineStr">
        <x:is>
          <x:t xml:space="preserve">Not started</x:t>
        </x:is>
      </x:c>
      <x:c r="M89" s="18" t="inlineStr">
        <x:is>
          <x:t xml:space="preserve"/>
        </x:is>
      </x:c>
    </x:row>
    <x:row r="90">
      <x:c r="A90" s="18" t="inlineStr">
        <x:is>
          <x:t xml:space="preserve">T196</x:t>
        </x:is>
      </x:c>
      <x:c r="B90" s="18" t="inlineStr">
        <x:is>
          <x:t xml:space="preserve">Architecture</x:t>
        </x:is>
      </x:c>
      <x:c r="C90" s="18" t="inlineStr">
        <x:is>
          <x:t xml:space="preserve">Supported format matrix: PDF / docx / xlsx / pptx / png / jpg / txt / csv / md</x:t>
        </x:is>
      </x:c>
      <x:c r="D90" s="18" t="inlineStr">
        <x:is>
          <x:t xml:space="preserve">Each format has a parser path: Doc Intelligence (PDF/img/scanned), python-docx (docx), openpyxl (xlsx), python-pptx (pptx), native text (txt/md), pandas (csv).</x:t>
        </x:is>
      </x:c>
      <x:c r="E90" s="31" t="inlineStr">
        <x:is>
          <x:t xml:space="preserve">P0</x:t>
        </x:is>
      </x:c>
      <x:c r="F90" s="39" t="inlineStr">
        <x:is>
          <x:t xml:space="preserve">2. CLAUDE DOES IT</x:t>
        </x:is>
      </x:c>
      <x:c r="G90" s="18" t="inlineStr">
        <x:is>
          <x:t xml:space="preserve">Anand</x:t>
        </x:is>
      </x:c>
      <x:c r="H90" s="18" t="inlineStr">
        <x:is>
          <x:t xml:space="preserve"/>
        </x:is>
      </x:c>
      <x:c r="I90" s="45" t="inlineStr">
        <x:is>
          <x:t xml:space="preserve">Claude (code+docs)</x:t>
        </x:is>
      </x:c>
      <x:c r="J90" s="52" t="inlineStr">
        <x:is>
          <x:t xml:space="preserve">$0</x:t>
        </x:is>
      </x:c>
      <x:c r="K90" s="84" t="inlineStr">
        <x:is>
          <x:t xml:space="preserve">Anytime</x:t>
        </x:is>
      </x:c>
      <x:c r="L90" s="44" t="inlineStr">
        <x:is>
          <x:t xml:space="preserve">Not started</x:t>
        </x:is>
      </x:c>
      <x:c r="M90" s="18" t="inlineStr">
        <x:is>
          <x:t xml:space="preserve"/>
        </x:is>
      </x:c>
    </x:row>
    <x:row r="91">
      <x:c r="A91" s="18" t="inlineStr">
        <x:is>
          <x:t xml:space="preserve">T197</x:t>
        </x:is>
      </x:c>
      <x:c r="B91" s="18" t="inlineStr">
        <x:is>
          <x:t xml:space="preserve">Architecture</x:t>
        </x:is>
      </x:c>
      <x:c r="C91" s="18" t="inlineStr">
        <x:is>
          <x:t xml:space="preserve">PHI/PII pre-scan inline in paperclip flow (before parse persists)</x:t>
        </x:is>
      </x:c>
      <x:c r="D91" s="18" t="inlineStr">
        <x:is>
          <x:t xml:space="preserve">Presidio scan on parsed text. On hit: quarantine + alert + offer user 'redact and continue' option. Same protection as bulk upload.</x:t>
        </x:is>
      </x:c>
      <x:c r="E91" s="31" t="inlineStr">
        <x:is>
          <x:t xml:space="preserve">P0</x:t>
        </x:is>
      </x:c>
      <x:c r="F91" s="39" t="inlineStr">
        <x:is>
          <x:t xml:space="preserve">2. CLAUDE DOES IT</x:t>
        </x:is>
      </x:c>
      <x:c r="G91" s="18" t="inlineStr">
        <x:is>
          <x:t xml:space="preserve">Anand</x:t>
        </x:is>
      </x:c>
      <x:c r="H91" s="18" t="inlineStr">
        <x:is>
          <x:t xml:space="preserve">T032</x:t>
        </x:is>
      </x:c>
      <x:c r="I91" s="45" t="inlineStr">
        <x:is>
          <x:t xml:space="preserve">Claude (code)</x:t>
        </x:is>
      </x:c>
      <x:c r="J91" s="52" t="inlineStr">
        <x:is>
          <x:t xml:space="preserve">$0 (Presidio free)</x:t>
        </x:is>
      </x:c>
      <x:c r="K91" s="84" t="inlineStr">
        <x:is>
          <x:t xml:space="preserve">Anytime</x:t>
        </x:is>
      </x:c>
      <x:c r="L91" s="44" t="inlineStr">
        <x:is>
          <x:t xml:space="preserve">Not started</x:t>
        </x:is>
      </x:c>
      <x:c r="M91" s="18" t="inlineStr">
        <x:is>
          <x:t xml:space="preserve"/>
        </x:is>
      </x:c>
    </x:row>
    <x:row r="92">
      <x:c r="A92" s="18" t="inlineStr">
        <x:is>
          <x:t xml:space="preserve">T035</x:t>
        </x:is>
      </x:c>
      <x:c r="B92" s="18" t="inlineStr">
        <x:is>
          <x:t xml:space="preserve">Architecture</x:t>
        </x:is>
      </x:c>
      <x:c r="C92" s="18" t="inlineStr">
        <x:is>
          <x:t xml:space="preserve">Build admin/ops surface (re-index, migrations, backfills)</x:t>
        </x:is>
      </x:c>
      <x:c r="D92" s="18" t="inlineStr">
        <x:is>
          <x:t xml:space="preserve">Replaces SSH into DB. All actions audit-logged.</x:t>
        </x:is>
      </x:c>
      <x:c r="E92" s="32" t="inlineStr">
        <x:is>
          <x:t xml:space="preserve">P1</x:t>
        </x:is>
      </x:c>
      <x:c r="F92" s="39" t="inlineStr">
        <x:is>
          <x:t xml:space="preserve">2. CLAUDE DOES IT</x:t>
        </x:is>
      </x:c>
      <x:c r="G92" s="18" t="inlineStr">
        <x:is>
          <x:t xml:space="preserve">Anand</x:t>
        </x:is>
      </x:c>
      <x:c r="H92" s="18" t="inlineStr">
        <x:is>
          <x:t xml:space="preserve"/>
        </x:is>
      </x:c>
      <x:c r="I92" s="45" t="inlineStr">
        <x:is>
          <x:t xml:space="preserve">Claude (code)</x:t>
        </x:is>
      </x:c>
      <x:c r="J92" s="52" t="inlineStr">
        <x:is>
          <x:t xml:space="preserve">$0 (founder time)</x:t>
        </x:is>
      </x:c>
      <x:c r="K92" s="84" t="inlineStr">
        <x:is>
          <x:t xml:space="preserve">Anytime</x:t>
        </x:is>
      </x:c>
      <x:c r="L92" s="44" t="inlineStr">
        <x:is>
          <x:t xml:space="preserve">Not started</x:t>
        </x:is>
      </x:c>
      <x:c r="M92" s="18" t="inlineStr">
        <x:is>
          <x:t xml:space="preserve"/>
        </x:is>
      </x:c>
    </x:row>
    <x:row r="93">
      <x:c r="A93" s="18" t="inlineStr">
        <x:is>
          <x:t xml:space="preserve">T037</x:t>
        </x:is>
      </x:c>
      <x:c r="B93" s="18" t="inlineStr">
        <x:is>
          <x:t xml:space="preserve">Architecture</x:t>
        </x:is>
      </x:c>
      <x:c r="C93" s="18" t="inlineStr">
        <x:is>
          <x:t xml:space="preserve">Define release lanes operationally (global vs client)</x:t>
        </x:is>
      </x:c>
      <x:c r="D93" s="18" t="inlineStr">
        <x:is>
          <x:t xml:space="preserve">AGENTS.md already encodes these. Wire feature flags + 48h gating.</x:t>
        </x:is>
      </x:c>
      <x:c r="E93" s="32" t="inlineStr">
        <x:is>
          <x:t xml:space="preserve">P1</x:t>
        </x:is>
      </x:c>
      <x:c r="F93" s="39" t="inlineStr">
        <x:is>
          <x:t xml:space="preserve">2. CLAUDE DOES IT</x:t>
        </x:is>
      </x:c>
      <x:c r="G93" s="18" t="inlineStr">
        <x:is>
          <x:t xml:space="preserve">Anand</x:t>
        </x:is>
      </x:c>
      <x:c r="H93" s="18" t="inlineStr">
        <x:is>
          <x:t xml:space="preserve"/>
        </x:is>
      </x:c>
      <x:c r="I93" s="45" t="inlineStr">
        <x:is>
          <x:t xml:space="preserve">Claude (config)</x:t>
        </x:is>
      </x:c>
      <x:c r="J93" s="52" t="inlineStr">
        <x:is>
          <x:t xml:space="preserve">$0</x:t>
        </x:is>
      </x:c>
      <x:c r="K93" s="84" t="inlineStr">
        <x:is>
          <x:t xml:space="preserve">Anytime</x:t>
        </x:is>
      </x:c>
      <x:c r="L93" s="44" t="inlineStr">
        <x:is>
          <x:t xml:space="preserve">Not started</x:t>
        </x:is>
      </x:c>
      <x:c r="M93" s="18" t="inlineStr">
        <x:is>
          <x:t xml:space="preserve"/>
        </x:is>
      </x:c>
    </x:row>
    <x:row r="94">
      <x:c r="A94" s="18" t="inlineStr">
        <x:is>
          <x:t xml:space="preserve">T040</x:t>
        </x:is>
      </x:c>
      <x:c r="B94" s="18" t="inlineStr">
        <x:is>
          <x:t xml:space="preserve">Architecture</x:t>
        </x:is>
      </x:c>
      <x:c r="C94" s="18" t="inlineStr">
        <x:is>
          <x:t xml:space="preserve">Version + tag industry corpus releases (manifest + checksums)</x:t>
        </x:is>
      </x:c>
      <x:c r="D94" s="18" t="inlineStr">
        <x:is>
          <x:t xml:space="preserve">Per-client corpus pinning. Already at Wave 24.</x:t>
        </x:is>
      </x:c>
      <x:c r="E94" s="32" t="inlineStr">
        <x:is>
          <x:t xml:space="preserve">P1</x:t>
        </x:is>
      </x:c>
      <x:c r="F94" s="39" t="inlineStr">
        <x:is>
          <x:t xml:space="preserve">2. CLAUDE DOES IT</x:t>
        </x:is>
      </x:c>
      <x:c r="G94" s="18" t="inlineStr">
        <x:is>
          <x:t xml:space="preserve">Anand</x:t>
        </x:is>
      </x:c>
      <x:c r="H94" s="18" t="inlineStr">
        <x:is>
          <x:t xml:space="preserve"/>
        </x:is>
      </x:c>
      <x:c r="I94" s="45" t="inlineStr">
        <x:is>
          <x:t xml:space="preserve">Claude (script)</x:t>
        </x:is>
      </x:c>
      <x:c r="J94" s="52" t="inlineStr">
        <x:is>
          <x:t xml:space="preserve">$0</x:t>
        </x:is>
      </x:c>
      <x:c r="K94" s="84" t="inlineStr">
        <x:is>
          <x:t xml:space="preserve">Anytime</x:t>
        </x:is>
      </x:c>
      <x:c r="L94" s="44" t="inlineStr">
        <x:is>
          <x:t xml:space="preserve">Not started</x:t>
        </x:is>
      </x:c>
      <x:c r="M94" s="18" t="inlineStr">
        <x:is>
          <x:t xml:space="preserve"/>
        </x:is>
      </x:c>
    </x:row>
    <x:row r="95">
      <x:c r="A95" s="18" t="inlineStr">
        <x:is>
          <x:t xml:space="preserve">T041</x:t>
        </x:is>
      </x:c>
      <x:c r="B95" s="18" t="inlineStr">
        <x:is>
          <x:t xml:space="preserve">Architecture</x:t>
        </x:is>
      </x:c>
      <x:c r="C95" s="18" t="inlineStr">
        <x:is>
          <x:t xml:space="preserve">Set up immutable audit log (Azure Immutable Blob Storage)</x:t>
        </x:is>
      </x:c>
      <x:c r="D95" s="18" t="inlineStr">
        <x:is>
          <x:t xml:space="preserve">12-24 month retention. Client export on request.</x:t>
        </x:is>
      </x:c>
      <x:c r="E95" s="32" t="inlineStr">
        <x:is>
          <x:t xml:space="preserve">P1</x:t>
        </x:is>
      </x:c>
      <x:c r="F95" s="39" t="inlineStr">
        <x:is>
          <x:t xml:space="preserve">2. CLAUDE DOES IT</x:t>
        </x:is>
      </x:c>
      <x:c r="G95" s="18" t="inlineStr">
        <x:is>
          <x:t xml:space="preserve">Anand</x:t>
        </x:is>
      </x:c>
      <x:c r="H95" s="18" t="inlineStr">
        <x:is>
          <x:t xml:space="preserve"/>
        </x:is>
      </x:c>
      <x:c r="I95" s="45" t="inlineStr">
        <x:is>
          <x:t xml:space="preserve">Claude (code+Azure)</x:t>
        </x:is>
      </x:c>
      <x:c r="J95" s="51" t="inlineStr">
        <x:is>
          <x:t xml:space="preserve">~$50/mo Azure storage (covered)</x:t>
        </x:is>
      </x:c>
      <x:c r="K95" s="84" t="inlineStr">
        <x:is>
          <x:t xml:space="preserve">Anytime</x:t>
        </x:is>
      </x:c>
      <x:c r="L95" s="44" t="inlineStr">
        <x:is>
          <x:t xml:space="preserve">Not started</x:t>
        </x:is>
      </x:c>
      <x:c r="M95" s="18" t="inlineStr">
        <x:is>
          <x:t xml:space="preserve"/>
        </x:is>
      </x:c>
    </x:row>
    <x:row r="96">
      <x:c r="A96" s="18" t="inlineStr">
        <x:is>
          <x:t xml:space="preserve">T042</x:t>
        </x:is>
      </x:c>
      <x:c r="B96" s="18" t="inlineStr">
        <x:is>
          <x:t xml:space="preserve">Architecture</x:t>
        </x:is>
      </x:c>
      <x:c r="C96" s="18" t="inlineStr">
        <x:is>
          <x:t xml:space="preserve">Document DR + RPO/RTO (e.g., RPO 1h, RTO 4h)</x:t>
        </x:is>
      </x:c>
      <x:c r="D96" s="18" t="inlineStr">
        <x:is>
          <x:t xml:space="preserve">Test once. Document.</x:t>
        </x:is>
      </x:c>
      <x:c r="E96" s="32" t="inlineStr">
        <x:is>
          <x:t xml:space="preserve">P1</x:t>
        </x:is>
      </x:c>
      <x:c r="F96" s="39" t="inlineStr">
        <x:is>
          <x:t xml:space="preserve">2. CLAUDE DOES IT</x:t>
        </x:is>
      </x:c>
      <x:c r="G96" s="18" t="inlineStr">
        <x:is>
          <x:t xml:space="preserve">Anand</x:t>
        </x:is>
      </x:c>
      <x:c r="H96" s="18" t="inlineStr">
        <x:is>
          <x:t xml:space="preserve"/>
        </x:is>
      </x:c>
      <x:c r="I96" s="45" t="inlineStr">
        <x:is>
          <x:t xml:space="preserve">Claude (docs)</x:t>
        </x:is>
      </x:c>
      <x:c r="J96" s="52" t="inlineStr">
        <x:is>
          <x:t xml:space="preserve">$0 docs</x:t>
        </x:is>
      </x:c>
      <x:c r="K96" s="84" t="inlineStr">
        <x:is>
          <x:t xml:space="preserve">Anytime</x:t>
        </x:is>
      </x:c>
      <x:c r="L96" s="44" t="inlineStr">
        <x:is>
          <x:t xml:space="preserve">Not started</x:t>
        </x:is>
      </x:c>
      <x:c r="M96" s="18" t="inlineStr">
        <x:is>
          <x:t xml:space="preserve"/>
        </x:is>
      </x:c>
    </x:row>
    <x:row r="97">
      <x:c r="A97" s="18" t="inlineStr">
        <x:is>
          <x:t xml:space="preserve">T044</x:t>
        </x:is>
      </x:c>
      <x:c r="B97" s="18" t="inlineStr">
        <x:is>
          <x:t xml:space="preserve">Architecture</x:t>
        </x:is>
      </x:c>
      <x:c r="C97" s="18" t="inlineStr">
        <x:is>
          <x:t xml:space="preserve">Document encryption posture (AES-256 rest, TLS 1.2+ transit)</x:t>
        </x:is>
      </x:c>
      <x:c r="D97" s="18" t="inlineStr">
        <x:is>
          <x:t xml:space="preserve">Defaults across Vercel/Azure/Clerk. Just need to say it.</x:t>
        </x:is>
      </x:c>
      <x:c r="E97" s="32" t="inlineStr">
        <x:is>
          <x:t xml:space="preserve">P1</x:t>
        </x:is>
      </x:c>
      <x:c r="F97" s="39" t="inlineStr">
        <x:is>
          <x:t xml:space="preserve">2. CLAUDE DOES IT</x:t>
        </x:is>
      </x:c>
      <x:c r="G97" s="18" t="inlineStr">
        <x:is>
          <x:t xml:space="preserve">Anand</x:t>
        </x:is>
      </x:c>
      <x:c r="H97" s="18" t="inlineStr">
        <x:is>
          <x:t xml:space="preserve"/>
        </x:is>
      </x:c>
      <x:c r="I97" s="45" t="inlineStr">
        <x:is>
          <x:t xml:space="preserve">Claude (docs)</x:t>
        </x:is>
      </x:c>
      <x:c r="J97" s="52" t="inlineStr">
        <x:is>
          <x:t xml:space="preserve">$0 (Azure/Vercel defaults)</x:t>
        </x:is>
      </x:c>
      <x:c r="K97" s="84" t="inlineStr">
        <x:is>
          <x:t xml:space="preserve">Anytime</x:t>
        </x:is>
      </x:c>
      <x:c r="L97" s="44" t="inlineStr">
        <x:is>
          <x:t xml:space="preserve">Not started</x:t>
        </x:is>
      </x:c>
      <x:c r="M97" s="18" t="inlineStr">
        <x:is>
          <x:t xml:space="preserve"/>
        </x:is>
      </x:c>
    </x:row>
    <x:row r="98">
      <x:c r="A98" s="18" t="inlineStr">
        <x:is>
          <x:t xml:space="preserve">T048</x:t>
        </x:is>
      </x:c>
      <x:c r="B98" s="18" t="inlineStr">
        <x:is>
          <x:t xml:space="preserve">Architecture</x:t>
        </x:is>
      </x:c>
      <x:c r="C98" s="18" t="inlineStr">
        <x:is>
          <x:t xml:space="preserve">Define data return/deletion runbook (30-day post-termination)</x:t>
        </x:is>
      </x:c>
      <x:c r="D98" s="18" t="inlineStr">
        <x:is>
          <x:t xml:space="preserve">Written certification of deletion.</x:t>
        </x:is>
      </x:c>
      <x:c r="E98" s="32" t="inlineStr">
        <x:is>
          <x:t xml:space="preserve">P1</x:t>
        </x:is>
      </x:c>
      <x:c r="F98" s="39" t="inlineStr">
        <x:is>
          <x:t xml:space="preserve">2. CLAUDE DOES IT</x:t>
        </x:is>
      </x:c>
      <x:c r="G98" s="18" t="inlineStr">
        <x:is>
          <x:t xml:space="preserve">Anand</x:t>
        </x:is>
      </x:c>
      <x:c r="H98" s="18" t="inlineStr">
        <x:is>
          <x:t xml:space="preserve"/>
        </x:is>
      </x:c>
      <x:c r="I98" s="45" t="inlineStr">
        <x:is>
          <x:t xml:space="preserve">Claude (runbook)</x:t>
        </x:is>
      </x:c>
      <x:c r="J98" s="52" t="inlineStr">
        <x:is>
          <x:t xml:space="preserve">$0</x:t>
        </x:is>
      </x:c>
      <x:c r="K98" s="84" t="inlineStr">
        <x:is>
          <x:t xml:space="preserve">Anytime</x:t>
        </x:is>
      </x:c>
      <x:c r="L98" s="44" t="inlineStr">
        <x:is>
          <x:t xml:space="preserve">Not started</x:t>
        </x:is>
      </x:c>
      <x:c r="M98" s="18" t="inlineStr">
        <x:is>
          <x:t xml:space="preserve"/>
        </x:is>
      </x:c>
    </x:row>
    <x:row r="99">
      <x:c r="A99" s="18" t="inlineStr">
        <x:is>
          <x:t xml:space="preserve">T186</x:t>
        </x:is>
      </x:c>
      <x:c r="B99" s="18" t="inlineStr">
        <x:is>
          <x:t xml:space="preserve">Architecture</x:t>
        </x:is>
      </x:c>
      <x:c r="C99" s="18" t="inlineStr">
        <x:is>
          <x:t xml:space="preserve">Fallback parsers: Marker (self-hosted, free) and LlamaParse (3rd-party, paid)</x:t>
        </x:is>
      </x:c>
      <x:c r="D99" s="18" t="inlineStr">
        <x:is>
          <x:t xml:space="preserve">Marker on tricky docs Doc Intelligence misses. LlamaParse only for non-sensitive docs (3rd-party processing) — with customer consent. Document the decision tree.</x:t>
        </x:is>
      </x:c>
      <x:c r="E99" s="32" t="inlineStr">
        <x:is>
          <x:t xml:space="preserve">P1</x:t>
        </x:is>
      </x:c>
      <x:c r="F99" s="39" t="inlineStr">
        <x:is>
          <x:t xml:space="preserve">2. CLAUDE DOES IT</x:t>
        </x:is>
      </x:c>
      <x:c r="G99" s="18" t="inlineStr">
        <x:is>
          <x:t xml:space="preserve">Anand</x:t>
        </x:is>
      </x:c>
      <x:c r="H99" s="18" t="inlineStr">
        <x:is>
          <x:t xml:space="preserve"/>
        </x:is>
      </x:c>
      <x:c r="I99" s="45" t="inlineStr">
        <x:is>
          <x:t xml:space="preserve">Claude (code+docs)</x:t>
        </x:is>
      </x:c>
      <x:c r="J99" s="52" t="inlineStr">
        <x:is>
          <x:t xml:space="preserve">Marker: $0 / LlamaParse: ~$0.003-0.015/page</x:t>
        </x:is>
      </x:c>
      <x:c r="K99" s="84" t="inlineStr">
        <x:is>
          <x:t xml:space="preserve">Anytime</x:t>
        </x:is>
      </x:c>
      <x:c r="L99" s="44" t="inlineStr">
        <x:is>
          <x:t xml:space="preserve">Not started</x:t>
        </x:is>
      </x:c>
      <x:c r="M99" s="18" t="inlineStr">
        <x:is>
          <x:t xml:space="preserve"/>
        </x:is>
      </x:c>
    </x:row>
    <x:row r="100">
      <x:c r="A100" s="18" t="inlineStr">
        <x:is>
          <x:t xml:space="preserve">T189</x:t>
        </x:is>
      </x:c>
      <x:c r="B100" s="18" t="inlineStr">
        <x:is>
          <x:t xml:space="preserve">Architecture</x:t>
        </x:is>
      </x:c>
      <x:c r="C100" s="18" t="inlineStr">
        <x:is>
          <x:t xml:space="preserve">Cost-per-document dashboard (parse cost + chat cost + cache hit rate)</x:t>
        </x:is>
      </x:c>
      <x:c r="D100" s="18" t="inlineStr">
        <x:is>
          <x:t xml:space="preserve">Per-tenant per-doc economics. Surface to client weekly. Validates the token meter and informs pricing.</x:t>
        </x:is>
      </x:c>
      <x:c r="E100" s="32" t="inlineStr">
        <x:is>
          <x:t xml:space="preserve">P1</x:t>
        </x:is>
      </x:c>
      <x:c r="F100" s="39" t="inlineStr">
        <x:is>
          <x:t xml:space="preserve">2. CLAUDE DOES IT</x:t>
        </x:is>
      </x:c>
      <x:c r="G100" s="18" t="inlineStr">
        <x:is>
          <x:t xml:space="preserve">Anand</x:t>
        </x:is>
      </x:c>
      <x:c r="H100" s="18" t="inlineStr">
        <x:is>
          <x:t xml:space="preserve">T033</x:t>
        </x:is>
      </x:c>
      <x:c r="I100" s="45" t="inlineStr">
        <x:is>
          <x:t xml:space="preserve">Claude (code)</x:t>
        </x:is>
      </x:c>
      <x:c r="J100" s="52" t="inlineStr">
        <x:is>
          <x:t xml:space="preserve">$0</x:t>
        </x:is>
      </x:c>
      <x:c r="K100" s="84" t="inlineStr">
        <x:is>
          <x:t xml:space="preserve">Anytime</x:t>
        </x:is>
      </x:c>
      <x:c r="L100" s="44" t="inlineStr">
        <x:is>
          <x:t xml:space="preserve">Not started</x:t>
        </x:is>
      </x:c>
      <x:c r="M100" s="18" t="inlineStr">
        <x:is>
          <x:t xml:space="preserve"/>
        </x:is>
      </x:c>
    </x:row>
    <x:row r="101">
      <x:c r="A101" s="18" t="inlineStr">
        <x:is>
          <x:t xml:space="preserve">T195</x:t>
        </x:is>
      </x:c>
      <x:c r="B101" s="18" t="inlineStr">
        <x:is>
          <x:t xml:space="preserve">Architecture</x:t>
        </x:is>
      </x:c>
      <x:c r="C101" s="18" t="inlineStr">
        <x:is>
          <x:t xml:space="preserve">Small-doc shortcut: docs &lt;4 pages AND &lt;500KB go to Claude native (faster, similar cost)</x:t>
        </x:is>
      </x:c>
      <x:c r="D101" s="18" t="inlineStr">
        <x:is>
          <x:t xml:space="preserve">Break-even analysis: 2-page PDF parse adds 3s latency for $0.003 saved. UX wins. Threshold configurable; default 4pp/500KB.</x:t>
        </x:is>
      </x:c>
      <x:c r="E101" s="32" t="inlineStr">
        <x:is>
          <x:t xml:space="preserve">P1</x:t>
        </x:is>
      </x:c>
      <x:c r="F101" s="39" t="inlineStr">
        <x:is>
          <x:t xml:space="preserve">2. CLAUDE DOES IT</x:t>
        </x:is>
      </x:c>
      <x:c r="G101" s="18" t="inlineStr">
        <x:is>
          <x:t xml:space="preserve">Anand</x:t>
        </x:is>
      </x:c>
      <x:c r="H101" s="18" t="inlineStr">
        <x:is>
          <x:t xml:space="preserve"/>
        </x:is>
      </x:c>
      <x:c r="I101" s="45" t="inlineStr">
        <x:is>
          <x:t xml:space="preserve">Claude (code)</x:t>
        </x:is>
      </x:c>
      <x:c r="J101" s="52" t="inlineStr">
        <x:is>
          <x:t xml:space="preserve">$0</x:t>
        </x:is>
      </x:c>
      <x:c r="K101" s="84" t="inlineStr">
        <x:is>
          <x:t xml:space="preserve">Anytime</x:t>
        </x:is>
      </x:c>
      <x:c r="L101" s="44" t="inlineStr">
        <x:is>
          <x:t xml:space="preserve">Not started</x:t>
        </x:is>
      </x:c>
      <x:c r="M101" s="18" t="inlineStr">
        <x:is>
          <x:t xml:space="preserve"/>
        </x:is>
      </x:c>
    </x:row>
    <x:row r="102">
      <x:c r="A102" s="18" t="inlineStr">
        <x:is>
          <x:t xml:space="preserve">T198</x:t>
        </x:is>
      </x:c>
      <x:c r="B102" s="18" t="inlineStr">
        <x:is>
          <x:t xml:space="preserve">Architecture</x:t>
        </x:is>
      </x:c>
      <x:c r="C102" s="18" t="inlineStr">
        <x:is>
          <x:t xml:space="preserve">Parsed-snippet preview after upload so user knows what got extracted</x:t>
        </x:is>
      </x:c>
      <x:c r="D102" s="18" t="inlineStr">
        <x:is>
          <x:t xml:space="preserve">Shows first 200 chars + table count + page count. Catches garbled parses BEFORE chat consumes tokens.</x:t>
        </x:is>
      </x:c>
      <x:c r="E102" s="32" t="inlineStr">
        <x:is>
          <x:t xml:space="preserve">P1</x:t>
        </x:is>
      </x:c>
      <x:c r="F102" s="39" t="inlineStr">
        <x:is>
          <x:t xml:space="preserve">2. CLAUDE DOES IT</x:t>
        </x:is>
      </x:c>
      <x:c r="G102" s="18" t="inlineStr">
        <x:is>
          <x:t xml:space="preserve">Anand</x:t>
        </x:is>
      </x:c>
      <x:c r="H102" s="18" t="inlineStr">
        <x:is>
          <x:t xml:space="preserve"/>
        </x:is>
      </x:c>
      <x:c r="I102" s="45" t="inlineStr">
        <x:is>
          <x:t xml:space="preserve">Claude (code)</x:t>
        </x:is>
      </x:c>
      <x:c r="J102" s="52" t="inlineStr">
        <x:is>
          <x:t xml:space="preserve">$0</x:t>
        </x:is>
      </x:c>
      <x:c r="K102" s="84" t="inlineStr">
        <x:is>
          <x:t xml:space="preserve">Anytime</x:t>
        </x:is>
      </x:c>
      <x:c r="L102" s="44" t="inlineStr">
        <x:is>
          <x:t xml:space="preserve">Not started</x:t>
        </x:is>
      </x:c>
      <x:c r="M102" s="18" t="inlineStr">
        <x:is>
          <x:t xml:space="preserve"/>
        </x:is>
      </x:c>
    </x:row>
    <x:row r="103">
      <x:c r="A103" s="18" t="inlineStr">
        <x:is>
          <x:t xml:space="preserve">T200</x:t>
        </x:is>
      </x:c>
      <x:c r="B103" s="18" t="inlineStr">
        <x:is>
          <x:t xml:space="preserve">Architecture</x:t>
        </x:is>
      </x:c>
      <x:c r="C103" s="18" t="inlineStr">
        <x:is>
          <x:t xml:space="preserve">Persist parse cache across sessions (Wave 2 evidence ledger)</x:t>
        </x:is>
      </x:c>
      <x:c r="D103" s="18" t="inlineStr">
        <x:is>
          <x:t xml:space="preserve">Per existing backlog memory: Wave 1 = chat-scoped, Wave 2 = persist. Parse cache is upstream of both; same content hash = same cached parse forever.</x:t>
        </x:is>
      </x:c>
      <x:c r="E103" s="32" t="inlineStr">
        <x:is>
          <x:t xml:space="preserve">P1</x:t>
        </x:is>
      </x:c>
      <x:c r="F103" s="39" t="inlineStr">
        <x:is>
          <x:t xml:space="preserve">2. CLAUDE DOES IT</x:t>
        </x:is>
      </x:c>
      <x:c r="G103" s="18" t="inlineStr">
        <x:is>
          <x:t xml:space="preserve">Anand</x:t>
        </x:is>
      </x:c>
      <x:c r="H103" s="18" t="inlineStr">
        <x:is>
          <x:t xml:space="preserve">T185</x:t>
        </x:is>
      </x:c>
      <x:c r="I103" s="45" t="inlineStr">
        <x:is>
          <x:t xml:space="preserve">Claude (code)</x:t>
        </x:is>
      </x:c>
      <x:c r="J103" s="52" t="inlineStr">
        <x:is>
          <x:t xml:space="preserve">$0</x:t>
        </x:is>
      </x:c>
      <x:c r="K103" s="84" t="inlineStr">
        <x:is>
          <x:t xml:space="preserve">Anytime</x:t>
        </x:is>
      </x:c>
      <x:c r="L103" s="44" t="inlineStr">
        <x:is>
          <x:t xml:space="preserve">Not started</x:t>
        </x:is>
      </x:c>
      <x:c r="M103" s="18" t="inlineStr">
        <x:is>
          <x:t xml:space="preserve"/>
        </x:is>
      </x:c>
    </x:row>
    <x:row r="104">
      <x:c r="A104" s="18" t="inlineStr">
        <x:is>
          <x:t xml:space="preserve">T282</x:t>
        </x:is>
      </x:c>
      <x:c r="B104" s="18" t="inlineStr">
        <x:is>
          <x:t xml:space="preserve">Architecture</x:t>
        </x:is>
      </x:c>
      <x:c r="C104" s="18" t="inlineStr">
        <x:is>
          <x:t xml:space="preserve">If YES: scope the 'Software Delivery' corpus wave (patterns, structure, sources)</x:t>
        </x:is>
      </x:c>
      <x:c r="D104" s="18" t="inlineStr">
        <x:is>
          <x:t xml:space="preserve">Industry frameworks (DORA, SAFe), AI-dev specific patterns, vendor governance patterns, ROI measurement.</x:t>
        </x:is>
      </x:c>
      <x:c r="E104" s="32" t="inlineStr">
        <x:is>
          <x:t xml:space="preserve">P1</x:t>
        </x:is>
      </x:c>
      <x:c r="F104" s="39" t="inlineStr">
        <x:is>
          <x:t xml:space="preserve">2. CLAUDE DOES IT</x:t>
        </x:is>
      </x:c>
      <x:c r="G104" s="18" t="inlineStr">
        <x:is>
          <x:t xml:space="preserve">Anand</x:t>
        </x:is>
      </x:c>
      <x:c r="H104" s="18" t="inlineStr">
        <x:is>
          <x:t xml:space="preserve"/>
        </x:is>
      </x:c>
      <x:c r="I104" s="45" t="inlineStr">
        <x:is>
          <x:t xml:space="preserve">Claude (draft) + you</x:t>
        </x:is>
      </x:c>
      <x:c r="J104" s="52" t="inlineStr">
        <x:is>
          <x:t xml:space="preserve">$0</x:t>
        </x:is>
      </x:c>
      <x:c r="K104" s="84" t="inlineStr">
        <x:is>
          <x:t xml:space="preserve">Anytime</x:t>
        </x:is>
      </x:c>
      <x:c r="L104" s="44" t="inlineStr">
        <x:is>
          <x:t xml:space="preserve">Not started</x:t>
        </x:is>
      </x:c>
      <x:c r="M104" s="18" t="inlineStr">
        <x:is>
          <x:t xml:space="preserve"/>
        </x:is>
      </x:c>
    </x:row>
    <x:row r="105">
      <x:c r="A105" s="18" t="inlineStr">
        <x:is>
          <x:t xml:space="preserve">T162</x:t>
        </x:is>
      </x:c>
      <x:c r="B105" s="18" t="inlineStr">
        <x:is>
          <x:t xml:space="preserve">Architecture</x:t>
        </x:is>
      </x:c>
      <x:c r="C105" s="18" t="inlineStr">
        <x:is>
          <x:t xml:space="preserve">Document per-customer Vercel deployment option (premium tier)</x:t>
        </x:is>
      </x:c>
      <x:c r="D105" s="18" t="inlineStr">
        <x:is>
          <x:t xml:space="preserve">For F500 clients demanding even tighter isolation: separate Vercel team per customer. Pricing: $XXk one-time + 30% uplift. Don't build until asked.</x:t>
        </x:is>
      </x:c>
      <x:c r="E105" s="49" t="inlineStr">
        <x:is>
          <x:t xml:space="preserve">P2</x:t>
        </x:is>
      </x:c>
      <x:c r="F105" s="39" t="inlineStr">
        <x:is>
          <x:t xml:space="preserve">2. CLAUDE DOES IT</x:t>
        </x:is>
      </x:c>
      <x:c r="G105" s="18" t="inlineStr">
        <x:is>
          <x:t xml:space="preserve">Anand</x:t>
        </x:is>
      </x:c>
      <x:c r="H105" s="18" t="inlineStr">
        <x:is>
          <x:t xml:space="preserve"/>
        </x:is>
      </x:c>
      <x:c r="I105" s="45" t="inlineStr">
        <x:is>
          <x:t xml:space="preserve">Claude (docs)</x:t>
        </x:is>
      </x:c>
      <x:c r="J105" s="52" t="inlineStr">
        <x:is>
          <x:t xml:space="preserve">$0</x:t>
        </x:is>
      </x:c>
      <x:c r="K105" s="84" t="inlineStr">
        <x:is>
          <x:t xml:space="preserve">Anytime</x:t>
        </x:is>
      </x:c>
      <x:c r="L105" s="44" t="inlineStr">
        <x:is>
          <x:t xml:space="preserve">Not started</x:t>
        </x:is>
      </x:c>
      <x:c r="M105" s="18" t="inlineStr">
        <x:is>
          <x:t xml:space="preserve"/>
        </x:is>
      </x:c>
    </x:row>
    <x:row r="106">
      <x:c r="A106" s="18" t="inlineStr">
        <x:is>
          <x:t xml:space="preserve">T199</x:t>
        </x:is>
      </x:c>
      <x:c r="B106" s="18" t="inlineStr">
        <x:is>
          <x:t xml:space="preserve">Architecture</x:t>
        </x:is>
      </x:c>
      <x:c r="C106" s="18" t="inlineStr">
        <x:is>
          <x:t xml:space="preserve">'Use raw mode' escape hatch (Claude native PDF as last resort with cost warning)</x:t>
        </x:is>
      </x:c>
      <x:c r="D106" s="18" t="inlineStr">
        <x:is>
          <x:t xml:space="preserve">If parser garbles a doc, user can opt into raw mode with explicit cost warning ('this will use ~Xk tokens per chat turn'). Logged as a parser-bug ticket.</x:t>
        </x:is>
      </x:c>
      <x:c r="E106" s="49" t="inlineStr">
        <x:is>
          <x:t xml:space="preserve">P2</x:t>
        </x:is>
      </x:c>
      <x:c r="F106" s="39" t="inlineStr">
        <x:is>
          <x:t xml:space="preserve">2. CLAUDE DOES IT</x:t>
        </x:is>
      </x:c>
      <x:c r="G106" s="18" t="inlineStr">
        <x:is>
          <x:t xml:space="preserve">Anand</x:t>
        </x:is>
      </x:c>
      <x:c r="H106" s="18" t="inlineStr">
        <x:is>
          <x:t xml:space="preserve"/>
        </x:is>
      </x:c>
      <x:c r="I106" s="45" t="inlineStr">
        <x:is>
          <x:t xml:space="preserve">Claude (code)</x:t>
        </x:is>
      </x:c>
      <x:c r="J106" s="52" t="inlineStr">
        <x:is>
          <x:t xml:space="preserve">$0</x:t>
        </x:is>
      </x:c>
      <x:c r="K106" s="84" t="inlineStr">
        <x:is>
          <x:t xml:space="preserve">Anytime</x:t>
        </x:is>
      </x:c>
      <x:c r="L106" s="44" t="inlineStr">
        <x:is>
          <x:t xml:space="preserve">Not started</x:t>
        </x:is>
      </x:c>
      <x:c r="M106" s="18" t="inlineStr">
        <x:is>
          <x:t xml:space="preserve"/>
        </x:is>
      </x:c>
    </x:row>
    <x:row r="107">
      <x:c r="A107" s="18" t="inlineStr">
        <x:is>
          <x:t xml:space="preserve">T045</x:t>
        </x:is>
      </x:c>
      <x:c r="B107" s="18" t="inlineStr">
        <x:is>
          <x:t xml:space="preserve">Architecture</x:t>
        </x:is>
      </x:c>
      <x:c r="C107" s="18" t="inlineStr">
        <x:is>
          <x:t xml:space="preserve">Plan for CMK/BYOK readiness (Azure Key Vault)</x:t>
        </x:is>
      </x:c>
      <x:c r="D107" s="18" t="inlineStr">
        <x:is>
          <x:t xml:space="preserve">Don't build until asked. Know the path.</x:t>
        </x:is>
      </x:c>
      <x:c r="E107" s="46" t="inlineStr">
        <x:is>
          <x:t xml:space="preserve">P3</x:t>
        </x:is>
      </x:c>
      <x:c r="F107" s="39" t="inlineStr">
        <x:is>
          <x:t xml:space="preserve">2. CLAUDE DOES IT</x:t>
        </x:is>
      </x:c>
      <x:c r="G107" s="18" t="inlineStr">
        <x:is>
          <x:t xml:space="preserve">Anand</x:t>
        </x:is>
      </x:c>
      <x:c r="H107" s="18" t="inlineStr">
        <x:is>
          <x:t xml:space="preserve"/>
        </x:is>
      </x:c>
      <x:c r="I107" s="45" t="inlineStr">
        <x:is>
          <x:t xml:space="preserve">Claude (plan doc)</x:t>
        </x:is>
      </x:c>
      <x:c r="J107" s="52" t="inlineStr">
        <x:is>
          <x:t xml:space="preserve">$0 (plan only)</x:t>
        </x:is>
      </x:c>
      <x:c r="K107" s="84" t="inlineStr">
        <x:is>
          <x:t xml:space="preserve">Anytime</x:t>
        </x:is>
      </x:c>
      <x:c r="L107" s="44" t="inlineStr">
        <x:is>
          <x:t xml:space="preserve">Not started</x:t>
        </x:is>
      </x:c>
      <x:c r="M107" s="18" t="inlineStr">
        <x:is>
          <x:t xml:space="preserve"/>
        </x:is>
      </x:c>
    </x:row>
    <x:row r="108">
      <x:c r="A108" s="18" t="inlineStr">
        <x:is>
          <x:t xml:space="preserve">T028</x:t>
        </x:is>
      </x:c>
      <x:c r="B108" s="18" t="inlineStr">
        <x:is>
          <x:t xml:space="preserve">Architecture</x:t>
        </x:is>
      </x:c>
      <x:c r="C108" s="18" t="inlineStr">
        <x:is>
          <x:t xml:space="preserve">Decide deployment model: client-tenant Azure (recommended)</x:t>
        </x:is>
      </x:c>
      <x:c r="D108" s="18" t="inlineStr">
        <x:is>
          <x:t xml:space="preserve">Client owns Azure account/billing. You have scoped contributor role.</x:t>
        </x:is>
      </x:c>
      <x:c r="E108" s="31" t="inlineStr">
        <x:is>
          <x:t xml:space="preserve">P0</x:t>
        </x:is>
      </x:c>
      <x:c r="F108" s="40" t="inlineStr">
        <x:is>
          <x:t xml:space="preserve">3. CLAUDE + YOU</x:t>
        </x:is>
      </x:c>
      <x:c r="G108" s="18" t="inlineStr">
        <x:is>
          <x:t xml:space="preserve">Anand</x:t>
        </x:is>
      </x:c>
      <x:c r="H108" s="18" t="inlineStr">
        <x:is>
          <x:t xml:space="preserve"/>
        </x:is>
      </x:c>
      <x:c r="I108" s="47" t="inlineStr">
        <x:is>
          <x:t xml:space="preserve">Claude + you</x:t>
        </x:is>
      </x:c>
      <x:c r="J108" s="52" t="inlineStr">
        <x:is>
          <x:t xml:space="preserve">$0</x:t>
        </x:is>
      </x:c>
      <x:c r="K108" s="84" t="inlineStr">
        <x:is>
          <x:t xml:space="preserve">Anytime</x:t>
        </x:is>
      </x:c>
      <x:c r="L108" s="44" t="inlineStr">
        <x:is>
          <x:t xml:space="preserve">Not started</x:t>
        </x:is>
      </x:c>
      <x:c r="M108" s="18" t="inlineStr">
        <x:is>
          <x:t xml:space="preserve"/>
        </x:is>
      </x:c>
    </x:row>
    <x:row r="109">
      <x:c r="A109" s="18" t="inlineStr">
        <x:is>
          <x:t xml:space="preserve">T046</x:t>
        </x:is>
      </x:c>
      <x:c r="B109" s="18" t="inlineStr">
        <x:is>
          <x:t xml:space="preserve">Architecture</x:t>
        </x:is>
      </x:c>
      <x:c r="C109" s="18" t="inlineStr">
        <x:is>
          <x:t xml:space="preserve">Document key-person risk + runbook commitment in SOW</x:t>
        </x:is>
      </x:c>
      <x:c r="D109" s="18" t="inlineStr">
        <x:is>
          <x:t xml:space="preserve">Caps your obligation. Plan for second engineer post-conversion.</x:t>
        </x:is>
      </x:c>
      <x:c r="E109" s="32" t="inlineStr">
        <x:is>
          <x:t xml:space="preserve">P1</x:t>
        </x:is>
      </x:c>
      <x:c r="F109" s="40" t="inlineStr">
        <x:is>
          <x:t xml:space="preserve">3. CLAUDE + YOU</x:t>
        </x:is>
      </x:c>
      <x:c r="G109" s="18" t="inlineStr">
        <x:is>
          <x:t xml:space="preserve">Anand</x:t>
        </x:is>
      </x:c>
      <x:c r="H109" s="18" t="inlineStr">
        <x:is>
          <x:t xml:space="preserve"/>
        </x:is>
      </x:c>
      <x:c r="I109" s="47" t="inlineStr">
        <x:is>
          <x:t xml:space="preserve">Claude + you (SOW lang)</x:t>
        </x:is>
      </x:c>
      <x:c r="J109" s="52" t="inlineStr">
        <x:is>
          <x:t xml:space="preserve">$0</x:t>
        </x:is>
      </x:c>
      <x:c r="K109" s="84" t="inlineStr">
        <x:is>
          <x:t xml:space="preserve">Anytime</x:t>
        </x:is>
      </x:c>
      <x:c r="L109" s="44" t="inlineStr">
        <x:is>
          <x:t xml:space="preserve">Not started</x:t>
        </x:is>
      </x:c>
      <x:c r="M109" s="18" t="inlineStr">
        <x:is>
          <x:t xml:space="preserve"/>
        </x:is>
      </x:c>
    </x:row>
    <x:row r="110">
      <x:c r="A110" s="18" t="inlineStr">
        <x:is>
          <x:t xml:space="preserve">T031</x:t>
        </x:is>
      </x:c>
      <x:c r="B110" s="18" t="inlineStr">
        <x:is>
          <x:t xml:space="preserve">Architecture</x:t>
        </x:is>
      </x:c>
      <x:c r="C110" s="18" t="inlineStr">
        <x:is>
          <x:t xml:space="preserve">Run external pen test ($8-15k via Cobalt or Bishop Fox)</x:t>
        </x:is>
      </x:c>
      <x:c r="D110" s="18" t="inlineStr">
        <x:is>
          <x:t xml:space="preserve">F500 will ask for the report. Schedule early — booking is 3-4 weeks out.</x:t>
        </x:is>
      </x:c>
      <x:c r="E110" s="31" t="inlineStr">
        <x:is>
          <x:t xml:space="preserve">P0</x:t>
        </x:is>
      </x:c>
      <x:c r="F110" s="42" t="inlineStr">
        <x:is>
          <x:t xml:space="preserve">5. EXTERNAL</x:t>
        </x:is>
      </x:c>
      <x:c r="G110" s="18" t="inlineStr">
        <x:is>
          <x:t xml:space="preserve">Anand</x:t>
        </x:is>
      </x:c>
      <x:c r="H110" s="18" t="inlineStr">
        <x:is>
          <x:t xml:space="preserve">T029</x:t>
        </x:is>
      </x:c>
      <x:c r="I110" s="48" t="inlineStr">
        <x:is>
          <x:t xml:space="preserve">3rd party: Cobalt/Bishop Fox</x:t>
        </x:is>
      </x:c>
      <x:c r="J110" s="51" t="inlineStr">
        <x:is>
          <x:t xml:space="preserve">$8-15k one-time, annual</x:t>
        </x:is>
      </x:c>
      <x:c r="K110" s="84" t="inlineStr">
        <x:is>
          <x:t xml:space="preserve">Anytime</x:t>
        </x:is>
      </x:c>
      <x:c r="L110" s="44" t="inlineStr">
        <x:is>
          <x:t xml:space="preserve">Not started</x:t>
        </x:is>
      </x:c>
      <x:c r="M110" s="18" t="inlineStr">
        <x:is>
          <x:t xml:space="preserve"/>
        </x:is>
      </x:c>
    </x:row>
    <x:row r="111">
      <x:c r="A111" s="18" t="inlineStr">
        <x:is>
          <x:t xml:space="preserve">T281</x:t>
        </x:is>
      </x:c>
      <x:c r="B111" s="18" t="inlineStr">
        <x:is>
          <x:t xml:space="preserve">Architecture</x:t>
        </x:is>
      </x:c>
      <x:c r="C111" s="18" t="inlineStr">
        <x:is>
          <x:t xml:space="preserve">Decide: should AbarVa build a 'Software Delivery / AI-Led Dev' corpus wave?</x:t>
        </x:is>
      </x:c>
      <x:c r="D111" s="18" t="inlineStr">
        <x:is>
          <x:t xml:space="preserve">6-12 weeks to author. Unlocks CTO-buyer TAM. Differentiates from generic AI platforms. Strategic question for founder, not engineer.</x:t>
        </x:is>
      </x:c>
      <x:c r="E111" s="31" t="inlineStr">
        <x:is>
          <x:t xml:space="preserve">P0</x:t>
        </x:is>
      </x:c>
      <x:c r="F111" s="42" t="inlineStr">
        <x:is>
          <x:t xml:space="preserve">5. EXTERNAL</x:t>
        </x:is>
      </x:c>
      <x:c r="G111" s="18" t="inlineStr">
        <x:is>
          <x:t xml:space="preserve">Anand</x:t>
        </x:is>
      </x:c>
      <x:c r="H111" s="18" t="inlineStr">
        <x:is>
          <x:t xml:space="preserve"/>
        </x:is>
      </x:c>
      <x:c r="I111" s="48" t="inlineStr">
        <x:is>
          <x:t xml:space="preserve">You only (strategic decision)</x:t>
        </x:is>
      </x:c>
      <x:c r="J111" s="52" t="inlineStr">
        <x:is>
          <x:t xml:space="preserve">$0</x:t>
        </x:is>
      </x:c>
      <x:c r="K111" s="84" t="inlineStr">
        <x:is>
          <x:t xml:space="preserve">Anytime</x:t>
        </x:is>
      </x:c>
      <x:c r="L111" s="44" t="inlineStr">
        <x:is>
          <x:t xml:space="preserve">Not started</x:t>
        </x:is>
      </x:c>
      <x:c r="M111" s="18" t="inlineStr">
        <x:is>
          <x:t xml:space="preserve"/>
        </x:is>
      </x:c>
    </x:row>
    <x:row r="112">
      <x:c r="A112" s="18" t="inlineStr">
        <x:is>
          <x:t xml:space="preserve">T038</x:t>
        </x:is>
      </x:c>
      <x:c r="B112" s="18" t="inlineStr">
        <x:is>
          <x:t xml:space="preserve">Architecture</x:t>
        </x:is>
      </x:c>
      <x:c r="C112" s="18" t="inlineStr">
        <x:is>
          <x:t xml:space="preserve">Set weekly maintenance window + release notes cadence</x:t>
        </x:is>
      </x:c>
      <x:c r="D112" s="18" t="inlineStr">
        <x:is>
          <x:t xml:space="preserve">E.g., Sat 8pm ET. Friday release notes even when 'nothing changed'.</x:t>
        </x:is>
      </x:c>
      <x:c r="E112" s="32" t="inlineStr">
        <x:is>
          <x:t xml:space="preserve">P1</x:t>
        </x:is>
      </x:c>
      <x:c r="F112" s="42" t="inlineStr">
        <x:is>
          <x:t xml:space="preserve">5. EXTERNAL</x:t>
        </x:is>
      </x:c>
      <x:c r="G112" s="18" t="inlineStr">
        <x:is>
          <x:t xml:space="preserve">Anand</x:t>
        </x:is>
      </x:c>
      <x:c r="H112" s="18" t="inlineStr">
        <x:is>
          <x:t xml:space="preserve"/>
        </x:is>
      </x:c>
      <x:c r="I112" s="48" t="inlineStr">
        <x:is>
          <x:t xml:space="preserve">You only</x:t>
        </x:is>
      </x:c>
      <x:c r="J112" s="52" t="inlineStr">
        <x:is>
          <x:t xml:space="preserve">$0</x:t>
        </x:is>
      </x:c>
      <x:c r="K112" s="84" t="inlineStr">
        <x:is>
          <x:t xml:space="preserve">Anytime</x:t>
        </x:is>
      </x:c>
      <x:c r="L112" s="44" t="inlineStr">
        <x:is>
          <x:t xml:space="preserve">Not started</x:t>
        </x:is>
      </x:c>
      <x:c r="M112" s="18" t="inlineStr">
        <x:is>
          <x:t xml:space="preserve">Discipline + audit trail</x:t>
        </x:is>
      </x:c>
    </x:row>
    <x:row r="113">
      <x:c r="A113" s="18" t="inlineStr">
        <x:is>
          <x:t xml:space="preserve">T039</x:t>
        </x:is>
      </x:c>
      <x:c r="B113" s="18" t="inlineStr">
        <x:is>
          <x:t xml:space="preserve">Architecture</x:t>
        </x:is>
      </x:c>
      <x:c r="C113" s="18" t="inlineStr">
        <x:is>
          <x:t xml:space="preserve">Run rollback drill — document the runbook</x:t>
        </x:is>
      </x:c>
      <x:c r="D113" s="18" t="inlineStr">
        <x:is>
          <x:t xml:space="preserve">F500 procurement will ask. Do it once before pilot.</x:t>
        </x:is>
      </x:c>
      <x:c r="E113" s="32" t="inlineStr">
        <x:is>
          <x:t xml:space="preserve">P1</x:t>
        </x:is>
      </x:c>
      <x:c r="F113" s="42" t="inlineStr">
        <x:is>
          <x:t xml:space="preserve">5. EXTERNAL</x:t>
        </x:is>
      </x:c>
      <x:c r="G113" s="18" t="inlineStr">
        <x:is>
          <x:t xml:space="preserve">Anand</x:t>
        </x:is>
      </x:c>
      <x:c r="H113" s="18" t="inlineStr">
        <x:is>
          <x:t xml:space="preserve">T029</x:t>
        </x:is>
      </x:c>
      <x:c r="I113" s="48" t="inlineStr">
        <x:is>
          <x:t xml:space="preserve">You only</x:t>
        </x:is>
      </x:c>
      <x:c r="J113" s="52" t="inlineStr">
        <x:is>
          <x:t xml:space="preserve">$0</x:t>
        </x:is>
      </x:c>
      <x:c r="K113" s="84" t="inlineStr">
        <x:is>
          <x:t xml:space="preserve">Anytime</x:t>
        </x:is>
      </x:c>
      <x:c r="L113" s="44" t="inlineStr">
        <x:is>
          <x:t xml:space="preserve">Not started</x:t>
        </x:is>
      </x:c>
      <x:c r="M113" s="18" t="inlineStr">
        <x:is>
          <x:t xml:space="preserve"/>
        </x:is>
      </x:c>
    </x:row>
    <x:row r="114">
      <x:c r="A114" s="18" t="inlineStr">
        <x:is>
          <x:t xml:space="preserve">T163</x:t>
        </x:is>
      </x:c>
      <x:c r="B114" s="18" t="inlineStr">
        <x:is>
          <x:t xml:space="preserve">Architecture</x:t>
        </x:is>
      </x:c>
      <x:c r="C114" s="18" t="inlineStr">
        <x:is>
          <x:t xml:space="preserve">Validate Marketplace + Azure-routed Claude story (no Vercel migration needed)</x:t>
        </x:is>
      </x:c>
      <x:c r="D114" s="18" t="inlineStr">
        <x:is>
          <x:t xml:space="preserve">Confirm with Microsoft: Marketplace listing supports MACC even when SaaS runs on Vercel. Get written confirmation.</x:t>
        </x:is>
      </x:c>
      <x:c r="E114" s="32" t="inlineStr">
        <x:is>
          <x:t xml:space="preserve">P1</x:t>
        </x:is>
      </x:c>
      <x:c r="F114" s="42" t="inlineStr">
        <x:is>
          <x:t xml:space="preserve">5. EXTERNAL</x:t>
        </x:is>
      </x:c>
      <x:c r="G114" s="18" t="inlineStr">
        <x:is>
          <x:t xml:space="preserve">Anand</x:t>
        </x:is>
      </x:c>
      <x:c r="H114" s="18" t="inlineStr">
        <x:is>
          <x:t xml:space="preserve"/>
        </x:is>
      </x:c>
      <x:c r="I114" s="48" t="inlineStr">
        <x:is>
          <x:t xml:space="preserve">You only + Microsoft contact</x:t>
        </x:is>
      </x:c>
      <x:c r="J114" s="52" t="inlineStr">
        <x:is>
          <x:t xml:space="preserve">$0</x:t>
        </x:is>
      </x:c>
      <x:c r="K114" s="84" t="inlineStr">
        <x:is>
          <x:t xml:space="preserve">Anytime</x:t>
        </x:is>
      </x:c>
      <x:c r="L114" s="44" t="inlineStr">
        <x:is>
          <x:t xml:space="preserve">Not started</x:t>
        </x:is>
      </x:c>
      <x:c r="M114" s="18" t="inlineStr">
        <x:is>
          <x:t xml:space="preserve"/>
        </x:is>
      </x:c>
    </x:row>
    <x:row r="115">
      <x:c r="A115" s="18" t="inlineStr">
        <x:is>
          <x:t xml:space="preserve">T002</x:t>
        </x:is>
      </x:c>
      <x:c r="B115" s="18" t="inlineStr">
        <x:is>
          <x:t xml:space="preserve">Business Setup</x:t>
        </x:is>
      </x:c>
      <x:c r="C115" s="18" t="inlineStr">
        <x:is>
          <x:t xml:space="preserve">File 83(b) election within 30 days of incorporation</x:t>
        </x:is>
      </x:c>
      <x:c r="D115" s="18" t="inlineStr">
        <x:is>
          <x:t xml:space="preserve">Miss this and you pay tax on every vest. Atlas/Clerky walk you through it.</x:t>
        </x:is>
      </x:c>
      <x:c r="E115" s="31" t="inlineStr">
        <x:is>
          <x:t xml:space="preserve">P0</x:t>
        </x:is>
      </x:c>
      <x:c r="F115" s="38" t="inlineStr">
        <x:is>
          <x:t xml:space="preserve">1. QUICK WIN</x:t>
        </x:is>
      </x:c>
      <x:c r="G115" s="18" t="inlineStr">
        <x:is>
          <x:t xml:space="preserve">Anand</x:t>
        </x:is>
      </x:c>
      <x:c r="H115" s="18" t="inlineStr">
        <x:is>
          <x:t xml:space="preserve">T001</x:t>
        </x:is>
      </x:c>
      <x:c r="I115" s="43" t="inlineStr">
        <x:is>
          <x:t xml:space="preserve">Self-serve (via Atlas/Clerky)</x:t>
        </x:is>
      </x:c>
      <x:c r="J115" s="52" t="inlineStr">
        <x:is>
          <x:t xml:space="preserve">$0</x:t>
        </x:is>
      </x:c>
      <x:c r="K115" s="82" t="inlineStr">
        <x:is>
          <x:t xml:space="preserve">Pre-Resign</x:t>
        </x:is>
      </x:c>
      <x:c r="L115" s="44" t="inlineStr">
        <x:is>
          <x:t xml:space="preserve">Not started</x:t>
        </x:is>
      </x:c>
      <x:c r="M115" s="18" t="inlineStr">
        <x:is>
          <x:t xml:space="preserve">HARD deadline — IRS will not waive</x:t>
        </x:is>
      </x:c>
    </x:row>
    <x:row r="116">
      <x:c r="A116" s="18" t="inlineStr">
        <x:is>
          <x:t xml:space="preserve">T003</x:t>
        </x:is>
      </x:c>
      <x:c r="B116" s="18" t="inlineStr">
        <x:is>
          <x:t xml:space="preserve">Business Setup</x:t>
        </x:is>
      </x:c>
      <x:c r="C116" s="18" t="inlineStr">
        <x:is>
          <x:t xml:space="preserve">Get EIN + open Mercury or Brex business banking</x:t>
        </x:is>
      </x:c>
      <x:c r="D116" s="18" t="inlineStr">
        <x:is>
          <x:t xml:space="preserve">Same-day after incorporation. Amex business card.</x:t>
        </x:is>
      </x:c>
      <x:c r="E116" s="31" t="inlineStr">
        <x:is>
          <x:t xml:space="preserve">P0</x:t>
        </x:is>
      </x:c>
      <x:c r="F116" s="38" t="inlineStr">
        <x:is>
          <x:t xml:space="preserve">1. QUICK WIN</x:t>
        </x:is>
      </x:c>
      <x:c r="G116" s="18" t="inlineStr">
        <x:is>
          <x:t xml:space="preserve">Anand</x:t>
        </x:is>
      </x:c>
      <x:c r="H116" s="18" t="inlineStr">
        <x:is>
          <x:t xml:space="preserve">T001</x:t>
        </x:is>
      </x:c>
      <x:c r="I116" s="43" t="inlineStr">
        <x:is>
          <x:t xml:space="preserve">Self-serve (auto via Atlas)</x:t>
        </x:is>
      </x:c>
      <x:c r="J116" s="52" t="inlineStr">
        <x:is>
          <x:t xml:space="preserve">$0</x:t>
        </x:is>
      </x:c>
      <x:c r="K116" s="82" t="inlineStr">
        <x:is>
          <x:t xml:space="preserve">Pre-Resign</x:t>
        </x:is>
      </x:c>
      <x:c r="L116" s="44" t="inlineStr">
        <x:is>
          <x:t xml:space="preserve">Not started</x:t>
        </x:is>
      </x:c>
      <x:c r="M116" s="18" t="inlineStr">
        <x:is>
          <x:t xml:space="preserve"/>
        </x:is>
      </x:c>
    </x:row>
    <x:row r="117">
      <x:c r="A117" s="18" t="inlineStr">
        <x:is>
          <x:t xml:space="preserve">T004</x:t>
        </x:is>
      </x:c>
      <x:c r="B117" s="18" t="inlineStr">
        <x:is>
          <x:t xml:space="preserve">Business Setup</x:t>
        </x:is>
      </x:c>
      <x:c r="C117" s="18" t="inlineStr">
        <x:is>
          <x:t xml:space="preserve">Foreign qualification in home state (if not Delaware)</x:t>
        </x:is>
      </x:c>
      <x:c r="D117" s="18" t="inlineStr">
        <x:is>
          <x:t xml:space="preserve">Register your DE C-Corp to do business in the state where you live/work. Required if nexus. ~$100-300.</x:t>
        </x:is>
      </x:c>
      <x:c r="E117" s="31" t="inlineStr">
        <x:is>
          <x:t xml:space="preserve">P0</x:t>
        </x:is>
      </x:c>
      <x:c r="F117" s="38" t="inlineStr">
        <x:is>
          <x:t xml:space="preserve">1. QUICK WIN</x:t>
        </x:is>
      </x:c>
      <x:c r="G117" s="18" t="inlineStr">
        <x:is>
          <x:t xml:space="preserve">Anand</x:t>
        </x:is>
      </x:c>
      <x:c r="H117" s="18" t="inlineStr">
        <x:is>
          <x:t xml:space="preserve">T001</x:t>
        </x:is>
      </x:c>
      <x:c r="I117" s="43" t="inlineStr">
        <x:is>
          <x:t xml:space="preserve">Self-serve</x:t>
        </x:is>
      </x:c>
      <x:c r="J117" s="51" t="inlineStr">
        <x:is>
          <x:t xml:space="preserve">$100-300 one-time</x:t>
        </x:is>
      </x:c>
      <x:c r="K117" s="82" t="inlineStr">
        <x:is>
          <x:t xml:space="preserve">Pre-Resign</x:t>
        </x:is>
      </x:c>
      <x:c r="L117" s="44" t="inlineStr">
        <x:is>
          <x:t xml:space="preserve">Not started</x:t>
        </x:is>
      </x:c>
      <x:c r="M117" s="18" t="inlineStr">
        <x:is>
          <x:t xml:space="preserve">Atlas/Clerky can handle as add-on; or your state's SoS portal</x:t>
        </x:is>
      </x:c>
    </x:row>
    <x:row r="118">
      <x:c r="A118" s="18" t="inlineStr">
        <x:is>
          <x:t xml:space="preserve">T135</x:t>
        </x:is>
      </x:c>
      <x:c r="B118" s="18" t="inlineStr">
        <x:is>
          <x:t xml:space="preserve">Business Setup</x:t>
        </x:is>
      </x:c>
      <x:c r="C118" s="18" t="inlineStr">
        <x:is>
          <x:t xml:space="preserve">Document the C Corp decision (entity choice memo)</x:t>
        </x:is>
      </x:c>
      <x:c r="D118" s="18" t="inlineStr">
        <x:is>
          <x:t xml:space="preserve">DECIDED: Delaware C Corp. 1-page memo: rationale (QSBS, fundraise optionality, F500 procurement, stock options for hires). Reference CPA confirmation. Stored with corp records.</x:t>
        </x:is>
      </x:c>
      <x:c r="E118" s="31" t="inlineStr">
        <x:is>
          <x:t xml:space="preserve">P0</x:t>
        </x:is>
      </x:c>
      <x:c r="F118" s="38" t="inlineStr">
        <x:is>
          <x:t xml:space="preserve">1. QUICK WIN</x:t>
        </x:is>
      </x:c>
      <x:c r="G118" s="18" t="inlineStr">
        <x:is>
          <x:t xml:space="preserve">Anand</x:t>
        </x:is>
      </x:c>
      <x:c r="H118" s="18" t="inlineStr">
        <x:is>
          <x:t xml:space="preserve">T012</x:t>
        </x:is>
      </x:c>
      <x:c r="I118" s="43" t="inlineStr">
        <x:is>
          <x:t xml:space="preserve">Claude (draft)</x:t>
        </x:is>
      </x:c>
      <x:c r="J118" s="52" t="inlineStr">
        <x:is>
          <x:t xml:space="preserve">$0</x:t>
        </x:is>
      </x:c>
      <x:c r="K118" s="84" t="inlineStr">
        <x:is>
          <x:t xml:space="preserve">Anytime</x:t>
        </x:is>
      </x:c>
      <x:c r="L118" s="44" t="inlineStr">
        <x:is>
          <x:t xml:space="preserve">Not started</x:t>
        </x:is>
      </x:c>
      <x:c r="M118" s="18" t="inlineStr">
        <x:is>
          <x:t xml:space="preserve">Decision locked 2026-05-31</x:t>
        </x:is>
      </x:c>
    </x:row>
    <x:row r="119">
      <x:c r="A119" s="18" t="inlineStr">
        <x:is>
          <x:t xml:space="preserve">T009</x:t>
        </x:is>
      </x:c>
      <x:c r="B119" s="18" t="inlineStr">
        <x:is>
          <x:t xml:space="preserve">Business Setup</x:t>
        </x:is>
      </x:c>
      <x:c r="C119" s="18" t="inlineStr">
        <x:is>
          <x:t xml:space="preserve">Lock domains: abarva.com, .ai, .io</x:t>
        </x:is>
      </x:c>
      <x:c r="D119" s="18" t="inlineStr">
        <x:is>
          <x:t xml:space="preserve">Defensive purchases.</x:t>
        </x:is>
      </x:c>
      <x:c r="E119" s="32" t="inlineStr">
        <x:is>
          <x:t xml:space="preserve">P1</x:t>
        </x:is>
      </x:c>
      <x:c r="F119" s="38" t="inlineStr">
        <x:is>
          <x:t xml:space="preserve">1. QUICK WIN</x:t>
        </x:is>
      </x:c>
      <x:c r="G119" s="18" t="inlineStr">
        <x:is>
          <x:t xml:space="preserve">Anand</x:t>
        </x:is>
      </x:c>
      <x:c r="H119" s="18" t="inlineStr">
        <x:is>
          <x:t xml:space="preserve"/>
        </x:is>
      </x:c>
      <x:c r="I119" s="43" t="inlineStr">
        <x:is>
          <x:t xml:space="preserve">Self-serve (Namecheap)</x:t>
        </x:is>
      </x:c>
      <x:c r="J119" s="51" t="inlineStr">
        <x:is>
          <x:t xml:space="preserve">$30-50/yr</x:t>
        </x:is>
      </x:c>
      <x:c r="K119" s="82" t="inlineStr">
        <x:is>
          <x:t xml:space="preserve">Pre-Resign</x:t>
        </x:is>
      </x:c>
      <x:c r="L119" s="44" t="inlineStr">
        <x:is>
          <x:t xml:space="preserve">Not started</x:t>
        </x:is>
      </x:c>
      <x:c r="M119" s="18" t="inlineStr">
        <x:is>
          <x:t xml:space="preserve"/>
        </x:is>
      </x:c>
    </x:row>
    <x:row r="120">
      <x:c r="A120" s="18" t="inlineStr">
        <x:is>
          <x:t xml:space="preserve">T008</x:t>
        </x:is>
      </x:c>
      <x:c r="B120" s="18" t="inlineStr">
        <x:is>
          <x:t xml:space="preserve">Business Setup</x:t>
        </x:is>
      </x:c>
      <x:c r="C120" s="18" t="inlineStr">
        <x:is>
          <x:t xml:space="preserve">Trademark 'AbarVa' with USPTO</x:t>
        </x:is>
      </x:c>
      <x:c r="D120" s="18" t="inlineStr">
        <x:is>
          <x:t xml:space="preserve">~$350 filing fee. Defensive.</x:t>
        </x:is>
      </x:c>
      <x:c r="E120" s="49" t="inlineStr">
        <x:is>
          <x:t xml:space="preserve">P2</x:t>
        </x:is>
      </x:c>
      <x:c r="F120" s="38" t="inlineStr">
        <x:is>
          <x:t xml:space="preserve">1. QUICK WIN</x:t>
        </x:is>
      </x:c>
      <x:c r="G120" s="18" t="inlineStr">
        <x:is>
          <x:t xml:space="preserve">Anand</x:t>
        </x:is>
      </x:c>
      <x:c r="H120" s="18" t="inlineStr">
        <x:is>
          <x:t xml:space="preserve">T001</x:t>
        </x:is>
      </x:c>
      <x:c r="I120" s="43" t="inlineStr">
        <x:is>
          <x:t xml:space="preserve">Self-serve (USPTO TEAS) + Claude</x:t>
        </x:is>
      </x:c>
      <x:c r="J120" s="51" t="inlineStr">
        <x:is>
          <x:t xml:space="preserve">$350 one-time (USPTO)</x:t>
        </x:is>
      </x:c>
      <x:c r="K120" s="83" t="inlineStr">
        <x:is>
          <x:t xml:space="preserve">Post-Resign</x:t>
        </x:is>
      </x:c>
      <x:c r="L120" s="44" t="inlineStr">
        <x:is>
          <x:t xml:space="preserve">Not started</x:t>
        </x:is>
      </x:c>
      <x:c r="M120" s="18" t="inlineStr">
        <x:is>
          <x:t xml:space="preserve"/>
        </x:is>
      </x:c>
    </x:row>
    <x:row r="121">
      <x:c r="A121" s="18" t="inlineStr">
        <x:is>
          <x:t xml:space="preserve">T005</x:t>
        </x:is>
      </x:c>
      <x:c r="B121" s="18" t="inlineStr">
        <x:is>
          <x:t xml:space="preserve">Business Setup</x:t>
        </x:is>
      </x:c>
      <x:c r="C121" s="18" t="inlineStr">
        <x:is>
          <x:t xml:space="preserve">Founder employment agreement + IP assignment to AbarVa</x:t>
        </x:is>
      </x:c>
      <x:c r="D121" s="18" t="inlineStr">
        <x:is>
          <x:t xml:space="preserve">Assigns all pre-existing AbarVa IP to the company. Cleans up diligence.</x:t>
        </x:is>
      </x:c>
      <x:c r="E121" s="31" t="inlineStr">
        <x:is>
          <x:t xml:space="preserve">P0</x:t>
        </x:is>
      </x:c>
      <x:c r="F121" s="41" t="inlineStr">
        <x:is>
          <x:t xml:space="preserve">4. CLAUDE + PRO</x:t>
        </x:is>
      </x:c>
      <x:c r="G121" s="18" t="inlineStr">
        <x:is>
          <x:t xml:space="preserve">Anand</x:t>
        </x:is>
      </x:c>
      <x:c r="H121" s="18" t="inlineStr">
        <x:is>
          <x:t xml:space="preserve">T001</x:t>
        </x:is>
      </x:c>
      <x:c r="I121" s="50" t="inlineStr">
        <x:is>
          <x:t xml:space="preserve">Claude + lawyer</x:t>
        </x:is>
      </x:c>
      <x:c r="J121" s="51" t="inlineStr">
        <x:is>
          <x:t xml:space="preserve">$500 (lawyer)</x:t>
        </x:is>
      </x:c>
      <x:c r="K121" s="82" t="inlineStr">
        <x:is>
          <x:t xml:space="preserve">Pre-Resign</x:t>
        </x:is>
      </x:c>
      <x:c r="L121" s="44" t="inlineStr">
        <x:is>
          <x:t xml:space="preserve">Not started</x:t>
        </x:is>
      </x:c>
      <x:c r="M121" s="18" t="inlineStr">
        <x:is>
          <x:t xml:space="preserve">Template via Atlas/Clerky</x:t>
        </x:is>
      </x:c>
    </x:row>
    <x:row r="122">
      <x:c r="A122" s="18" t="inlineStr">
        <x:is>
          <x:t xml:space="preserve">T010</x:t>
        </x:is>
      </x:c>
      <x:c r="B122" s="18" t="inlineStr">
        <x:is>
          <x:t xml:space="preserve">Business Setup</x:t>
        </x:is>
      </x:c>
      <x:c r="C122" s="18" t="inlineStr">
        <x:is>
          <x:t xml:space="preserve">Publish Privacy Policy, ToS, Acceptable Use Policy</x:t>
        </x:is>
      </x:c>
      <x:c r="D122" s="18" t="inlineStr">
        <x:is>
          <x:t xml:space="preserve">Termly/Iubenda starter then lawyer review. Required for security review.</x:t>
        </x:is>
      </x:c>
      <x:c r="E122" s="32" t="inlineStr">
        <x:is>
          <x:t xml:space="preserve">P1</x:t>
        </x:is>
      </x:c>
      <x:c r="F122" s="41" t="inlineStr">
        <x:is>
          <x:t xml:space="preserve">4. CLAUDE + PRO</x:t>
        </x:is>
      </x:c>
      <x:c r="G122" s="18" t="inlineStr">
        <x:is>
          <x:t xml:space="preserve">Anand</x:t>
        </x:is>
      </x:c>
      <x:c r="H122" s="18" t="inlineStr">
        <x:is>
          <x:t xml:space="preserve"/>
        </x:is>
      </x:c>
      <x:c r="I122" s="50" t="inlineStr">
        <x:is>
          <x:t xml:space="preserve">Claude + lawyer</x:t>
        </x:is>
      </x:c>
      <x:c r="J122" s="51" t="inlineStr">
        <x:is>
          <x:t xml:space="preserve">$500 (lawyer review)</x:t>
        </x:is>
      </x:c>
      <x:c r="K122" s="83" t="inlineStr">
        <x:is>
          <x:t xml:space="preserve">Post-Resign</x:t>
        </x:is>
      </x:c>
      <x:c r="L122" s="44" t="inlineStr">
        <x:is>
          <x:t xml:space="preserve">Not started</x:t>
        </x:is>
      </x:c>
      <x:c r="M122" s="18" t="inlineStr">
        <x:is>
          <x:t xml:space="preserve"/>
        </x:is>
      </x:c>
    </x:row>
    <x:row r="123">
      <x:c r="A123" s="18" t="inlineStr">
        <x:is>
          <x:t xml:space="preserve">T001</x:t>
        </x:is>
      </x:c>
      <x:c r="B123" s="18" t="inlineStr">
        <x:is>
          <x:t xml:space="preserve">Business Setup</x:t>
        </x:is>
      </x:c>
      <x:c r="C123" s="18" t="inlineStr">
        <x:is>
          <x:t xml:space="preserve">Incorporate AbarVa (Delaware C-Corp)</x:t>
        </x:is>
      </x:c>
      <x:c r="D123" s="18" t="inlineStr">
        <x:is>
          <x:t xml:space="preserve">Use Stripe Atlas (~$500) or Clerky (~$800). DE C-Corp keeps VC option open.</x:t>
        </x:is>
      </x:c>
      <x:c r="E123" s="31" t="inlineStr">
        <x:is>
          <x:t xml:space="preserve">P0</x:t>
        </x:is>
      </x:c>
      <x:c r="F123" s="42" t="inlineStr">
        <x:is>
          <x:t xml:space="preserve">5. EXTERNAL</x:t>
        </x:is>
      </x:c>
      <x:c r="G123" s="18" t="inlineStr">
        <x:is>
          <x:t xml:space="preserve">Anand</x:t>
        </x:is>
      </x:c>
      <x:c r="H123" s="18" t="inlineStr">
        <x:is>
          <x:t xml:space="preserve">T012</x:t>
        </x:is>
      </x:c>
      <x:c r="I123" s="48" t="inlineStr">
        <x:is>
          <x:t xml:space="preserve">3rd party: Atlas/Clerky</x:t>
        </x:is>
      </x:c>
      <x:c r="J123" s="51" t="inlineStr">
        <x:is>
          <x:t xml:space="preserve">$500 one-time (Atlas)</x:t>
        </x:is>
      </x:c>
      <x:c r="K123" s="82" t="inlineStr">
        <x:is>
          <x:t xml:space="preserve">Pre-Resign</x:t>
        </x:is>
      </x:c>
      <x:c r="L123" s="44" t="inlineStr">
        <x:is>
          <x:t xml:space="preserve">Not started</x:t>
        </x:is>
      </x:c>
      <x:c r="M123" s="18" t="inlineStr">
        <x:is>
          <x:t xml:space="preserve">Do BEFORE signing any client paper</x:t>
        </x:is>
      </x:c>
    </x:row>
    <x:row r="124">
      <x:c r="A124" s="18" t="inlineStr">
        <x:is>
          <x:t xml:space="preserve">T006</x:t>
        </x:is>
      </x:c>
      <x:c r="B124" s="18" t="inlineStr">
        <x:is>
          <x:t xml:space="preserve">Business Setup</x:t>
        </x:is>
      </x:c>
      <x:c r="C124" s="18" t="inlineStr">
        <x:is>
          <x:t xml:space="preserve">Engage tech lawyer for MSA/SOW template + first-deal review</x:t>
        </x:is>
      </x:c>
      <x:c r="D124" s="18" t="inlineStr">
        <x:is>
          <x:t xml:space="preserve">Cooley GO, Gunderson, or solo via Lawtrades. ~$5-10k all-in.</x:t>
        </x:is>
      </x:c>
      <x:c r="E124" s="31" t="inlineStr">
        <x:is>
          <x:t xml:space="preserve">P0</x:t>
        </x:is>
      </x:c>
      <x:c r="F124" s="42" t="inlineStr">
        <x:is>
          <x:t xml:space="preserve">5. EXTERNAL</x:t>
        </x:is>
      </x:c>
      <x:c r="G124" s="18" t="inlineStr">
        <x:is>
          <x:t xml:space="preserve">Anand</x:t>
        </x:is>
      </x:c>
      <x:c r="H124" s="18" t="inlineStr">
        <x:is>
          <x:t xml:space="preserve"/>
        </x:is>
      </x:c>
      <x:c r="I124" s="48" t="inlineStr">
        <x:is>
          <x:t xml:space="preserve">You only</x:t>
        </x:is>
      </x:c>
      <x:c r="J124" s="51" t="inlineStr">
        <x:is>
          <x:t xml:space="preserve">$5-10k initial</x:t>
        </x:is>
      </x:c>
      <x:c r="K124" s="82" t="inlineStr">
        <x:is>
          <x:t xml:space="preserve">Pre-Resign</x:t>
        </x:is>
      </x:c>
      <x:c r="L124" s="44" t="inlineStr">
        <x:is>
          <x:t xml:space="preserve">Not started</x:t>
        </x:is>
      </x:c>
      <x:c r="M124" s="18" t="inlineStr">
        <x:is>
          <x:t xml:space="preserve">Cheapest insurance you'll ever buy</x:t>
        </x:is>
      </x:c>
    </x:row>
    <x:row r="125">
      <x:c r="A125" s="18" t="inlineStr">
        <x:is>
          <x:t xml:space="preserve">T007</x:t>
        </x:is>
      </x:c>
      <x:c r="B125" s="18" t="inlineStr">
        <x:is>
          <x:t xml:space="preserve">Business Setup</x:t>
        </x:is>
      </x:c>
      <x:c r="C125" s="18" t="inlineStr">
        <x:is>
          <x:t xml:space="preserve">Quote + bind cyber/E&amp;O + general liability insurance</x:t>
        </x:is>
      </x:c>
      <x:c r="D125" s="18" t="inlineStr">
        <x:is>
          <x:t xml:space="preserve">Vouch / Founder Shield / Embroker. $2-5M each. Bind 1-2 weeks BEFORE signing.</x:t>
        </x:is>
      </x:c>
      <x:c r="E125" s="31" t="inlineStr">
        <x:is>
          <x:t xml:space="preserve">P0</x:t>
        </x:is>
      </x:c>
      <x:c r="F125" s="42" t="inlineStr">
        <x:is>
          <x:t xml:space="preserve">5. EXTERNAL</x:t>
        </x:is>
      </x:c>
      <x:c r="G125" s="18" t="inlineStr">
        <x:is>
          <x:t xml:space="preserve">Anand</x:t>
        </x:is>
      </x:c>
      <x:c r="H125" s="18" t="inlineStr">
        <x:is>
          <x:t xml:space="preserve">T001</x:t>
        </x:is>
      </x:c>
      <x:c r="I125" s="48" t="inlineStr">
        <x:is>
          <x:t xml:space="preserve">3rd party: Vouch/Embroker</x:t>
        </x:is>
      </x:c>
      <x:c r="J125" s="51" t="inlineStr">
        <x:is>
          <x:t xml:space="preserve">$3-8k/yr</x:t>
        </x:is>
      </x:c>
      <x:c r="K125" s="82" t="inlineStr">
        <x:is>
          <x:t xml:space="preserve">Pre-Resign</x:t>
        </x:is>
      </x:c>
      <x:c r="L125" s="44" t="inlineStr">
        <x:is>
          <x:t xml:space="preserve">Not started</x:t>
        </x:is>
      </x:c>
      <x:c r="M125" s="18" t="inlineStr">
        <x:is>
          <x:t xml:space="preserve">Underwriting takes time</x:t>
        </x:is>
      </x:c>
    </x:row>
    <x:row r="126">
      <x:c r="A126" s="18" t="inlineStr">
        <x:is>
          <x:t xml:space="preserve">T012</x:t>
        </x:is>
      </x:c>
      <x:c r="B126" s="18" t="inlineStr">
        <x:is>
          <x:t xml:space="preserve">Business Setup</x:t>
        </x:is>
      </x:c>
      <x:c r="C126" s="18" t="inlineStr">
        <x:is>
          <x:t xml:space="preserve">CPA pre-incorporation consult: S-elect timing + comp split + home state</x:t>
        </x:is>
      </x:c>
      <x:c r="D126" s="18" t="inlineStr">
        <x:is>
          <x:t xml:space="preserve">DE C Corp is decided. CPA models: S-Corp election timing for early low-profit years, salary vs distribution split, home-state nexus tax. ~1hr consult.</x:t>
        </x:is>
      </x:c>
      <x:c r="E126" s="31" t="inlineStr">
        <x:is>
          <x:t xml:space="preserve">P0</x:t>
        </x:is>
      </x:c>
      <x:c r="F126" s="42" t="inlineStr">
        <x:is>
          <x:t xml:space="preserve">5. EXTERNAL</x:t>
        </x:is>
      </x:c>
      <x:c r="G126" s="18" t="inlineStr">
        <x:is>
          <x:t xml:space="preserve">Anand</x:t>
        </x:is>
      </x:c>
      <x:c r="H126" s="18" t="inlineStr">
        <x:is>
          <x:t xml:space="preserve">T001</x:t>
        </x:is>
      </x:c>
      <x:c r="I126" s="48" t="inlineStr">
        <x:is>
          <x:t xml:space="preserve">3rd party</x:t>
        </x:is>
      </x:c>
      <x:c r="J126" s="51" t="inlineStr">
        <x:is>
          <x:t xml:space="preserve">$300-500 one-time consult</x:t>
        </x:is>
      </x:c>
      <x:c r="K126" s="82" t="inlineStr">
        <x:is>
          <x:t xml:space="preserve">Pre-Resign</x:t>
        </x:is>
      </x:c>
      <x:c r="L126" s="44" t="inlineStr">
        <x:is>
          <x:t xml:space="preserve">Not started</x:t>
        </x:is>
      </x:c>
      <x:c r="M126" s="18" t="inlineStr">
        <x:is>
          <x:t xml:space="preserve">Entity already chosen; optimization-only consult</x:t>
        </x:is>
      </x:c>
    </x:row>
    <x:row r="127">
      <x:c r="A127" s="18" t="inlineStr">
        <x:is>
          <x:t xml:space="preserve">T013</x:t>
        </x:is>
      </x:c>
      <x:c r="B127" s="18" t="inlineStr">
        <x:is>
          <x:t xml:space="preserve">Business Setup</x:t>
        </x:is>
      </x:c>
      <x:c r="C127" s="18" t="inlineStr">
        <x:is>
          <x:t xml:space="preserve">Start SOC 2 Type 1 with Vanta or Drata</x:t>
        </x:is>
      </x:c>
      <x:c r="D127" s="18" t="inlineStr">
        <x:is>
          <x:t xml:space="preserve">~$15-25k/yr platform + $10-20k auditor. ~6-8 weeks to Type 1.</x:t>
        </x:is>
      </x:c>
      <x:c r="E127" s="31" t="inlineStr">
        <x:is>
          <x:t xml:space="preserve">P0</x:t>
        </x:is>
      </x:c>
      <x:c r="F127" s="42" t="inlineStr">
        <x:is>
          <x:t xml:space="preserve">5. EXTERNAL</x:t>
        </x:is>
      </x:c>
      <x:c r="G127" s="18" t="inlineStr">
        <x:is>
          <x:t xml:space="preserve">Anand</x:t>
        </x:is>
      </x:c>
      <x:c r="H127" s="18" t="inlineStr">
        <x:is>
          <x:t xml:space="preserve">T001</x:t>
        </x:is>
      </x:c>
      <x:c r="I127" s="48" t="inlineStr">
        <x:is>
          <x:t xml:space="preserve">3rd party: Vanta/Drata</x:t>
        </x:is>
      </x:c>
      <x:c r="J127" s="51" t="inlineStr">
        <x:is>
          <x:t xml:space="preserve">$15-25k/yr (Vanta) + $10-20k (auditor); discount avail</x:t>
        </x:is>
      </x:c>
      <x:c r="K127" s="82" t="inlineStr">
        <x:is>
          <x:t xml:space="preserve">Pre-Resign</x:t>
        </x:is>
      </x:c>
      <x:c r="L127" s="44" t="inlineStr">
        <x:is>
          <x:t xml:space="preserve">Not started</x:t>
        </x:is>
      </x:c>
      <x:c r="M127" s="18" t="inlineStr">
        <x:is>
          <x:t xml:space="preserve">Type 1 'in progress' usually OK for pilot signing</x:t>
        </x:is>
      </x:c>
    </x:row>
    <x:row r="128">
      <x:c r="A128" s="18" t="inlineStr">
        <x:is>
          <x:t xml:space="preserve">T011</x:t>
        </x:is>
      </x:c>
      <x:c r="B128" s="18" t="inlineStr">
        <x:is>
          <x:t xml:space="preserve">Business Setup</x:t>
        </x:is>
      </x:c>
      <x:c r="C128" s="18" t="inlineStr">
        <x:is>
          <x:t xml:space="preserve">Set up bookkeeping (Pilot.com or Bench)</x:t>
        </x:is>
      </x:c>
      <x:c r="D128" s="18" t="inlineStr">
        <x:is>
          <x:t xml:space="preserve">$300-600/mo. Don't DIY books once you're invoicing $300k+.</x:t>
        </x:is>
      </x:c>
      <x:c r="E128" s="32" t="inlineStr">
        <x:is>
          <x:t xml:space="preserve">P1</x:t>
        </x:is>
      </x:c>
      <x:c r="F128" s="42" t="inlineStr">
        <x:is>
          <x:t xml:space="preserve">5. EXTERNAL</x:t>
        </x:is>
      </x:c>
      <x:c r="G128" s="18" t="inlineStr">
        <x:is>
          <x:t xml:space="preserve">Anand</x:t>
        </x:is>
      </x:c>
      <x:c r="H128" s="18" t="inlineStr">
        <x:is>
          <x:t xml:space="preserve">T001</x:t>
        </x:is>
      </x:c>
      <x:c r="I128" s="48" t="inlineStr">
        <x:is>
          <x:t xml:space="preserve">3rd party: Pilot/Bench</x:t>
        </x:is>
      </x:c>
      <x:c r="J128" s="51" t="inlineStr">
        <x:is>
          <x:t xml:space="preserve">$300-600/mo</x:t>
        </x:is>
      </x:c>
      <x:c r="K128" s="82" t="inlineStr">
        <x:is>
          <x:t xml:space="preserve">Pre-Resign</x:t>
        </x:is>
      </x:c>
      <x:c r="L128" s="44" t="inlineStr">
        <x:is>
          <x:t xml:space="preserve">Not started</x:t>
        </x:is>
      </x:c>
      <x:c r="M128" s="18" t="inlineStr">
        <x:is>
          <x:t xml:space="preserve"/>
        </x:is>
      </x:c>
    </x:row>
    <x:row r="129">
      <x:c r="A129" s="18" t="inlineStr">
        <x:is>
          <x:t xml:space="preserve">T014</x:t>
        </x:is>
      </x:c>
      <x:c r="B129" s="18" t="inlineStr">
        <x:is>
          <x:t xml:space="preserve">Business Setup</x:t>
        </x:is>
      </x:c>
      <x:c r="C129" s="18" t="inlineStr">
        <x:is>
          <x:t xml:space="preserve">Schedule SOC 2 Type 2 observation start</x:t>
        </x:is>
      </x:c>
      <x:c r="D129" s="18" t="inlineStr">
        <x:is>
          <x:t xml:space="preserve">3-6 month observation. Start clock so done by month 9 of year-1.</x:t>
        </x:is>
      </x:c>
      <x:c r="E129" s="32" t="inlineStr">
        <x:is>
          <x:t xml:space="preserve">P1</x:t>
        </x:is>
      </x:c>
      <x:c r="F129" s="42" t="inlineStr">
        <x:is>
          <x:t xml:space="preserve">5. EXTERNAL</x:t>
        </x:is>
      </x:c>
      <x:c r="G129" s="18" t="inlineStr">
        <x:is>
          <x:t xml:space="preserve">Anand</x:t>
        </x:is>
      </x:c>
      <x:c r="H129" s="18" t="inlineStr">
        <x:is>
          <x:t xml:space="preserve">T013</x:t>
        </x:is>
      </x:c>
      <x:c r="I129" s="48" t="inlineStr">
        <x:is>
          <x:t xml:space="preserve">3rd party: Vanta/Drata</x:t>
        </x:is>
      </x:c>
      <x:c r="J129" s="51" t="inlineStr">
        <x:is>
          <x:t xml:space="preserve">Included in Vanta sub above</x:t>
        </x:is>
      </x:c>
      <x:c r="K129" s="82" t="inlineStr">
        <x:is>
          <x:t xml:space="preserve">Pre-Resign</x:t>
        </x:is>
      </x:c>
      <x:c r="L129" s="44" t="inlineStr">
        <x:is>
          <x:t xml:space="preserve">Not started</x:t>
        </x:is>
      </x:c>
      <x:c r="M129" s="18" t="inlineStr">
        <x:is>
          <x:t xml:space="preserve"/>
        </x:is>
      </x:c>
    </x:row>
    <x:row r="130">
      <x:c r="A130" s="18" t="inlineStr">
        <x:is>
          <x:t xml:space="preserve">T259</x:t>
        </x:is>
      </x:c>
      <x:c r="B130" s="18" t="inlineStr">
        <x:is>
          <x:t xml:space="preserve">Commercial</x:t>
        </x:is>
      </x:c>
      <x:c r="C130" s="18" t="inlineStr">
        <x:is>
          <x:t xml:space="preserve">Update pricing: 10% founder time at $425/hr (was 15% at $375)</x:t>
        </x:is>
      </x:c>
      <x:c r="D130" s="18" t="inlineStr">
        <x:is>
          <x:t xml:space="preserve">Reflected in Pricing sheet. Pilot $30k included; Year-1 $95k. Re-sellable as billable change-orders at $425/hr after concession.</x:t>
        </x:is>
      </x:c>
      <x:c r="E130" s="31" t="inlineStr">
        <x:is>
          <x:t xml:space="preserve">P0</x:t>
        </x:is>
      </x:c>
      <x:c r="F130" s="38" t="inlineStr">
        <x:is>
          <x:t xml:space="preserve">1. QUICK WIN</x:t>
        </x:is>
      </x:c>
      <x:c r="G130" s="18" t="inlineStr">
        <x:is>
          <x:t xml:space="preserve">Anand</x:t>
        </x:is>
      </x:c>
      <x:c r="H130" s="18" t="inlineStr">
        <x:is>
          <x:t xml:space="preserve"/>
        </x:is>
      </x:c>
      <x:c r="I130" s="43" t="inlineStr">
        <x:is>
          <x:t xml:space="preserve">Self-serve (already done in workbook)</x:t>
        </x:is>
      </x:c>
      <x:c r="J130" s="52" t="inlineStr">
        <x:is>
          <x:t xml:space="preserve">$0</x:t>
        </x:is>
      </x:c>
      <x:c r="K130" s="84" t="inlineStr">
        <x:is>
          <x:t xml:space="preserve">Anytime</x:t>
        </x:is>
      </x:c>
      <x:c r="L130" s="44" t="inlineStr">
        <x:is>
          <x:t xml:space="preserve">Not started</x:t>
        </x:is>
      </x:c>
      <x:c r="M130" s="18" t="inlineStr">
        <x:is>
          <x:t xml:space="preserve"/>
        </x:is>
      </x:c>
    </x:row>
    <x:row r="131">
      <x:c r="A131" s="18" t="inlineStr">
        <x:is>
          <x:t xml:space="preserve">T056</x:t>
        </x:is>
      </x:c>
      <x:c r="B131" s="18" t="inlineStr">
        <x:is>
          <x:t xml:space="preserve">Commercial</x:t>
        </x:is>
      </x:c>
      <x:c r="C131" s="18" t="inlineStr">
        <x:is>
          <x:t xml:space="preserve">Lock pricing model — see Pricing tab</x:t>
        </x:is>
      </x:c>
      <x:c r="D131" s="18" t="inlineStr">
        <x:is>
          <x:t xml:space="preserve">Pilot $300k / Year-1 $75k/mo + Source add-on + token cap + founder time tracking.</x:t>
        </x:is>
      </x:c>
      <x:c r="E131" s="31" t="inlineStr">
        <x:is>
          <x:t xml:space="preserve">P0</x:t>
        </x:is>
      </x:c>
      <x:c r="F131" s="39" t="inlineStr">
        <x:is>
          <x:t xml:space="preserve">2. CLAUDE DOES IT</x:t>
        </x:is>
      </x:c>
      <x:c r="G131" s="18" t="inlineStr">
        <x:is>
          <x:t xml:space="preserve">Anand</x:t>
        </x:is>
      </x:c>
      <x:c r="H131" s="18" t="inlineStr">
        <x:is>
          <x:t xml:space="preserve"/>
        </x:is>
      </x:c>
      <x:c r="I131" s="45" t="inlineStr">
        <x:is>
          <x:t xml:space="preserve">Claude (Pricing sheet)</x:t>
        </x:is>
      </x:c>
      <x:c r="J131" s="52" t="inlineStr">
        <x:is>
          <x:t xml:space="preserve">$0</x:t>
        </x:is>
      </x:c>
      <x:c r="K131" s="82" t="inlineStr">
        <x:is>
          <x:t xml:space="preserve">Pre-Resign</x:t>
        </x:is>
      </x:c>
      <x:c r="L131" s="44" t="inlineStr">
        <x:is>
          <x:t xml:space="preserve">Not started</x:t>
        </x:is>
      </x:c>
      <x:c r="M131" s="18" t="inlineStr">
        <x:is>
          <x:t xml:space="preserve"/>
        </x:is>
      </x:c>
    </x:row>
    <x:row r="132">
      <x:c r="A132" s="18" t="inlineStr">
        <x:is>
          <x:t xml:space="preserve">T060</x:t>
        </x:is>
      </x:c>
      <x:c r="B132" s="18" t="inlineStr">
        <x:is>
          <x:t xml:space="preserve">Commercial</x:t>
        </x:is>
      </x:c>
      <x:c r="C132" s="18" t="inlineStr">
        <x:is>
          <x:t xml:space="preserve">Frame founder-time investment ($375/hr × 15% free)</x:t>
        </x:is>
      </x:c>
      <x:c r="D132" s="18" t="inlineStr">
        <x:is>
          <x:t xml:space="preserve">Track every hour. Show on weekly invoice as 'free partnership investment'.</x:t>
        </x:is>
      </x:c>
      <x:c r="E132" s="32" t="inlineStr">
        <x:is>
          <x:t xml:space="preserve">P1</x:t>
        </x:is>
      </x:c>
      <x:c r="F132" s="39" t="inlineStr">
        <x:is>
          <x:t xml:space="preserve">2. CLAUDE DOES IT</x:t>
        </x:is>
      </x:c>
      <x:c r="G132" s="18" t="inlineStr">
        <x:is>
          <x:t xml:space="preserve">Anand</x:t>
        </x:is>
      </x:c>
      <x:c r="H132" s="18" t="inlineStr">
        <x:is>
          <x:t xml:space="preserve"/>
        </x:is>
      </x:c>
      <x:c r="I132" s="45" t="inlineStr">
        <x:is>
          <x:t xml:space="preserve">Claude (framing)</x:t>
        </x:is>
      </x:c>
      <x:c r="J132" s="52" t="inlineStr">
        <x:is>
          <x:t xml:space="preserve">$0</x:t>
        </x:is>
      </x:c>
      <x:c r="K132" s="84" t="inlineStr">
        <x:is>
          <x:t xml:space="preserve">Anytime</x:t>
        </x:is>
      </x:c>
      <x:c r="L132" s="44" t="inlineStr">
        <x:is>
          <x:t xml:space="preserve">Not started</x:t>
        </x:is>
      </x:c>
      <x:c r="M132" s="18" t="inlineStr">
        <x:is>
          <x:t xml:space="preserve"/>
        </x:is>
      </x:c>
    </x:row>
    <x:row r="133">
      <x:c r="A133" s="18" t="inlineStr">
        <x:is>
          <x:t xml:space="preserve">T057</x:t>
        </x:is>
      </x:c>
      <x:c r="B133" s="18" t="inlineStr">
        <x:is>
          <x:t xml:space="preserve">Commercial</x:t>
        </x:is>
      </x:c>
      <x:c r="C133" s="18" t="inlineStr">
        <x:is>
          <x:t xml:space="preserve">Decide user pricing — recommend tiers not per-user</x:t>
        </x:is>
      </x:c>
      <x:c r="D133" s="18" t="inlineStr">
        <x:is>
          <x:t xml:space="preserve">Up to 25 users included; 25-100 +$15k/mo; 100+ enterprise. Avoid $25/user.</x:t>
        </x:is>
      </x:c>
      <x:c r="E133" s="31" t="inlineStr">
        <x:is>
          <x:t xml:space="preserve">P0</x:t>
        </x:is>
      </x:c>
      <x:c r="F133" s="40" t="inlineStr">
        <x:is>
          <x:t xml:space="preserve">3. CLAUDE + YOU</x:t>
        </x:is>
      </x:c>
      <x:c r="G133" s="18" t="inlineStr">
        <x:is>
          <x:t xml:space="preserve">Anand</x:t>
        </x:is>
      </x:c>
      <x:c r="H133" s="18" t="inlineStr">
        <x:is>
          <x:t xml:space="preserve"/>
        </x:is>
      </x:c>
      <x:c r="I133" s="47" t="inlineStr">
        <x:is>
          <x:t xml:space="preserve">Claude + you</x:t>
        </x:is>
      </x:c>
      <x:c r="J133" s="52" t="inlineStr">
        <x:is>
          <x:t xml:space="preserve">$0</x:t>
        </x:is>
      </x:c>
      <x:c r="K133" s="84" t="inlineStr">
        <x:is>
          <x:t xml:space="preserve">Anytime</x:t>
        </x:is>
      </x:c>
      <x:c r="L133" s="44" t="inlineStr">
        <x:is>
          <x:t xml:space="preserve">Not started</x:t>
        </x:is>
      </x:c>
      <x:c r="M133" s="18" t="inlineStr">
        <x:is>
          <x:t xml:space="preserve">Per-user metering slows F500 adoption</x:t>
        </x:is>
      </x:c>
    </x:row>
    <x:row r="134">
      <x:c r="A134" s="18" t="inlineStr">
        <x:is>
          <x:t xml:space="preserve">T058</x:t>
        </x:is>
      </x:c>
      <x:c r="B134" s="18" t="inlineStr">
        <x:is>
          <x:t xml:space="preserve">Commercial</x:t>
        </x:is>
      </x:c>
      <x:c r="C134" s="18" t="inlineStr">
        <x:is>
          <x:t xml:space="preserve">Lock Source module add-on pricing ($35-50k/mo separately)</x:t>
        </x:is>
      </x:c>
      <x:c r="D134" s="18" t="inlineStr">
        <x:is>
          <x:t xml:space="preserve">Procurement loves separate budget lines.</x:t>
        </x:is>
      </x:c>
      <x:c r="E134" s="31" t="inlineStr">
        <x:is>
          <x:t xml:space="preserve">P0</x:t>
        </x:is>
      </x:c>
      <x:c r="F134" s="40" t="inlineStr">
        <x:is>
          <x:t xml:space="preserve">3. CLAUDE + YOU</x:t>
        </x:is>
      </x:c>
      <x:c r="G134" s="18" t="inlineStr">
        <x:is>
          <x:t xml:space="preserve">Anand</x:t>
        </x:is>
      </x:c>
      <x:c r="H134" s="18" t="inlineStr">
        <x:is>
          <x:t xml:space="preserve"/>
        </x:is>
      </x:c>
      <x:c r="I134" s="47" t="inlineStr">
        <x:is>
          <x:t xml:space="preserve">Claude + you</x:t>
        </x:is>
      </x:c>
      <x:c r="J134" s="52" t="inlineStr">
        <x:is>
          <x:t xml:space="preserve">$0</x:t>
        </x:is>
      </x:c>
      <x:c r="K134" s="84" t="inlineStr">
        <x:is>
          <x:t xml:space="preserve">Anytime</x:t>
        </x:is>
      </x:c>
      <x:c r="L134" s="44" t="inlineStr">
        <x:is>
          <x:t xml:space="preserve">Not started</x:t>
        </x:is>
      </x:c>
      <x:c r="M134" s="18" t="inlineStr">
        <x:is>
          <x:t xml:space="preserve"/>
        </x:is>
      </x:c>
    </x:row>
    <x:row r="135">
      <x:c r="A135" s="18" t="inlineStr">
        <x:is>
          <x:t xml:space="preserve">T059</x:t>
        </x:is>
      </x:c>
      <x:c r="B135" s="18" t="inlineStr">
        <x:is>
          <x:t xml:space="preserve">Commercial</x:t>
        </x:is>
      </x:c>
      <x:c r="C135" s="18" t="inlineStr">
        <x:is>
          <x:t xml:space="preserve">Set token/consumption cap with overage policy</x:t>
        </x:is>
      </x:c>
      <x:c r="D135" s="18" t="inlineStr">
        <x:is>
          <x:t xml:space="preserve">Fair use N M tokens; overage at cost +20% or rate-limit.</x:t>
        </x:is>
      </x:c>
      <x:c r="E135" s="31" t="inlineStr">
        <x:is>
          <x:t xml:space="preserve">P0</x:t>
        </x:is>
      </x:c>
      <x:c r="F135" s="40" t="inlineStr">
        <x:is>
          <x:t xml:space="preserve">3. CLAUDE + YOU</x:t>
        </x:is>
      </x:c>
      <x:c r="G135" s="18" t="inlineStr">
        <x:is>
          <x:t xml:space="preserve">Anand</x:t>
        </x:is>
      </x:c>
      <x:c r="H135" s="18" t="inlineStr">
        <x:is>
          <x:t xml:space="preserve">T033</x:t>
        </x:is>
      </x:c>
      <x:c r="I135" s="47" t="inlineStr">
        <x:is>
          <x:t xml:space="preserve">Claude + you</x:t>
        </x:is>
      </x:c>
      <x:c r="J135" s="52" t="inlineStr">
        <x:is>
          <x:t xml:space="preserve">$0</x:t>
        </x:is>
      </x:c>
      <x:c r="K135" s="84" t="inlineStr">
        <x:is>
          <x:t xml:space="preserve">Anytime</x:t>
        </x:is>
      </x:c>
      <x:c r="L135" s="44" t="inlineStr">
        <x:is>
          <x:t xml:space="preserve">Not started</x:t>
        </x:is>
      </x:c>
      <x:c r="M135" s="18" t="inlineStr">
        <x:is>
          <x:t xml:space="preserve">Mandatory before signing</x:t>
        </x:is>
      </x:c>
    </x:row>
    <x:row r="136">
      <x:c r="A136" s="18" t="inlineStr">
        <x:is>
          <x:t xml:space="preserve">T270</x:t>
        </x:is>
      </x:c>
      <x:c r="B136" s="18" t="inlineStr">
        <x:is>
          <x:t xml:space="preserve">Commercial</x:t>
        </x:is>
      </x:c>
      <x:c r="C136" s="18" t="inlineStr">
        <x:is>
          <x:t xml:space="preserve">Reposition Source module: primary wedge for non-AI-leader prospects</x:t>
        </x:is>
      </x:c>
      <x:c r="D136" s="18" t="inlineStr">
        <x:is>
          <x:t xml:space="preserve">Pricing: Source-standalone $50k/mo for sourcing-only sale; or bundled with core at discount.</x:t>
        </x:is>
      </x:c>
      <x:c r="E136" s="31" t="inlineStr">
        <x:is>
          <x:t xml:space="preserve">P0</x:t>
        </x:is>
      </x:c>
      <x:c r="F136" s="40" t="inlineStr">
        <x:is>
          <x:t xml:space="preserve">3. CLAUDE + YOU</x:t>
        </x:is>
      </x:c>
      <x:c r="G136" s="18" t="inlineStr">
        <x:is>
          <x:t xml:space="preserve">Anand</x:t>
        </x:is>
      </x:c>
      <x:c r="H136" s="18" t="inlineStr">
        <x:is>
          <x:t xml:space="preserve"/>
        </x:is>
      </x:c>
      <x:c r="I136" s="47" t="inlineStr">
        <x:is>
          <x:t xml:space="preserve">Claude + you</x:t>
        </x:is>
      </x:c>
      <x:c r="J136" s="52" t="inlineStr">
        <x:is>
          <x:t xml:space="preserve">$0</x:t>
        </x:is>
      </x:c>
      <x:c r="K136" s="84" t="inlineStr">
        <x:is>
          <x:t xml:space="preserve">Anytime</x:t>
        </x:is>
      </x:c>
      <x:c r="L136" s="44" t="inlineStr">
        <x:is>
          <x:t xml:space="preserve">Not started</x:t>
        </x:is>
      </x:c>
      <x:c r="M136" s="18" t="inlineStr">
        <x:is>
          <x:t xml:space="preserve"/>
        </x:is>
      </x:c>
    </x:row>
    <x:row r="137">
      <x:c r="A137" s="18" t="inlineStr">
        <x:is>
          <x:t xml:space="preserve">T271</x:t>
        </x:is>
      </x:c>
      <x:c r="B137" s="18" t="inlineStr">
        <x:is>
          <x:t xml:space="preserve">Commercial</x:t>
        </x:is>
      </x:c>
      <x:c r="C137" s="18" t="inlineStr">
        <x:is>
          <x:t xml:space="preserve">Build smaller-deal pricing tier ($200k pilot / $500k year-1) for CTO-buyer scenarios</x:t>
        </x:is>
      </x:c>
      <x:c r="D137" s="18" t="inlineStr">
        <x:is>
          <x:t xml:space="preserve">Delta-type deals where AI value is dormant. Smaller deal &gt; no deal. Expand later.</x:t>
        </x:is>
      </x:c>
      <x:c r="E137" s="32" t="inlineStr">
        <x:is>
          <x:t xml:space="preserve">P1</x:t>
        </x:is>
      </x:c>
      <x:c r="F137" s="40" t="inlineStr">
        <x:is>
          <x:t xml:space="preserve">3. CLAUDE + YOU</x:t>
        </x:is>
      </x:c>
      <x:c r="G137" s="18" t="inlineStr">
        <x:is>
          <x:t xml:space="preserve">Anand</x:t>
        </x:is>
      </x:c>
      <x:c r="H137" s="18" t="inlineStr">
        <x:is>
          <x:t xml:space="preserve"/>
        </x:is>
      </x:c>
      <x:c r="I137" s="47" t="inlineStr">
        <x:is>
          <x:t xml:space="preserve">Claude + you</x:t>
        </x:is>
      </x:c>
      <x:c r="J137" s="52" t="inlineStr">
        <x:is>
          <x:t xml:space="preserve">$0</x:t>
        </x:is>
      </x:c>
      <x:c r="K137" s="84" t="inlineStr">
        <x:is>
          <x:t xml:space="preserve">Anytime</x:t>
        </x:is>
      </x:c>
      <x:c r="L137" s="44" t="inlineStr">
        <x:is>
          <x:t xml:space="preserve">Not started</x:t>
        </x:is>
      </x:c>
      <x:c r="M137" s="18" t="inlineStr">
        <x:is>
          <x:t xml:space="preserve"/>
        </x:is>
      </x:c>
    </x:row>
    <x:row r="138">
      <x:c r="A138" s="18" t="inlineStr">
        <x:is>
          <x:t xml:space="preserve">T283</x:t>
        </x:is>
      </x:c>
      <x:c r="B138" s="18" t="inlineStr">
        <x:is>
          <x:t xml:space="preserve">Commercial</x:t>
        </x:is>
      </x:c>
      <x:c r="C138" s="18" t="inlineStr">
        <x:is>
          <x:t xml:space="preserve">Build 'new leader / foundation' pricing positioning (different from CDAO/CTO pitches)</x:t>
        </x:is>
      </x:c>
      <x:c r="D138" s="18" t="inlineStr">
        <x:is>
          <x:t xml:space="preserve">Frame: foundation budget, transformation investment, operating model. NOT software line item. Different comparison set.</x:t>
        </x:is>
      </x:c>
      <x:c r="E138" s="32" t="inlineStr">
        <x:is>
          <x:t xml:space="preserve">P1</x:t>
        </x:is>
      </x:c>
      <x:c r="F138" s="40" t="inlineStr">
        <x:is>
          <x:t xml:space="preserve">3. CLAUDE + YOU</x:t>
        </x:is>
      </x:c>
      <x:c r="G138" s="18" t="inlineStr">
        <x:is>
          <x:t xml:space="preserve">Anand</x:t>
        </x:is>
      </x:c>
      <x:c r="H138" s="18" t="inlineStr">
        <x:is>
          <x:t xml:space="preserve"/>
        </x:is>
      </x:c>
      <x:c r="I138" s="47" t="inlineStr">
        <x:is>
          <x:t xml:space="preserve">Claude + you</x:t>
        </x:is>
      </x:c>
      <x:c r="J138" s="52" t="inlineStr">
        <x:is>
          <x:t xml:space="preserve">$0</x:t>
        </x:is>
      </x:c>
      <x:c r="K138" s="83" t="inlineStr">
        <x:is>
          <x:t xml:space="preserve">Post-Resign</x:t>
        </x:is>
      </x:c>
      <x:c r="L138" s="44" t="inlineStr">
        <x:is>
          <x:t xml:space="preserve">Not started</x:t>
        </x:is>
      </x:c>
      <x:c r="M138" s="18" t="inlineStr">
        <x:is>
          <x:t xml:space="preserve"/>
        </x:is>
      </x:c>
    </x:row>
    <x:row r="139">
      <x:c r="A139" s="18" t="inlineStr">
        <x:is>
          <x:t xml:space="preserve">T061</x:t>
        </x:is>
      </x:c>
      <x:c r="B139" s="18" t="inlineStr">
        <x:is>
          <x:t xml:space="preserve">Commercial</x:t>
        </x:is>
      </x:c>
      <x:c r="C139" s="18" t="inlineStr">
        <x:is>
          <x:t xml:space="preserve">Annual pre-pay discount offer (5-10%)</x:t>
        </x:is>
      </x:c>
      <x:c r="D139" s="18" t="inlineStr">
        <x:is>
          <x:t xml:space="preserve">Cash now &gt; margin later.</x:t>
        </x:is>
      </x:c>
      <x:c r="E139" s="32" t="inlineStr">
        <x:is>
          <x:t xml:space="preserve">P1</x:t>
        </x:is>
      </x:c>
      <x:c r="F139" s="42" t="inlineStr">
        <x:is>
          <x:t xml:space="preserve">5. EXTERNAL</x:t>
        </x:is>
      </x:c>
      <x:c r="G139" s="18" t="inlineStr">
        <x:is>
          <x:t xml:space="preserve">Anand</x:t>
        </x:is>
      </x:c>
      <x:c r="H139" s="18" t="inlineStr">
        <x:is>
          <x:t xml:space="preserve"/>
        </x:is>
      </x:c>
      <x:c r="I139" s="48" t="inlineStr">
        <x:is>
          <x:t xml:space="preserve">You only</x:t>
        </x:is>
      </x:c>
      <x:c r="J139" s="52" t="inlineStr">
        <x:is>
          <x:t xml:space="preserve">$0</x:t>
        </x:is>
      </x:c>
      <x:c r="K139" s="84" t="inlineStr">
        <x:is>
          <x:t xml:space="preserve">Anytime</x:t>
        </x:is>
      </x:c>
      <x:c r="L139" s="44" t="inlineStr">
        <x:is>
          <x:t xml:space="preserve">Not started</x:t>
        </x:is>
      </x:c>
      <x:c r="M139" s="18" t="inlineStr">
        <x:is>
          <x:t xml:space="preserve"/>
        </x:is>
      </x:c>
    </x:row>
    <x:row r="140">
      <x:c r="A140" s="18" t="inlineStr">
        <x:is>
          <x:t xml:space="preserve">T062</x:t>
        </x:is>
      </x:c>
      <x:c r="B140" s="18" t="inlineStr">
        <x:is>
          <x:t xml:space="preserve">Commercial</x:t>
        </x:is>
      </x:c>
      <x:c r="C140" s="18" t="inlineStr">
        <x:is>
          <x:t xml:space="preserve">Multi-year discount tier (10% for 2yr, 15% for 3yr)</x:t>
        </x:is>
      </x:c>
      <x:c r="D140" s="18" t="inlineStr">
        <x:is>
          <x:t xml:space="preserve">Lock in revenue.</x:t>
        </x:is>
      </x:c>
      <x:c r="E140" s="32" t="inlineStr">
        <x:is>
          <x:t xml:space="preserve">P1</x:t>
        </x:is>
      </x:c>
      <x:c r="F140" s="42" t="inlineStr">
        <x:is>
          <x:t xml:space="preserve">5. EXTERNAL</x:t>
        </x:is>
      </x:c>
      <x:c r="G140" s="18" t="inlineStr">
        <x:is>
          <x:t xml:space="preserve">Anand</x:t>
        </x:is>
      </x:c>
      <x:c r="H140" s="18" t="inlineStr">
        <x:is>
          <x:t xml:space="preserve"/>
        </x:is>
      </x:c>
      <x:c r="I140" s="48" t="inlineStr">
        <x:is>
          <x:t xml:space="preserve">You only</x:t>
        </x:is>
      </x:c>
      <x:c r="J140" s="52" t="inlineStr">
        <x:is>
          <x:t xml:space="preserve">$0</x:t>
        </x:is>
      </x:c>
      <x:c r="K140" s="84" t="inlineStr">
        <x:is>
          <x:t xml:space="preserve">Anytime</x:t>
        </x:is>
      </x:c>
      <x:c r="L140" s="44" t="inlineStr">
        <x:is>
          <x:t xml:space="preserve">Not started</x:t>
        </x:is>
      </x:c>
      <x:c r="M140" s="18" t="inlineStr">
        <x:is>
          <x:t xml:space="preserve"/>
        </x:is>
      </x:c>
    </x:row>
    <x:row r="141">
      <x:c r="A141" s="18" t="inlineStr">
        <x:is>
          <x:t xml:space="preserve">T015</x:t>
        </x:is>
      </x:c>
      <x:c r="B141" s="18" t="inlineStr">
        <x:is>
          <x:t xml:space="preserve">Contract &amp; Legal</x:t>
        </x:is>
      </x:c>
      <x:c r="C141" s="18" t="inlineStr">
        <x:is>
          <x:t xml:space="preserve">Draft 2-page redline brief (8 non-negotiables + fallback)</x:t>
        </x:is>
      </x:c>
      <x:c r="D141" s="18" t="inlineStr">
        <x:is>
          <x:t xml:space="preserve">Liability cap, indemnity, IP, MFN, termination, SLA, audit, assignment.</x:t>
        </x:is>
      </x:c>
      <x:c r="E141" s="31" t="inlineStr">
        <x:is>
          <x:t xml:space="preserve">P0</x:t>
        </x:is>
      </x:c>
      <x:c r="F141" s="39" t="inlineStr">
        <x:is>
          <x:t xml:space="preserve">2. CLAUDE DOES IT</x:t>
        </x:is>
      </x:c>
      <x:c r="G141" s="18" t="inlineStr">
        <x:is>
          <x:t xml:space="preserve">Anand</x:t>
        </x:is>
      </x:c>
      <x:c r="H141" s="18" t="inlineStr">
        <x:is>
          <x:t xml:space="preserve"/>
        </x:is>
      </x:c>
      <x:c r="I141" s="45" t="inlineStr">
        <x:is>
          <x:t xml:space="preserve">Claude (draft)</x:t>
        </x:is>
      </x:c>
      <x:c r="J141" s="52" t="inlineStr">
        <x:is>
          <x:t xml:space="preserve">$0</x:t>
        </x:is>
      </x:c>
      <x:c r="K141" s="82" t="inlineStr">
        <x:is>
          <x:t xml:space="preserve">Pre-Resign</x:t>
        </x:is>
      </x:c>
      <x:c r="L141" s="44" t="inlineStr">
        <x:is>
          <x:t xml:space="preserve">Not started</x:t>
        </x:is>
      </x:c>
      <x:c r="M141" s="18" t="inlineStr">
        <x:is>
          <x:t xml:space="preserve">See Redline Brief tab</x:t>
        </x:is>
      </x:c>
    </x:row>
    <x:row r="142">
      <x:c r="A142" s="18" t="inlineStr">
        <x:is>
          <x:t xml:space="preserve">T018</x:t>
        </x:is>
      </x:c>
      <x:c r="B142" s="18" t="inlineStr">
        <x:is>
          <x:t xml:space="preserve">Contract &amp; Legal</x:t>
        </x:is>
      </x:c>
      <x:c r="C142" s="18" t="inlineStr">
        <x:is>
          <x:t xml:space="preserve">Pre-fill SIG Lite / CAIQ security questionnaire</x:t>
        </x:is>
      </x:c>
      <x:c r="D142" s="18" t="inlineStr">
        <x:is>
          <x:t xml:space="preserve">200-300 questions. One canonical answer doc saves weeks per deal.</x:t>
        </x:is>
      </x:c>
      <x:c r="E142" s="31" t="inlineStr">
        <x:is>
          <x:t xml:space="preserve">P0</x:t>
        </x:is>
      </x:c>
      <x:c r="F142" s="39" t="inlineStr">
        <x:is>
          <x:t xml:space="preserve">2. CLAUDE DOES IT</x:t>
        </x:is>
      </x:c>
      <x:c r="G142" s="18" t="inlineStr">
        <x:is>
          <x:t xml:space="preserve">Anand</x:t>
        </x:is>
      </x:c>
      <x:c r="H142" s="18" t="inlineStr">
        <x:is>
          <x:t xml:space="preserve"/>
        </x:is>
      </x:c>
      <x:c r="I142" s="45" t="inlineStr">
        <x:is>
          <x:t xml:space="preserve">Claude (already in Security Pack)</x:t>
        </x:is>
      </x:c>
      <x:c r="J142" s="52" t="inlineStr">
        <x:is>
          <x:t xml:space="preserve">$0 (already drafted)</x:t>
        </x:is>
      </x:c>
      <x:c r="K142" s="82" t="inlineStr">
        <x:is>
          <x:t xml:space="preserve">Pre-Resign</x:t>
        </x:is>
      </x:c>
      <x:c r="L142" s="44" t="inlineStr">
        <x:is>
          <x:t xml:space="preserve">Not started</x:t>
        </x:is>
      </x:c>
      <x:c r="M142" s="18" t="inlineStr">
        <x:is>
          <x:t xml:space="preserve">See Security Pack tab</x:t>
        </x:is>
      </x:c>
    </x:row>
    <x:row r="143">
      <x:c r="A143" s="18" t="inlineStr">
        <x:is>
          <x:t xml:space="preserve">T026</x:t>
        </x:is>
      </x:c>
      <x:c r="B143" s="18" t="inlineStr">
        <x:is>
          <x:t xml:space="preserve">Contract &amp; Legal</x:t>
        </x:is>
      </x:c>
      <x:c r="C143" s="18" t="inlineStr">
        <x:is>
          <x:t xml:space="preserve">Publish subprocessor list at abarva.com/subprocessors</x:t>
        </x:is>
      </x:c>
      <x:c r="D143" s="18" t="inlineStr">
        <x:is>
          <x:t xml:space="preserve">Vercel, Clerk, Azure, Anthropic, OpenAI, Resend, PostHog, Stripe.</x:t>
        </x:is>
      </x:c>
      <x:c r="E143" s="32" t="inlineStr">
        <x:is>
          <x:t xml:space="preserve">P1</x:t>
        </x:is>
      </x:c>
      <x:c r="F143" s="39" t="inlineStr">
        <x:is>
          <x:t xml:space="preserve">2. CLAUDE DOES IT</x:t>
        </x:is>
      </x:c>
      <x:c r="G143" s="18" t="inlineStr">
        <x:is>
          <x:t xml:space="preserve">Anand</x:t>
        </x:is>
      </x:c>
      <x:c r="H143" s="18" t="inlineStr">
        <x:is>
          <x:t xml:space="preserve"/>
        </x:is>
      </x:c>
      <x:c r="I143" s="45" t="inlineStr">
        <x:is>
          <x:t xml:space="preserve">Claude (draft page)</x:t>
        </x:is>
      </x:c>
      <x:c r="J143" s="52" t="inlineStr">
        <x:is>
          <x:t xml:space="preserve">$0</x:t>
        </x:is>
      </x:c>
      <x:c r="K143" s="83" t="inlineStr">
        <x:is>
          <x:t xml:space="preserve">Post-Resign</x:t>
        </x:is>
      </x:c>
      <x:c r="L143" s="44" t="inlineStr">
        <x:is>
          <x:t xml:space="preserve">Not started</x:t>
        </x:is>
      </x:c>
      <x:c r="M143" s="18" t="inlineStr">
        <x:is>
          <x:t xml:space="preserve"/>
        </x:is>
      </x:c>
    </x:row>
    <x:row r="144">
      <x:c r="A144" s="18" t="inlineStr">
        <x:is>
          <x:t xml:space="preserve">T017</x:t>
        </x:is>
      </x:c>
      <x:c r="B144" s="18" t="inlineStr">
        <x:is>
          <x:t xml:space="preserve">Contract &amp; Legal</x:t>
        </x:is>
      </x:c>
      <x:c r="C144" s="18" t="inlineStr">
        <x:is>
          <x:t xml:space="preserve">Build vendor information package</x:t>
        </x:is>
      </x:c>
      <x:c r="D144" s="18" t="inlineStr">
        <x:is>
          <x:t xml:space="preserve">Subprocessor list, insurance certs, security policies, DPA template, BAA readiness, SOC 2 status.</x:t>
        </x:is>
      </x:c>
      <x:c r="E144" s="31" t="inlineStr">
        <x:is>
          <x:t xml:space="preserve">P0</x:t>
        </x:is>
      </x:c>
      <x:c r="F144" s="40" t="inlineStr">
        <x:is>
          <x:t xml:space="preserve">3. CLAUDE + YOU</x:t>
        </x:is>
      </x:c>
      <x:c r="G144" s="18" t="inlineStr">
        <x:is>
          <x:t xml:space="preserve">Anand</x:t>
        </x:is>
      </x:c>
      <x:c r="H144" s="18" t="inlineStr">
        <x:is>
          <x:t xml:space="preserve"/>
        </x:is>
      </x:c>
      <x:c r="I144" s="47" t="inlineStr">
        <x:is>
          <x:t xml:space="preserve">Claude + you</x:t>
        </x:is>
      </x:c>
      <x:c r="J144" s="52" t="inlineStr">
        <x:is>
          <x:t xml:space="preserve">$0</x:t>
        </x:is>
      </x:c>
      <x:c r="K144" s="82" t="inlineStr">
        <x:is>
          <x:t xml:space="preserve">Pre-Resign</x:t>
        </x:is>
      </x:c>
      <x:c r="L144" s="44" t="inlineStr">
        <x:is>
          <x:t xml:space="preserve">Not started</x:t>
        </x:is>
      </x:c>
      <x:c r="M144" s="18" t="inlineStr">
        <x:is>
          <x:t xml:space="preserve">F500 will ask for ALL of this inline</x:t>
        </x:is>
      </x:c>
    </x:row>
    <x:row r="145">
      <x:c r="A145" s="18" t="inlineStr">
        <x:is>
          <x:t xml:space="preserve">T022</x:t>
        </x:is>
      </x:c>
      <x:c r="B145" s="18" t="inlineStr">
        <x:is>
          <x:t xml:space="preserve">Contract &amp; Legal</x:t>
        </x:is>
      </x:c>
      <x:c r="C145" s="18" t="inlineStr">
        <x:is>
          <x:t xml:space="preserve">Lock pilot success criteria + auto-conversion mechanic</x:t>
        </x:is>
      </x:c>
      <x:c r="D145" s="18" t="inlineStr">
        <x:is>
          <x:t xml:space="preserve">E.g., 3 Moves launched, X users active, NPS &gt; Y. Auto-convert unless client opts out.</x:t>
        </x:is>
      </x:c>
      <x:c r="E145" s="31" t="inlineStr">
        <x:is>
          <x:t xml:space="preserve">P0</x:t>
        </x:is>
      </x:c>
      <x:c r="F145" s="40" t="inlineStr">
        <x:is>
          <x:t xml:space="preserve">3. CLAUDE + YOU</x:t>
        </x:is>
      </x:c>
      <x:c r="G145" s="18" t="inlineStr">
        <x:is>
          <x:t xml:space="preserve">Anand</x:t>
        </x:is>
      </x:c>
      <x:c r="H145" s="18" t="inlineStr">
        <x:is>
          <x:t xml:space="preserve"/>
        </x:is>
      </x:c>
      <x:c r="I145" s="47" t="inlineStr">
        <x:is>
          <x:t xml:space="preserve">Claude + you</x:t>
        </x:is>
      </x:c>
      <x:c r="J145" s="52" t="inlineStr">
        <x:is>
          <x:t xml:space="preserve">$0</x:t>
        </x:is>
      </x:c>
      <x:c r="K145" s="82" t="inlineStr">
        <x:is>
          <x:t xml:space="preserve">Pre-Resign</x:t>
        </x:is>
      </x:c>
      <x:c r="L145" s="44" t="inlineStr">
        <x:is>
          <x:t xml:space="preserve">Not started</x:t>
        </x:is>
      </x:c>
      <x:c r="M145" s="18" t="inlineStr">
        <x:is>
          <x:t xml:space="preserve">Reduces month-3 ambiguity</x:t>
        </x:is>
      </x:c>
    </x:row>
    <x:row r="146">
      <x:c r="A146" s="18" t="inlineStr">
        <x:is>
          <x:t xml:space="preserve">T019</x:t>
        </x:is>
      </x:c>
      <x:c r="B146" s="18" t="inlineStr">
        <x:is>
          <x:t xml:space="preserve">Contract &amp; Legal</x:t>
        </x:is>
      </x:c>
      <x:c r="C146" s="18" t="inlineStr">
        <x:is>
          <x:t xml:space="preserve">Review client NDA — IP assignment, non-solicit, publicity</x:t>
        </x:is>
      </x:c>
      <x:c r="D146" s="18" t="inlineStr">
        <x:is>
          <x:t xml:space="preserve">Many enterprise NDAs contain landmines. Redline before signing.</x:t>
        </x:is>
      </x:c>
      <x:c r="E146" s="31" t="inlineStr">
        <x:is>
          <x:t xml:space="preserve">P0</x:t>
        </x:is>
      </x:c>
      <x:c r="F146" s="41" t="inlineStr">
        <x:is>
          <x:t xml:space="preserve">4. CLAUDE + PRO</x:t>
        </x:is>
      </x:c>
      <x:c r="G146" s="18" t="inlineStr">
        <x:is>
          <x:t xml:space="preserve">Anand</x:t>
        </x:is>
      </x:c>
      <x:c r="H146" s="18" t="inlineStr">
        <x:is>
          <x:t xml:space="preserve">T006</x:t>
        </x:is>
      </x:c>
      <x:c r="I146" s="50" t="inlineStr">
        <x:is>
          <x:t xml:space="preserve">Claude + lawyer</x:t>
        </x:is>
      </x:c>
      <x:c r="J146" s="51" t="inlineStr">
        <x:is>
          <x:t xml:space="preserve">$1-2k (lawyer)</x:t>
        </x:is>
      </x:c>
      <x:c r="K146" s="82" t="inlineStr">
        <x:is>
          <x:t xml:space="preserve">Pre-Resign</x:t>
        </x:is>
      </x:c>
      <x:c r="L146" s="44" t="inlineStr">
        <x:is>
          <x:t xml:space="preserve">Not started</x:t>
        </x:is>
      </x:c>
      <x:c r="M146" s="18" t="inlineStr">
        <x:is>
          <x:t xml:space="preserve"/>
        </x:is>
      </x:c>
    </x:row>
    <x:row r="147">
      <x:c r="A147" s="18" t="inlineStr">
        <x:is>
          <x:t xml:space="preserve">T020</x:t>
        </x:is>
      </x:c>
      <x:c r="B147" s="18" t="inlineStr">
        <x:is>
          <x:t xml:space="preserve">Contract &amp; Legal</x:t>
        </x:is>
      </x:c>
      <x:c r="C147" s="18" t="inlineStr">
        <x:is>
          <x:t xml:space="preserve">Review client MSA — apply 8-clause redline brief</x:t>
        </x:is>
      </x:c>
      <x:c r="D147" s="18" t="inlineStr">
        <x:is>
          <x:t xml:space="preserve">Always start from client paper. Always redline.</x:t>
        </x:is>
      </x:c>
      <x:c r="E147" s="31" t="inlineStr">
        <x:is>
          <x:t xml:space="preserve">P0</x:t>
        </x:is>
      </x:c>
      <x:c r="F147" s="41" t="inlineStr">
        <x:is>
          <x:t xml:space="preserve">4. CLAUDE + PRO</x:t>
        </x:is>
      </x:c>
      <x:c r="G147" s="18" t="inlineStr">
        <x:is>
          <x:t xml:space="preserve">Anand</x:t>
        </x:is>
      </x:c>
      <x:c r="H147" s="18" t="inlineStr">
        <x:is>
          <x:t xml:space="preserve">T006,T015</x:t>
        </x:is>
      </x:c>
      <x:c r="I147" s="50" t="inlineStr">
        <x:is>
          <x:t xml:space="preserve">Claude + lawyer</x:t>
        </x:is>
      </x:c>
      <x:c r="J147" s="51" t="inlineStr">
        <x:is>
          <x:t xml:space="preserve">$3-5k (lawyer)</x:t>
        </x:is>
      </x:c>
      <x:c r="K147" s="82" t="inlineStr">
        <x:is>
          <x:t xml:space="preserve">Pre-Resign</x:t>
        </x:is>
      </x:c>
      <x:c r="L147" s="44" t="inlineStr">
        <x:is>
          <x:t xml:space="preserve">Not started</x:t>
        </x:is>
      </x:c>
      <x:c r="M147" s="18" t="inlineStr">
        <x:is>
          <x:t xml:space="preserve"/>
        </x:is>
      </x:c>
    </x:row>
    <x:row r="148">
      <x:c r="A148" s="18" t="inlineStr">
        <x:is>
          <x:t xml:space="preserve">T021</x:t>
        </x:is>
      </x:c>
      <x:c r="B148" s="18" t="inlineStr">
        <x:is>
          <x:t xml:space="preserve">Contract &amp; Legal</x:t>
        </x:is>
      </x:c>
      <x:c r="C148" s="18" t="inlineStr">
        <x:is>
          <x:t xml:space="preserve">Review client SOW — scope, deliverables, SLAs, change-order rate</x:t>
        </x:is>
      </x:c>
      <x:c r="D148" s="18" t="inlineStr">
        <x:is>
          <x:t xml:space="preserve">Pre-agree $375/hr (or $400) change-order rate inline.</x:t>
        </x:is>
      </x:c>
      <x:c r="E148" s="31" t="inlineStr">
        <x:is>
          <x:t xml:space="preserve">P0</x:t>
        </x:is>
      </x:c>
      <x:c r="F148" s="41" t="inlineStr">
        <x:is>
          <x:t xml:space="preserve">4. CLAUDE + PRO</x:t>
        </x:is>
      </x:c>
      <x:c r="G148" s="18" t="inlineStr">
        <x:is>
          <x:t xml:space="preserve">Anand</x:t>
        </x:is>
      </x:c>
      <x:c r="H148" s="18" t="inlineStr">
        <x:is>
          <x:t xml:space="preserve">T006</x:t>
        </x:is>
      </x:c>
      <x:c r="I148" s="50" t="inlineStr">
        <x:is>
          <x:t xml:space="preserve">Claude + lawyer</x:t>
        </x:is>
      </x:c>
      <x:c r="J148" s="51" t="inlineStr">
        <x:is>
          <x:t xml:space="preserve">$1-2k (lawyer)</x:t>
        </x:is>
      </x:c>
      <x:c r="K148" s="82" t="inlineStr">
        <x:is>
          <x:t xml:space="preserve">Pre-Resign</x:t>
        </x:is>
      </x:c>
      <x:c r="L148" s="44" t="inlineStr">
        <x:is>
          <x:t xml:space="preserve">Not started</x:t>
        </x:is>
      </x:c>
      <x:c r="M148" s="18" t="inlineStr">
        <x:is>
          <x:t xml:space="preserve"/>
        </x:is>
      </x:c>
    </x:row>
    <x:row r="149">
      <x:c r="A149" s="18" t="inlineStr">
        <x:is>
          <x:t xml:space="preserve">T016</x:t>
        </x:is>
      </x:c>
      <x:c r="B149" s="18" t="inlineStr">
        <x:is>
          <x:t xml:space="preserve">Contract &amp; Legal</x:t>
        </x:is>
      </x:c>
      <x:c r="C149" s="18" t="inlineStr">
        <x:is>
          <x:t xml:space="preserve">Lawyer pre-blesses the redline brief</x:t>
        </x:is>
      </x:c>
      <x:c r="D149" s="18" t="inlineStr">
        <x:is>
          <x:t xml:space="preserve">1hr review, ~$1-2k. Reusable across every future deal.</x:t>
        </x:is>
      </x:c>
      <x:c r="E149" s="31" t="inlineStr">
        <x:is>
          <x:t xml:space="preserve">P0</x:t>
        </x:is>
      </x:c>
      <x:c r="F149" s="42" t="inlineStr">
        <x:is>
          <x:t xml:space="preserve">5. EXTERNAL</x:t>
        </x:is>
      </x:c>
      <x:c r="G149" s="18" t="inlineStr">
        <x:is>
          <x:t xml:space="preserve">Anand</x:t>
        </x:is>
      </x:c>
      <x:c r="H149" s="18" t="inlineStr">
        <x:is>
          <x:t xml:space="preserve">T006,T015</x:t>
        </x:is>
      </x:c>
      <x:c r="I149" s="48" t="inlineStr">
        <x:is>
          <x:t xml:space="preserve">3rd party: lawyer</x:t>
        </x:is>
      </x:c>
      <x:c r="J149" s="51" t="inlineStr">
        <x:is>
          <x:t xml:space="preserve">$1-2k one-time</x:t>
        </x:is>
      </x:c>
      <x:c r="K149" s="82" t="inlineStr">
        <x:is>
          <x:t xml:space="preserve">Pre-Resign</x:t>
        </x:is>
      </x:c>
      <x:c r="L149" s="44" t="inlineStr">
        <x:is>
          <x:t xml:space="preserve">Not started</x:t>
        </x:is>
      </x:c>
      <x:c r="M149" s="18" t="inlineStr">
        <x:is>
          <x:t xml:space="preserve"/>
        </x:is>
      </x:c>
    </x:row>
    <x:row r="150">
      <x:c r="A150" s="18" t="inlineStr">
        <x:is>
          <x:t xml:space="preserve">T023</x:t>
        </x:is>
      </x:c>
      <x:c r="B150" s="18" t="inlineStr">
        <x:is>
          <x:t xml:space="preserve">Contract &amp; Legal</x:t>
        </x:is>
      </x:c>
      <x:c r="C150" s="18" t="inlineStr">
        <x:is>
          <x:t xml:space="preserve">Define reference rights (logo + case study after 90d)</x:t>
        </x:is>
      </x:c>
      <x:c r="D150" s="18" t="inlineStr">
        <x:is>
          <x:t xml:space="preserve">Push hard. First reference customer is worth more than the cash.</x:t>
        </x:is>
      </x:c>
      <x:c r="E150" s="31" t="inlineStr">
        <x:is>
          <x:t xml:space="preserve">P0</x:t>
        </x:is>
      </x:c>
      <x:c r="F150" s="42" t="inlineStr">
        <x:is>
          <x:t xml:space="preserve">5. EXTERNAL</x:t>
        </x:is>
      </x:c>
      <x:c r="G150" s="18" t="inlineStr">
        <x:is>
          <x:t xml:space="preserve">Anand</x:t>
        </x:is>
      </x:c>
      <x:c r="H150" s="18" t="inlineStr">
        <x:is>
          <x:t xml:space="preserve"/>
        </x:is>
      </x:c>
      <x:c r="I150" s="48" t="inlineStr">
        <x:is>
          <x:t xml:space="preserve">You only</x:t>
        </x:is>
      </x:c>
      <x:c r="J150" s="52" t="inlineStr">
        <x:is>
          <x:t xml:space="preserve">$0</x:t>
        </x:is>
      </x:c>
      <x:c r="K150" s="83" t="inlineStr">
        <x:is>
          <x:t xml:space="preserve">Post-Resign</x:t>
        </x:is>
      </x:c>
      <x:c r="L150" s="44" t="inlineStr">
        <x:is>
          <x:t xml:space="preserve">Not started</x:t>
        </x:is>
      </x:c>
      <x:c r="M150" s="18" t="inlineStr">
        <x:is>
          <x:t xml:space="preserve"/>
        </x:is>
      </x:c>
    </x:row>
    <x:row r="151">
      <x:c r="A151" s="18" t="inlineStr">
        <x:is>
          <x:t xml:space="preserve">T024</x:t>
        </x:is>
      </x:c>
      <x:c r="B151" s="18" t="inlineStr">
        <x:is>
          <x:t xml:space="preserve">Contract &amp; Legal</x:t>
        </x:is>
      </x:c>
      <x:c r="C151" s="18" t="inlineStr">
        <x:is>
          <x:t xml:space="preserve">Pre-agree payment terms: Net 30 or annual pre-pay</x:t>
        </x:is>
      </x:c>
      <x:c r="D151" s="18" t="inlineStr">
        <x:is>
          <x:t xml:space="preserve">Net 60/90 will starve a startup. Annual pre-pay with 5-10% discount preferred.</x:t>
        </x:is>
      </x:c>
      <x:c r="E151" s="31" t="inlineStr">
        <x:is>
          <x:t xml:space="preserve">P0</x:t>
        </x:is>
      </x:c>
      <x:c r="F151" s="42" t="inlineStr">
        <x:is>
          <x:t xml:space="preserve">5. EXTERNAL</x:t>
        </x:is>
      </x:c>
      <x:c r="G151" s="18" t="inlineStr">
        <x:is>
          <x:t xml:space="preserve">Anand</x:t>
        </x:is>
      </x:c>
      <x:c r="H151" s="18" t="inlineStr">
        <x:is>
          <x:t xml:space="preserve"/>
        </x:is>
      </x:c>
      <x:c r="I151" s="48" t="inlineStr">
        <x:is>
          <x:t xml:space="preserve">You only</x:t>
        </x:is>
      </x:c>
      <x:c r="J151" s="52" t="inlineStr">
        <x:is>
          <x:t xml:space="preserve">$0</x:t>
        </x:is>
      </x:c>
      <x:c r="K151" s="82" t="inlineStr">
        <x:is>
          <x:t xml:space="preserve">Pre-Resign</x:t>
        </x:is>
      </x:c>
      <x:c r="L151" s="44" t="inlineStr">
        <x:is>
          <x:t xml:space="preserve">Not started</x:t>
        </x:is>
      </x:c>
      <x:c r="M151" s="18" t="inlineStr">
        <x:is>
          <x:t xml:space="preserve">Cash &gt; margin at this stage</x:t>
        </x:is>
      </x:c>
    </x:row>
    <x:row r="152">
      <x:c r="A152" s="18" t="inlineStr">
        <x:is>
          <x:t xml:space="preserve">T025</x:t>
        </x:is>
      </x:c>
      <x:c r="B152" s="18" t="inlineStr">
        <x:is>
          <x:t xml:space="preserve">Contract &amp; Legal</x:t>
        </x:is>
      </x:c>
      <x:c r="C152" s="18" t="inlineStr">
        <x:is>
          <x:t xml:space="preserve">Lock annual escalator (CPI+3% or 5% flat)</x:t>
        </x:is>
      </x:c>
      <x:c r="D152" s="18" t="inlineStr">
        <x:is>
          <x:t xml:space="preserve">Standard SaaS.</x:t>
        </x:is>
      </x:c>
      <x:c r="E152" s="32" t="inlineStr">
        <x:is>
          <x:t xml:space="preserve">P1</x:t>
        </x:is>
      </x:c>
      <x:c r="F152" s="42" t="inlineStr">
        <x:is>
          <x:t xml:space="preserve">5. EXTERNAL</x:t>
        </x:is>
      </x:c>
      <x:c r="G152" s="18" t="inlineStr">
        <x:is>
          <x:t xml:space="preserve">Anand</x:t>
        </x:is>
      </x:c>
      <x:c r="H152" s="18" t="inlineStr">
        <x:is>
          <x:t xml:space="preserve"/>
        </x:is>
      </x:c>
      <x:c r="I152" s="48" t="inlineStr">
        <x:is>
          <x:t xml:space="preserve">You only</x:t>
        </x:is>
      </x:c>
      <x:c r="J152" s="52" t="inlineStr">
        <x:is>
          <x:t xml:space="preserve">$0</x:t>
        </x:is>
      </x:c>
      <x:c r="K152" s="83" t="inlineStr">
        <x:is>
          <x:t xml:space="preserve">Post-Resign</x:t>
        </x:is>
      </x:c>
      <x:c r="L152" s="44" t="inlineStr">
        <x:is>
          <x:t xml:space="preserve">Not started</x:t>
        </x:is>
      </x:c>
      <x:c r="M152" s="18" t="inlineStr">
        <x:is>
          <x:t xml:space="preserve"/>
        </x:is>
      </x:c>
    </x:row>
    <x:row r="153">
      <x:c r="A153" s="18" t="inlineStr">
        <x:is>
          <x:t xml:space="preserve">T306</x:t>
        </x:is>
      </x:c>
      <x:c r="B153" s="18" t="inlineStr">
        <x:is>
          <x:t xml:space="preserve">Employer Conflict</x:t>
        </x:is>
      </x:c>
      <x:c r="C153" s="18" t="inlineStr">
        <x:is>
          <x:t xml:space="preserve">TODAY: Pull Accenture employment agreement + every addendum/amendment ever signed</x:t>
        </x:is>
      </x:c>
      <x:c r="D153" s="18" t="inlineStr">
        <x:is>
          <x:t xml:space="preserve">Read cold. Need to know exact non-compete, non-solicit, confidentiality, IP-assignment language. Upstream of everything.</x:t>
        </x:is>
      </x:c>
      <x:c r="E153" s="31" t="inlineStr">
        <x:is>
          <x:t xml:space="preserve">P0</x:t>
        </x:is>
      </x:c>
      <x:c r="F153" s="38" t="inlineStr">
        <x:is>
          <x:t xml:space="preserve">1. QUICK WIN</x:t>
        </x:is>
      </x:c>
      <x:c r="G153" s="18" t="inlineStr">
        <x:is>
          <x:t xml:space="preserve">Anand</x:t>
        </x:is>
      </x:c>
      <x:c r="H153" s="18" t="inlineStr">
        <x:is>
          <x:t xml:space="preserve"/>
        </x:is>
      </x:c>
      <x:c r="I153" s="43" t="inlineStr">
        <x:is>
          <x:t xml:space="preserve">Self-serve</x:t>
        </x:is>
      </x:c>
      <x:c r="J153" s="52" t="inlineStr">
        <x:is>
          <x:t xml:space="preserve">$0</x:t>
        </x:is>
      </x:c>
      <x:c r="K153" s="82" t="inlineStr">
        <x:is>
          <x:t xml:space="preserve">Pre-Resign</x:t>
        </x:is>
      </x:c>
      <x:c r="L153" s="44" t="inlineStr">
        <x:is>
          <x:t xml:space="preserve">Not started</x:t>
        </x:is>
      </x:c>
      <x:c r="M153" s="18" t="inlineStr">
        <x:is>
          <x:t xml:space="preserve"/>
        </x:is>
      </x:c>
    </x:row>
    <x:row r="154">
      <x:c r="A154" s="18" t="inlineStr">
        <x:is>
          <x:t xml:space="preserve">T307</x:t>
        </x:is>
      </x:c>
      <x:c r="B154" s="18" t="inlineStr">
        <x:is>
          <x:t xml:space="preserve">Employer Conflict</x:t>
        </x:is>
      </x:c>
      <x:c r="C154" s="18" t="inlineStr">
        <x:is>
          <x:t xml:space="preserve">Identify governing state law (where Accenture entity employs you, not where you live)</x:t>
        </x:is>
      </x:c>
      <x:c r="D154" s="18" t="inlineStr">
        <x:is>
          <x:t xml:space="preserve">Determines non-compete enforceability. CA/WA/MA = favorable. FL/TX = unfavorable. Drives risk assessment.</x:t>
        </x:is>
      </x:c>
      <x:c r="E154" s="31" t="inlineStr">
        <x:is>
          <x:t xml:space="preserve">P0</x:t>
        </x:is>
      </x:c>
      <x:c r="F154" s="38" t="inlineStr">
        <x:is>
          <x:t xml:space="preserve">1. QUICK WIN</x:t>
        </x:is>
      </x:c>
      <x:c r="G154" s="18" t="inlineStr">
        <x:is>
          <x:t xml:space="preserve">Anand</x:t>
        </x:is>
      </x:c>
      <x:c r="H154" s="18" t="inlineStr">
        <x:is>
          <x:t xml:space="preserve"/>
        </x:is>
      </x:c>
      <x:c r="I154" s="43" t="inlineStr">
        <x:is>
          <x:t xml:space="preserve">Self-serve</x:t>
        </x:is>
      </x:c>
      <x:c r="J154" s="52" t="inlineStr">
        <x:is>
          <x:t xml:space="preserve">$0</x:t>
        </x:is>
      </x:c>
      <x:c r="K154" s="82" t="inlineStr">
        <x:is>
          <x:t xml:space="preserve">Pre-Resign</x:t>
        </x:is>
      </x:c>
      <x:c r="L154" s="44" t="inlineStr">
        <x:is>
          <x:t xml:space="preserve">Not started</x:t>
        </x:is>
      </x:c>
      <x:c r="M154" s="18" t="inlineStr">
        <x:is>
          <x:t xml:space="preserve"/>
        </x:is>
      </x:c>
    </x:row>
    <x:row r="155">
      <x:c r="A155" s="18" t="inlineStr">
        <x:is>
          <x:t xml:space="preserve">T319</x:t>
        </x:is>
      </x:c>
      <x:c r="B155" s="18" t="inlineStr">
        <x:is>
          <x:t xml:space="preserve">Employer Conflict</x:t>
        </x:is>
      </x:c>
      <x:c r="C155" s="18" t="inlineStr">
        <x:is>
          <x:t xml:space="preserve">Archive original AbarVa repository with full history — multiple encrypted offline backups</x:t>
        </x:is>
      </x:c>
      <x:c r="D155" s="18" t="inlineStr">
        <x:is>
          <x:t xml:space="preserve">Time Machine + USB drive + encrypted cloud (2+ copies). This is your proof of authorship + timeline. Date-stamp the backups.</x:t>
        </x:is>
      </x:c>
      <x:c r="E155" s="31" t="inlineStr">
        <x:is>
          <x:t xml:space="preserve">P0</x:t>
        </x:is>
      </x:c>
      <x:c r="F155" s="38" t="inlineStr">
        <x:is>
          <x:t xml:space="preserve">1. QUICK WIN</x:t>
        </x:is>
      </x:c>
      <x:c r="G155" s="18" t="inlineStr">
        <x:is>
          <x:t xml:space="preserve">Anand</x:t>
        </x:is>
      </x:c>
      <x:c r="H155" s="18" t="inlineStr">
        <x:is>
          <x:t xml:space="preserve"/>
        </x:is>
      </x:c>
      <x:c r="I155" s="43" t="inlineStr">
        <x:is>
          <x:t xml:space="preserve">Self-serve (backup)</x:t>
        </x:is>
      </x:c>
      <x:c r="J155" s="52" t="inlineStr">
        <x:is>
          <x:t xml:space="preserve">$0</x:t>
        </x:is>
      </x:c>
      <x:c r="K155" s="82" t="inlineStr">
        <x:is>
          <x:t xml:space="preserve">Pre-Resign</x:t>
        </x:is>
      </x:c>
      <x:c r="L155" s="44" t="inlineStr">
        <x:is>
          <x:t xml:space="preserve">Not started</x:t>
        </x:is>
      </x:c>
      <x:c r="M155" s="18" t="inlineStr">
        <x:is>
          <x:t xml:space="preserve"/>
        </x:is>
      </x:c>
    </x:row>
    <x:row r="156">
      <x:c r="A156" s="18" t="inlineStr">
        <x:is>
          <x:t xml:space="preserve">T320</x:t>
        </x:is>
      </x:c>
      <x:c r="B156" s="18" t="inlineStr">
        <x:is>
          <x:t xml:space="preserve">Employer Conflict</x:t>
        </x:is>
      </x:c>
      <x:c r="C156" s="18" t="inlineStr">
        <x:is>
          <x:t xml:space="preserve">Notarize current code state with OpenTimestamps or similar (tamper-evident proof of existence)</x:t>
        </x:is>
      </x:c>
      <x:c r="D156" s="18" t="inlineStr">
        <x:is>
          <x:t xml:space="preserve">Free service. Generates a cryptographic proof: 'this code existed as of this date.' Belt-and-suspenders on timeline evidence.</x:t>
        </x:is>
      </x:c>
      <x:c r="E156" s="31" t="inlineStr">
        <x:is>
          <x:t xml:space="preserve">P0</x:t>
        </x:is>
      </x:c>
      <x:c r="F156" s="38" t="inlineStr">
        <x:is>
          <x:t xml:space="preserve">1. QUICK WIN</x:t>
        </x:is>
      </x:c>
      <x:c r="G156" s="18" t="inlineStr">
        <x:is>
          <x:t xml:space="preserve">Anand</x:t>
        </x:is>
      </x:c>
      <x:c r="H156" s="18" t="inlineStr">
        <x:is>
          <x:t xml:space="preserve"/>
        </x:is>
      </x:c>
      <x:c r="I156" s="43" t="inlineStr">
        <x:is>
          <x:t xml:space="preserve">Self-serve</x:t>
        </x:is>
      </x:c>
      <x:c r="J156" s="52" t="inlineStr">
        <x:is>
          <x:t xml:space="preserve">$0 (OpenTimestamps free)</x:t>
        </x:is>
      </x:c>
      <x:c r="K156" s="82" t="inlineStr">
        <x:is>
          <x:t xml:space="preserve">Pre-Resign</x:t>
        </x:is>
      </x:c>
      <x:c r="L156" s="44" t="inlineStr">
        <x:is>
          <x:t xml:space="preserve">Not started</x:t>
        </x:is>
      </x:c>
      <x:c r="M156" s="18" t="inlineStr">
        <x:is>
          <x:t xml:space="preserve"/>
        </x:is>
      </x:c>
    </x:row>
    <x:row r="157">
      <x:c r="A157" s="18" t="inlineStr">
        <x:is>
          <x:t xml:space="preserve">T321</x:t>
        </x:is>
      </x:c>
      <x:c r="B157" s="18" t="inlineStr">
        <x:is>
          <x:t xml:space="preserve">Employer Conflict</x:t>
        </x:is>
      </x:c>
      <x:c r="C157" s="18" t="inlineStr">
        <x:is>
          <x:t xml:space="preserve">Build personal evidence portfolio: MacBook ownership proof, Apple receipts, domain registration dates, personal credit card records for AbarVa spend</x:t>
        </x:is>
      </x:c>
      <x:c r="D157" s="18" t="inlineStr">
        <x:is>
          <x:t xml:space="preserve">Discoverable proof that work was on personal equipment + personal funds. Save in same archive as code. NOTE: 5/17-5/26 vacation work is gold-standard evidence — capture vacation request records + commit timestamps in this window.</x:t>
        </x:is>
      </x:c>
      <x:c r="E157" s="31" t="inlineStr">
        <x:is>
          <x:t xml:space="preserve">P0</x:t>
        </x:is>
      </x:c>
      <x:c r="F157" s="38" t="inlineStr">
        <x:is>
          <x:t xml:space="preserve">1. QUICK WIN</x:t>
        </x:is>
      </x:c>
      <x:c r="G157" s="18" t="inlineStr">
        <x:is>
          <x:t xml:space="preserve">Anand</x:t>
        </x:is>
      </x:c>
      <x:c r="H157" s="18" t="inlineStr">
        <x:is>
          <x:t xml:space="preserve"/>
        </x:is>
      </x:c>
      <x:c r="I157" s="43" t="inlineStr">
        <x:is>
          <x:t xml:space="preserve">Self-serve (compile)</x:t>
        </x:is>
      </x:c>
      <x:c r="J157" s="52" t="inlineStr">
        <x:is>
          <x:t xml:space="preserve">$0</x:t>
        </x:is>
      </x:c>
      <x:c r="K157" s="82" t="inlineStr">
        <x:is>
          <x:t xml:space="preserve">Pre-Resign</x:t>
        </x:is>
      </x:c>
      <x:c r="L157" s="44" t="inlineStr">
        <x:is>
          <x:t xml:space="preserve">Not started</x:t>
        </x:is>
      </x:c>
      <x:c r="M157" s="18" t="inlineStr">
        <x:is>
          <x:t xml:space="preserve">5/17-5/26 PTO concentrated build = clean evidence</x:t>
        </x:is>
      </x:c>
    </x:row>
    <x:row r="158">
      <x:c r="A158" s="18" t="inlineStr">
        <x:is>
          <x:t xml:space="preserve">T323</x:t>
        </x:is>
      </x:c>
      <x:c r="B158" s="18" t="inlineStr">
        <x:is>
          <x:t xml:space="preserve">Employer Conflict</x:t>
        </x:is>
      </x:c>
      <x:c r="C158" s="18" t="inlineStr">
        <x:is>
          <x:t xml:space="preserve">New AbarVa Inc. corporate repo: import code as initial commit + clearly state assignment in commit message</x:t>
        </x:is>
      </x:c>
      <x:c r="D158" s="18" t="inlineStr">
        <x:is>
          <x:t xml:space="preserve">New repo date is fine — it's a transfer event, not concealment. Commit message references the assignment agreement. Original repo preserved as archive.</x:t>
        </x:is>
      </x:c>
      <x:c r="E158" s="31" t="inlineStr">
        <x:is>
          <x:t xml:space="preserve">P0</x:t>
        </x:is>
      </x:c>
      <x:c r="F158" s="38" t="inlineStr">
        <x:is>
          <x:t xml:space="preserve">1. QUICK WIN</x:t>
        </x:is>
      </x:c>
      <x:c r="G158" s="18" t="inlineStr">
        <x:is>
          <x:t xml:space="preserve">Anand</x:t>
        </x:is>
      </x:c>
      <x:c r="H158" s="18" t="inlineStr">
        <x:is>
          <x:t xml:space="preserve"/>
        </x:is>
      </x:c>
      <x:c r="I158" s="43" t="inlineStr">
        <x:is>
          <x:t xml:space="preserve">Self-serve (git)</x:t>
        </x:is>
      </x:c>
      <x:c r="J158" s="52" t="inlineStr">
        <x:is>
          <x:t xml:space="preserve">$0</x:t>
        </x:is>
      </x:c>
      <x:c r="K158" s="82" t="inlineStr">
        <x:is>
          <x:t xml:space="preserve">Pre-Resign</x:t>
        </x:is>
      </x:c>
      <x:c r="L158" s="44" t="inlineStr">
        <x:is>
          <x:t xml:space="preserve">Not started</x:t>
        </x:is>
      </x:c>
      <x:c r="M158" s="18" t="inlineStr">
        <x:is>
          <x:t xml:space="preserve"/>
        </x:is>
      </x:c>
    </x:row>
    <x:row r="159">
      <x:c r="A159" s="18" t="inlineStr">
        <x:is>
          <x:t xml:space="preserve">T312</x:t>
        </x:is>
      </x:c>
      <x:c r="B159" s="18" t="inlineStr">
        <x:is>
          <x:t xml:space="preserve">Employer Conflict</x:t>
        </x:is>
      </x:c>
      <x:c r="C159" s="18" t="inlineStr">
        <x:is>
          <x:t xml:space="preserve">Audit AbarVa corpus + Move templates + methodologies for any Accenture-derived material</x:t>
        </x:is>
      </x:c>
      <x:c r="D159" s="18" t="inlineStr">
        <x:is>
          <x:t xml:space="preserve">Patterns must derive from public sources or original work — NOT from Accenture engagements. Scrub anything ambiguous.</x:t>
        </x:is>
      </x:c>
      <x:c r="E159" s="31" t="inlineStr">
        <x:is>
          <x:t xml:space="preserve">P0</x:t>
        </x:is>
      </x:c>
      <x:c r="F159" s="39" t="inlineStr">
        <x:is>
          <x:t xml:space="preserve">2. CLAUDE DOES IT</x:t>
        </x:is>
      </x:c>
      <x:c r="G159" s="18" t="inlineStr">
        <x:is>
          <x:t xml:space="preserve">Anand</x:t>
        </x:is>
      </x:c>
      <x:c r="H159" s="18" t="inlineStr">
        <x:is>
          <x:t xml:space="preserve"/>
        </x:is>
      </x:c>
      <x:c r="I159" s="45" t="inlineStr">
        <x:is>
          <x:t xml:space="preserve">Claude (audit) + you</x:t>
        </x:is>
      </x:c>
      <x:c r="J159" s="52" t="inlineStr">
        <x:is>
          <x:t xml:space="preserve">$0</x:t>
        </x:is>
      </x:c>
      <x:c r="K159" s="82" t="inlineStr">
        <x:is>
          <x:t xml:space="preserve">Pre-Resign</x:t>
        </x:is>
      </x:c>
      <x:c r="L159" s="44" t="inlineStr">
        <x:is>
          <x:t xml:space="preserve">Not started</x:t>
        </x:is>
      </x:c>
      <x:c r="M159" s="18" t="inlineStr">
        <x:is>
          <x:t xml:space="preserve"/>
        </x:is>
      </x:c>
    </x:row>
    <x:row r="160">
      <x:c r="A160" s="18" t="inlineStr">
        <x:is>
          <x:t xml:space="preserve">T322</x:t>
        </x:is>
      </x:c>
      <x:c r="B160" s="18" t="inlineStr">
        <x:is>
          <x:t xml:space="preserve">Employer Conflict</x:t>
        </x:is>
      </x:c>
      <x:c r="C160" s="18" t="inlineStr">
        <x:is>
          <x:t xml:space="preserve">Post-incorporation: clean IP assignment from founder to AbarVa Inc. (written agreement, dated)</x:t>
        </x:is>
      </x:c>
      <x:c r="D160" s="18" t="inlineStr">
        <x:is>
          <x:t xml:space="preserve">'Founder transfers all rights in code created on personal time/equipment between [date] and [date] to AbarVa Inc.' Lawyer drafts. THIS is the right way to 'transfer to company' — not git wipe.</x:t>
        </x:is>
      </x:c>
      <x:c r="E160" s="31" t="inlineStr">
        <x:is>
          <x:t xml:space="preserve">P0</x:t>
        </x:is>
      </x:c>
      <x:c r="F160" s="39" t="inlineStr">
        <x:is>
          <x:t xml:space="preserve">2. CLAUDE DOES IT</x:t>
        </x:is>
      </x:c>
      <x:c r="G160" s="18" t="inlineStr">
        <x:is>
          <x:t xml:space="preserve">Anand</x:t>
        </x:is>
      </x:c>
      <x:c r="H160" s="18" t="inlineStr">
        <x:is>
          <x:t xml:space="preserve"/>
        </x:is>
      </x:c>
      <x:c r="I160" s="45" t="inlineStr">
        <x:is>
          <x:t xml:space="preserve">Claude (draft) + lawyer</x:t>
        </x:is>
      </x:c>
      <x:c r="J160" s="51" t="inlineStr">
        <x:is>
          <x:t xml:space="preserve">$500 (within lawyer initial)</x:t>
        </x:is>
      </x:c>
      <x:c r="K160" s="82" t="inlineStr">
        <x:is>
          <x:t xml:space="preserve">Pre-Resign</x:t>
        </x:is>
      </x:c>
      <x:c r="L160" s="44" t="inlineStr">
        <x:is>
          <x:t xml:space="preserve">Not started</x:t>
        </x:is>
      </x:c>
      <x:c r="M160" s="18" t="inlineStr">
        <x:is>
          <x:t xml:space="preserve"/>
        </x:is>
      </x:c>
    </x:row>
    <x:row r="161">
      <x:c r="A161" s="18" t="inlineStr">
        <x:is>
          <x:t xml:space="preserve">T311</x:t>
        </x:is>
      </x:c>
      <x:c r="B161" s="18" t="inlineStr">
        <x:is>
          <x:t xml:space="preserve">Employer Conflict</x:t>
        </x:is>
      </x:c>
      <x:c r="C161" s="18" t="inlineStr">
        <x:is>
          <x:t xml:space="preserve">Document AbarVa development timeline — clean separation from Accenture work</x:t>
        </x:is>
      </x:c>
      <x:c r="D161" s="18" t="inlineStr">
        <x:is>
          <x:t xml:space="preserve">Personal time, personal equipment, no Accenture resources, no Accenture client data. Git commits, time stamps, equipment IDs. Defensible audit trail if challenged.</x:t>
        </x:is>
      </x:c>
      <x:c r="E161" s="31" t="inlineStr">
        <x:is>
          <x:t xml:space="preserve">P0</x:t>
        </x:is>
      </x:c>
      <x:c r="F161" s="40" t="inlineStr">
        <x:is>
          <x:t xml:space="preserve">3. CLAUDE + YOU</x:t>
        </x:is>
      </x:c>
      <x:c r="G161" s="18" t="inlineStr">
        <x:is>
          <x:t xml:space="preserve">Anand</x:t>
        </x:is>
      </x:c>
      <x:c r="H161" s="18" t="inlineStr">
        <x:is>
          <x:t xml:space="preserve"/>
        </x:is>
      </x:c>
      <x:c r="I161" s="47" t="inlineStr">
        <x:is>
          <x:t xml:space="preserve">Claude + you (compile)</x:t>
        </x:is>
      </x:c>
      <x:c r="J161" s="52" t="inlineStr">
        <x:is>
          <x:t xml:space="preserve">$0</x:t>
        </x:is>
      </x:c>
      <x:c r="K161" s="82" t="inlineStr">
        <x:is>
          <x:t xml:space="preserve">Pre-Resign</x:t>
        </x:is>
      </x:c>
      <x:c r="L161" s="44" t="inlineStr">
        <x:is>
          <x:t xml:space="preserve">Not started</x:t>
        </x:is>
      </x:c>
      <x:c r="M161" s="18" t="inlineStr">
        <x:is>
          <x:t xml:space="preserve"/>
        </x:is>
      </x:c>
    </x:row>
    <x:row r="162">
      <x:c r="A162" s="18" t="inlineStr">
        <x:is>
          <x:t xml:space="preserve">T314</x:t>
        </x:is>
      </x:c>
      <x:c r="B162" s="18" t="inlineStr">
        <x:is>
          <x:t xml:space="preserve">Employer Conflict</x:t>
        </x:is>
      </x:c>
      <x:c r="C162" s="18" t="inlineStr">
        <x:is>
          <x:t xml:space="preserve">Plan notice period + garden leave (if required) — bake into pilot timing</x:t>
        </x:is>
      </x:c>
      <x:c r="D162" s="18" t="inlineStr">
        <x:is>
          <x:t xml:space="preserve">Accenture notice typically 30-90 days senior level. Garden leave may delay your free-to-work date. Must align with July 1 pilot kickoff target.</x:t>
        </x:is>
      </x:c>
      <x:c r="E162" s="31" t="inlineStr">
        <x:is>
          <x:t xml:space="preserve">P0</x:t>
        </x:is>
      </x:c>
      <x:c r="F162" s="40" t="inlineStr">
        <x:is>
          <x:t xml:space="preserve">3. CLAUDE + YOU</x:t>
        </x:is>
      </x:c>
      <x:c r="G162" s="18" t="inlineStr">
        <x:is>
          <x:t xml:space="preserve">Anand</x:t>
        </x:is>
      </x:c>
      <x:c r="H162" s="18" t="inlineStr">
        <x:is>
          <x:t xml:space="preserve"/>
        </x:is>
      </x:c>
      <x:c r="I162" s="47" t="inlineStr">
        <x:is>
          <x:t xml:space="preserve">Claude + you</x:t>
        </x:is>
      </x:c>
      <x:c r="J162" s="52" t="inlineStr">
        <x:is>
          <x:t xml:space="preserve">$0</x:t>
        </x:is>
      </x:c>
      <x:c r="K162" s="82" t="inlineStr">
        <x:is>
          <x:t xml:space="preserve">Pre-Resign</x:t>
        </x:is>
      </x:c>
      <x:c r="L162" s="44" t="inlineStr">
        <x:is>
          <x:t xml:space="preserve">Not started</x:t>
        </x:is>
      </x:c>
      <x:c r="M162" s="18" t="inlineStr">
        <x:is>
          <x:t xml:space="preserve"/>
        </x:is>
      </x:c>
    </x:row>
    <x:row r="163">
      <x:c r="A163" s="18" t="inlineStr">
        <x:is>
          <x:t xml:space="preserve">T308</x:t>
        </x:is>
      </x:c>
      <x:c r="B163" s="18" t="inlineStr">
        <x:is>
          <x:t xml:space="preserve">Employer Conflict</x:t>
        </x:is>
      </x:c>
      <x:c r="C163" s="18" t="inlineStr">
        <x:is>
          <x:t xml:space="preserve">Engage employment lawyer (separate from corp/tech lawyer) for Accenture-specific opinion letter</x:t>
        </x:is>
      </x:c>
      <x:c r="D163" s="18" t="inlineStr">
        <x:is>
          <x:t xml:space="preserve">$2-5k. Review non-compete, non-solicit, confidentiality, IP. Get WRITTEN opinion you can rely on.</x:t>
        </x:is>
      </x:c>
      <x:c r="E163" s="31" t="inlineStr">
        <x:is>
          <x:t xml:space="preserve">P0</x:t>
        </x:is>
      </x:c>
      <x:c r="F163" s="42" t="inlineStr">
        <x:is>
          <x:t xml:space="preserve">5. EXTERNAL</x:t>
        </x:is>
      </x:c>
      <x:c r="G163" s="18" t="inlineStr">
        <x:is>
          <x:t xml:space="preserve">Anand</x:t>
        </x:is>
      </x:c>
      <x:c r="H163" s="18" t="inlineStr">
        <x:is>
          <x:t xml:space="preserve"/>
        </x:is>
      </x:c>
      <x:c r="I163" s="48" t="inlineStr">
        <x:is>
          <x:t xml:space="preserve">3rd party: employment lawyer</x:t>
        </x:is>
      </x:c>
      <x:c r="J163" s="51" t="inlineStr">
        <x:is>
          <x:t xml:space="preserve">$2-5k one-time</x:t>
        </x:is>
      </x:c>
      <x:c r="K163" s="82" t="inlineStr">
        <x:is>
          <x:t xml:space="preserve">Pre-Resign</x:t>
        </x:is>
      </x:c>
      <x:c r="L163" s="44" t="inlineStr">
        <x:is>
          <x:t xml:space="preserve">Not started</x:t>
        </x:is>
      </x:c>
      <x:c r="M163" s="18" t="inlineStr">
        <x:is>
          <x:t xml:space="preserve"/>
        </x:is>
      </x:c>
    </x:row>
    <x:row r="164">
      <x:c r="A164" s="18" t="inlineStr">
        <x:is>
          <x:t xml:space="preserve">T309</x:t>
        </x:is>
      </x:c>
      <x:c r="B164" s="18" t="inlineStr">
        <x:is>
          <x:t xml:space="preserve">Employer Conflict</x:t>
        </x:is>
      </x:c>
      <x:c r="C164" s="18" t="inlineStr">
        <x:is>
          <x:t xml:space="preserve">Map PHS / KK / Surekha against Accenture's client list — any overlap?</x:t>
        </x:is>
      </x:c>
      <x:c r="D164" s="18" t="inlineStr">
        <x:is>
          <x:t xml:space="preserve">If any are current/recent Accenture clients, especially ones you've worked on, that prospect is high-risk.</x:t>
        </x:is>
      </x:c>
      <x:c r="E164" s="31" t="inlineStr">
        <x:is>
          <x:t xml:space="preserve">P0</x:t>
        </x:is>
      </x:c>
      <x:c r="F164" s="42" t="inlineStr">
        <x:is>
          <x:t xml:space="preserve">5. EXTERNAL</x:t>
        </x:is>
      </x:c>
      <x:c r="G164" s="18" t="inlineStr">
        <x:is>
          <x:t xml:space="preserve">Anand</x:t>
        </x:is>
      </x:c>
      <x:c r="H164" s="18" t="inlineStr">
        <x:is>
          <x:t xml:space="preserve"/>
        </x:is>
      </x:c>
      <x:c r="I164" s="48" t="inlineStr">
        <x:is>
          <x:t xml:space="preserve">You only (relationship audit)</x:t>
        </x:is>
      </x:c>
      <x:c r="J164" s="52" t="inlineStr">
        <x:is>
          <x:t xml:space="preserve">$0</x:t>
        </x:is>
      </x:c>
      <x:c r="K164" s="82" t="inlineStr">
        <x:is>
          <x:t xml:space="preserve">Pre-Resign</x:t>
        </x:is>
      </x:c>
      <x:c r="L164" s="44" t="inlineStr">
        <x:is>
          <x:t xml:space="preserve">Not started</x:t>
        </x:is>
      </x:c>
      <x:c r="M164" s="18" t="inlineStr">
        <x:is>
          <x:t xml:space="preserve"/>
        </x:is>
      </x:c>
    </x:row>
    <x:row r="165">
      <x:c r="A165" s="18" t="inlineStr">
        <x:is>
          <x:t xml:space="preserve">T310</x:t>
        </x:is>
      </x:c>
      <x:c r="B165" s="18" t="inlineStr">
        <x:is>
          <x:t xml:space="preserve">Employer Conflict</x:t>
        </x:is>
      </x:c>
      <x:c r="C165" s="18" t="inlineStr">
        <x:is>
          <x:t xml:space="preserve">PAUSE active close sprints until employment lawyer opinion received</x:t>
        </x:is>
      </x:c>
      <x:c r="D165" s="18" t="inlineStr">
        <x:is>
          <x:t xml:space="preserve">Continuing without clarity = career + litigation risk. 1-2 week pause is cheap insurance.</x:t>
        </x:is>
      </x:c>
      <x:c r="E165" s="31" t="inlineStr">
        <x:is>
          <x:t xml:space="preserve">P0</x:t>
        </x:is>
      </x:c>
      <x:c r="F165" s="42" t="inlineStr">
        <x:is>
          <x:t xml:space="preserve">5. EXTERNAL</x:t>
        </x:is>
      </x:c>
      <x:c r="G165" s="18" t="inlineStr">
        <x:is>
          <x:t xml:space="preserve">Anand</x:t>
        </x:is>
      </x:c>
      <x:c r="H165" s="18" t="inlineStr">
        <x:is>
          <x:t xml:space="preserve"/>
        </x:is>
      </x:c>
      <x:c r="I165" s="48" t="inlineStr">
        <x:is>
          <x:t xml:space="preserve">You only (calendar pause)</x:t>
        </x:is>
      </x:c>
      <x:c r="J165" s="52" t="inlineStr">
        <x:is>
          <x:t xml:space="preserve">$0</x:t>
        </x:is>
      </x:c>
      <x:c r="K165" s="82" t="inlineStr">
        <x:is>
          <x:t xml:space="preserve">Pre-Resign</x:t>
        </x:is>
      </x:c>
      <x:c r="L165" s="44" t="inlineStr">
        <x:is>
          <x:t xml:space="preserve">Not started</x:t>
        </x:is>
      </x:c>
      <x:c r="M165" s="18" t="inlineStr">
        <x:is>
          <x:t xml:space="preserve"/>
        </x:is>
      </x:c>
    </x:row>
    <x:row r="166">
      <x:c r="A166" s="18" t="inlineStr">
        <x:is>
          <x:t xml:space="preserve">T313</x:t>
        </x:is>
      </x:c>
      <x:c r="B166" s="18" t="inlineStr">
        <x:is>
          <x:t xml:space="preserve">Employer Conflict</x:t>
        </x:is>
      </x:c>
      <x:c r="C166" s="18" t="inlineStr">
        <x:is>
          <x:t xml:space="preserve">Decide Accenture exit timing relative to pilot signings</x:t>
        </x:is>
      </x:c>
      <x:c r="D166" s="18" t="inlineStr">
        <x:is>
          <x:t xml:space="preserve">Cleanest: leave BEFORE signing pilots, with conflicts cleared. Risky: sign while at Accenture. Worst: sign with client overlap.</x:t>
        </x:is>
      </x:c>
      <x:c r="E166" s="31" t="inlineStr">
        <x:is>
          <x:t xml:space="preserve">P0</x:t>
        </x:is>
      </x:c>
      <x:c r="F166" s="42" t="inlineStr">
        <x:is>
          <x:t xml:space="preserve">5. EXTERNAL</x:t>
        </x:is>
      </x:c>
      <x:c r="G166" s="18" t="inlineStr">
        <x:is>
          <x:t xml:space="preserve">Anand</x:t>
        </x:is>
      </x:c>
      <x:c r="H166" s="18" t="inlineStr">
        <x:is>
          <x:t xml:space="preserve"/>
        </x:is>
      </x:c>
      <x:c r="I166" s="48" t="inlineStr">
        <x:is>
          <x:t xml:space="preserve">You only (strategic decision)</x:t>
        </x:is>
      </x:c>
      <x:c r="J166" s="52" t="inlineStr">
        <x:is>
          <x:t xml:space="preserve">$0</x:t>
        </x:is>
      </x:c>
      <x:c r="K166" s="82" t="inlineStr">
        <x:is>
          <x:t xml:space="preserve">Pre-Resign</x:t>
        </x:is>
      </x:c>
      <x:c r="L166" s="44" t="inlineStr">
        <x:is>
          <x:t xml:space="preserve">Not started</x:t>
        </x:is>
      </x:c>
      <x:c r="M166" s="18" t="inlineStr">
        <x:is>
          <x:t xml:space="preserve"/>
        </x:is>
      </x:c>
    </x:row>
    <x:row r="167">
      <x:c r="A167" s="18" t="inlineStr">
        <x:is>
          <x:t xml:space="preserve">T316</x:t>
        </x:is>
      </x:c>
      <x:c r="B167" s="18" t="inlineStr">
        <x:is>
          <x:t xml:space="preserve">Employer Conflict</x:t>
        </x:is>
      </x:c>
      <x:c r="C167" s="18" t="inlineStr">
        <x:is>
          <x:t xml:space="preserve">Don't mention AbarVa to Accenture colleagues yet</x:t>
        </x:is>
      </x:c>
      <x:c r="D167" s="18" t="inlineStr">
        <x:is>
          <x:t xml:space="preserve">Discoverable in litigation. Keep counsel close. Discuss with employment lawyer when/how to disclose internally.</x:t>
        </x:is>
      </x:c>
      <x:c r="E167" s="31" t="inlineStr">
        <x:is>
          <x:t xml:space="preserve">P0</x:t>
        </x:is>
      </x:c>
      <x:c r="F167" s="42" t="inlineStr">
        <x:is>
          <x:t xml:space="preserve">5. EXTERNAL</x:t>
        </x:is>
      </x:c>
      <x:c r="G167" s="18" t="inlineStr">
        <x:is>
          <x:t xml:space="preserve">Anand</x:t>
        </x:is>
      </x:c>
      <x:c r="H167" s="18" t="inlineStr">
        <x:is>
          <x:t xml:space="preserve"/>
        </x:is>
      </x:c>
      <x:c r="I167" s="48" t="inlineStr">
        <x:is>
          <x:t xml:space="preserve">You only</x:t>
        </x:is>
      </x:c>
      <x:c r="J167" s="52" t="inlineStr">
        <x:is>
          <x:t xml:space="preserve">$0</x:t>
        </x:is>
      </x:c>
      <x:c r="K167" s="82" t="inlineStr">
        <x:is>
          <x:t xml:space="preserve">Pre-Resign</x:t>
        </x:is>
      </x:c>
      <x:c r="L167" s="44" t="inlineStr">
        <x:is>
          <x:t xml:space="preserve">Not started</x:t>
        </x:is>
      </x:c>
      <x:c r="M167" s="18" t="inlineStr">
        <x:is>
          <x:t xml:space="preserve"/>
        </x:is>
      </x:c>
    </x:row>
    <x:row r="168">
      <x:c r="A168" s="18" t="inlineStr">
        <x:is>
          <x:t xml:space="preserve">T318</x:t>
        </x:is>
      </x:c>
      <x:c r="B168" s="18" t="inlineStr">
        <x:is>
          <x:t xml:space="preserve">Employer Conflict</x:t>
        </x:is>
      </x:c>
      <x:c r="C168" s="18" t="inlineStr">
        <x:is>
          <x:t xml:space="preserve">⚠️ DO NOT wipe git history for 'fresh timestamp' — PRESERVE original commits as proof</x:t>
        </x:is>
      </x:c>
      <x:c r="D168" s="18" t="inlineStr">
        <x:is>
          <x:t xml:space="preserve">Original timestamps + personal email + evening/weekend commits are your PROOF the code is yours. Wiping = looks like spoliation of evidence in litigation. KEEP everything.</x:t>
        </x:is>
      </x:c>
      <x:c r="E168" s="31" t="inlineStr">
        <x:is>
          <x:t xml:space="preserve">P0</x:t>
        </x:is>
      </x:c>
      <x:c r="F168" s="42" t="inlineStr">
        <x:is>
          <x:t xml:space="preserve">5. EXTERNAL</x:t>
        </x:is>
      </x:c>
      <x:c r="G168" s="18" t="inlineStr">
        <x:is>
          <x:t xml:space="preserve">Anand</x:t>
        </x:is>
      </x:c>
      <x:c r="H168" s="18" t="inlineStr">
        <x:is>
          <x:t xml:space="preserve"/>
        </x:is>
      </x:c>
      <x:c r="I168" s="48" t="inlineStr">
        <x:is>
          <x:t xml:space="preserve">You only (don't do the wipe)</x:t>
        </x:is>
      </x:c>
      <x:c r="J168" s="52" t="inlineStr">
        <x:is>
          <x:t xml:space="preserve">$0</x:t>
        </x:is>
      </x:c>
      <x:c r="K168" s="82" t="inlineStr">
        <x:is>
          <x:t xml:space="preserve">Pre-Resign</x:t>
        </x:is>
      </x:c>
      <x:c r="L168" s="44" t="inlineStr">
        <x:is>
          <x:t xml:space="preserve">Not started</x:t>
        </x:is>
      </x:c>
      <x:c r="M168" s="18" t="inlineStr">
        <x:is>
          <x:t xml:space="preserve"/>
        </x:is>
      </x:c>
    </x:row>
    <x:row r="169">
      <x:c r="A169" s="18" t="inlineStr">
        <x:is>
          <x:t xml:space="preserve">T324</x:t>
        </x:is>
      </x:c>
      <x:c r="B169" s="18" t="inlineStr">
        <x:is>
          <x:t xml:space="preserve">Employer Conflict</x:t>
        </x:is>
      </x:c>
      <x:c r="C169" s="18" t="inlineStr">
        <x:is>
          <x:t xml:space="preserve">PHS-SPECIFIC LAWYER QUESTION: does Accenture non-solicit restrict business with PHS CDAO given 15-year preexisting personal relationship + Sutter handoff history?</x:t>
        </x:is>
      </x:c>
      <x:c r="D169" s="18" t="inlineStr">
        <x:is>
          <x:t xml:space="preserve">Most important question for your lawyer. Get WRITTEN opinion specifically on this fact pattern. 'Preexisting personal relationship' is your defense; 'introduced him to Accenture revenue' is their counter.</x:t>
        </x:is>
      </x:c>
      <x:c r="E169" s="31" t="inlineStr">
        <x:is>
          <x:t xml:space="preserve">P0</x:t>
        </x:is>
      </x:c>
      <x:c r="F169" s="42" t="inlineStr">
        <x:is>
          <x:t xml:space="preserve">5. EXTERNAL</x:t>
        </x:is>
      </x:c>
      <x:c r="G169" s="18" t="inlineStr">
        <x:is>
          <x:t xml:space="preserve">Anand</x:t>
        </x:is>
      </x:c>
      <x:c r="H169" s="18" t="inlineStr">
        <x:is>
          <x:t xml:space="preserve"/>
        </x:is>
      </x:c>
      <x:c r="I169" s="48" t="inlineStr">
        <x:is>
          <x:t xml:space="preserve">3rd party: employment lawyer</x:t>
        </x:is>
      </x:c>
      <x:c r="J169" s="52" t="inlineStr">
        <x:is>
          <x:t xml:space="preserve">$0 (within lawyer review)</x:t>
        </x:is>
      </x:c>
      <x:c r="K169" s="82" t="inlineStr">
        <x:is>
          <x:t xml:space="preserve">Pre-Resign</x:t>
        </x:is>
      </x:c>
      <x:c r="L169" s="44" t="inlineStr">
        <x:is>
          <x:t xml:space="preserve">Not started</x:t>
        </x:is>
      </x:c>
      <x:c r="M169" s="18" t="inlineStr">
        <x:is>
          <x:t xml:space="preserve"/>
        </x:is>
      </x:c>
    </x:row>
    <x:row r="170">
      <x:c r="A170" s="18" t="inlineStr">
        <x:is>
          <x:t xml:space="preserve">T325</x:t>
        </x:is>
      </x:c>
      <x:c r="B170" s="18" t="inlineStr">
        <x:is>
          <x:t xml:space="preserve">Employer Conflict</x:t>
        </x:is>
      </x:c>
      <x:c r="C170" s="18" t="inlineStr">
        <x:is>
          <x:t xml:space="preserve">Document 15-year PHS CDAO relationship timeline (predates Accenture)</x:t>
        </x:is>
      </x:c>
      <x:c r="D170" s="18" t="inlineStr">
        <x:is>
          <x:t xml:space="preserve">Emails, LinkedIn connection date, prior employer overlap dates. Contemporaneous evidence of personal relationship.</x:t>
        </x:is>
      </x:c>
      <x:c r="E170" s="31" t="inlineStr">
        <x:is>
          <x:t xml:space="preserve">P0</x:t>
        </x:is>
      </x:c>
      <x:c r="F170" s="42" t="inlineStr">
        <x:is>
          <x:t xml:space="preserve">5. EXTERNAL</x:t>
        </x:is>
      </x:c>
      <x:c r="G170" s="18" t="inlineStr">
        <x:is>
          <x:t xml:space="preserve">Anand</x:t>
        </x:is>
      </x:c>
      <x:c r="H170" s="18" t="inlineStr">
        <x:is>
          <x:t xml:space="preserve"/>
        </x:is>
      </x:c>
      <x:c r="I170" s="48" t="inlineStr">
        <x:is>
          <x:t xml:space="preserve">You only (compile)</x:t>
        </x:is>
      </x:c>
      <x:c r="J170" s="52" t="inlineStr">
        <x:is>
          <x:t xml:space="preserve">$0</x:t>
        </x:is>
      </x:c>
      <x:c r="K170" s="82" t="inlineStr">
        <x:is>
          <x:t xml:space="preserve">Pre-Resign</x:t>
        </x:is>
      </x:c>
      <x:c r="L170" s="44" t="inlineStr">
        <x:is>
          <x:t xml:space="preserve">Not started</x:t>
        </x:is>
      </x:c>
      <x:c r="M170" s="18" t="inlineStr">
        <x:is>
          <x:t xml:space="preserve"/>
        </x:is>
      </x:c>
    </x:row>
    <x:row r="171">
      <x:c r="A171" s="18" t="inlineStr">
        <x:is>
          <x:t xml:space="preserve">T326</x:t>
        </x:is>
      </x:c>
      <x:c r="B171" s="18" t="inlineStr">
        <x:is>
          <x:t xml:space="preserve">Employer Conflict</x:t>
        </x:is>
      </x:c>
      <x:c r="C171" s="18" t="inlineStr">
        <x:is>
          <x:t xml:space="preserve">PHS: do NOT sign pilot until (a) Accenture exit complete, (b) written lawyer opinion on CDAO non-solicit in hand</x:t>
        </x:is>
      </x:c>
      <x:c r="D171" s="18" t="inlineStr">
        <x:is>
          <x:t xml:space="preserve">Even with clean facts, PHS is the highest-risk prospect because user brought CDAO to Accenture revenue at Sutter. Buffer matters here.</x:t>
        </x:is>
      </x:c>
      <x:c r="E171" s="31" t="inlineStr">
        <x:is>
          <x:t xml:space="preserve">P0</x:t>
        </x:is>
      </x:c>
      <x:c r="F171" s="42" t="inlineStr">
        <x:is>
          <x:t xml:space="preserve">5. EXTERNAL</x:t>
        </x:is>
      </x:c>
      <x:c r="G171" s="18" t="inlineStr">
        <x:is>
          <x:t xml:space="preserve">Anand</x:t>
        </x:is>
      </x:c>
      <x:c r="H171" s="18" t="inlineStr">
        <x:is>
          <x:t xml:space="preserve"/>
        </x:is>
      </x:c>
      <x:c r="I171" s="48" t="inlineStr">
        <x:is>
          <x:t xml:space="preserve">You only (discipline)</x:t>
        </x:is>
      </x:c>
      <x:c r="J171" s="52" t="inlineStr">
        <x:is>
          <x:t xml:space="preserve">$0</x:t>
        </x:is>
      </x:c>
      <x:c r="K171" s="82" t="inlineStr">
        <x:is>
          <x:t xml:space="preserve">Pre-Resign</x:t>
        </x:is>
      </x:c>
      <x:c r="L171" s="44" t="inlineStr">
        <x:is>
          <x:t xml:space="preserve">Not started</x:t>
        </x:is>
      </x:c>
      <x:c r="M171" s="18" t="inlineStr">
        <x:is>
          <x:t xml:space="preserve"/>
        </x:is>
      </x:c>
    </x:row>
    <x:row r="172">
      <x:c r="A172" s="18" t="inlineStr">
        <x:is>
          <x:t xml:space="preserve">T328</x:t>
        </x:is>
      </x:c>
      <x:c r="B172" s="18" t="inlineStr">
        <x:is>
          <x:t xml:space="preserve">Employer Conflict</x:t>
        </x:is>
      </x:c>
      <x:c r="C172" s="18" t="inlineStr">
        <x:is>
          <x:t xml:space="preserve">Delta-SPECIFIC LAWYER QUESTION: lookback period on non-solicit; 2022 work + 6-month-ago visit — outside window?</x:t>
        </x:is>
      </x:c>
      <x:c r="D172" s="18" t="inlineStr">
        <x:is>
          <x:t xml:space="preserve">Likely LOW risk. Most non-solicit lookbacks are 12-24 months. 2022 work is outside. Visit was consultative, not engagement. Get confirmation.</x:t>
        </x:is>
      </x:c>
      <x:c r="E172" s="31" t="inlineStr">
        <x:is>
          <x:t xml:space="preserve">P0</x:t>
        </x:is>
      </x:c>
      <x:c r="F172" s="42" t="inlineStr">
        <x:is>
          <x:t xml:space="preserve">5. EXTERNAL</x:t>
        </x:is>
      </x:c>
      <x:c r="G172" s="18" t="inlineStr">
        <x:is>
          <x:t xml:space="preserve">Anand</x:t>
        </x:is>
      </x:c>
      <x:c r="H172" s="18" t="inlineStr">
        <x:is>
          <x:t xml:space="preserve"/>
        </x:is>
      </x:c>
      <x:c r="I172" s="48" t="inlineStr">
        <x:is>
          <x:t xml:space="preserve">3rd party: employment lawyer</x:t>
        </x:is>
      </x:c>
      <x:c r="J172" s="52" t="inlineStr">
        <x:is>
          <x:t xml:space="preserve">$0 (within lawyer review)</x:t>
        </x:is>
      </x:c>
      <x:c r="K172" s="82" t="inlineStr">
        <x:is>
          <x:t xml:space="preserve">Pre-Resign</x:t>
        </x:is>
      </x:c>
      <x:c r="L172" s="44" t="inlineStr">
        <x:is>
          <x:t xml:space="preserve">Not started</x:t>
        </x:is>
      </x:c>
      <x:c r="M172" s="18" t="inlineStr">
        <x:is>
          <x:t xml:space="preserve"/>
        </x:is>
      </x:c>
    </x:row>
    <x:row r="173">
      <x:c r="A173" s="18" t="inlineStr">
        <x:is>
          <x:t xml:space="preserve">T329</x:t>
        </x:is>
      </x:c>
      <x:c r="B173" s="18" t="inlineStr">
        <x:is>
          <x:t xml:space="preserve">Employer Conflict</x:t>
        </x:is>
      </x:c>
      <x:c r="C173" s="18" t="inlineStr">
        <x:is>
          <x:t xml:space="preserve">Surekha-SPECIFIC: confirm Morgan Street Holdings is NOT on Accenture client list (any segment)</x:t>
        </x:is>
      </x:c>
      <x:c r="D173" s="18" t="inlineStr">
        <x:is>
          <x:t xml:space="preserve">Likely clean (user has no history with them). Quick lawyer check of Accenture's client database.</x:t>
        </x:is>
      </x:c>
      <x:c r="E173" s="31" t="inlineStr">
        <x:is>
          <x:t xml:space="preserve">P0</x:t>
        </x:is>
      </x:c>
      <x:c r="F173" s="42" t="inlineStr">
        <x:is>
          <x:t xml:space="preserve">5. EXTERNAL</x:t>
        </x:is>
      </x:c>
      <x:c r="G173" s="18" t="inlineStr">
        <x:is>
          <x:t xml:space="preserve">Anand</x:t>
        </x:is>
      </x:c>
      <x:c r="H173" s="18" t="inlineStr">
        <x:is>
          <x:t xml:space="preserve"/>
        </x:is>
      </x:c>
      <x:c r="I173" s="48" t="inlineStr">
        <x:is>
          <x:t xml:space="preserve">3rd party: employment lawyer</x:t>
        </x:is>
      </x:c>
      <x:c r="J173" s="52" t="inlineStr">
        <x:is>
          <x:t xml:space="preserve">$0 (within lawyer review)</x:t>
        </x:is>
      </x:c>
      <x:c r="K173" s="82" t="inlineStr">
        <x:is>
          <x:t xml:space="preserve">Pre-Resign</x:t>
        </x:is>
      </x:c>
      <x:c r="L173" s="44" t="inlineStr">
        <x:is>
          <x:t xml:space="preserve">Not started</x:t>
        </x:is>
      </x:c>
      <x:c r="M173" s="18" t="inlineStr">
        <x:is>
          <x:t xml:space="preserve"/>
        </x:is>
      </x:c>
    </x:row>
    <x:row r="174">
      <x:c r="A174" s="18" t="inlineStr">
        <x:is>
          <x:t xml:space="preserve">T315</x:t>
        </x:is>
      </x:c>
      <x:c r="B174" s="18" t="inlineStr">
        <x:is>
          <x:t xml:space="preserve">Employer Conflict</x:t>
        </x:is>
      </x:c>
      <x:c r="C174" s="18" t="inlineStr">
        <x:is>
          <x:t xml:space="preserve">If prospect overlap exists: get written non-solicit waiver from Accenture (RISKY but possible)</x:t>
        </x:is>
      </x:c>
      <x:c r="D174" s="18" t="inlineStr">
        <x:is>
          <x:t xml:space="preserve">Some firms grant in writing for non-strategic clients. Accenture is more aggressive — but worth a quiet ask if specific client is critical.</x:t>
        </x:is>
      </x:c>
      <x:c r="E174" s="32" t="inlineStr">
        <x:is>
          <x:t xml:space="preserve">P1</x:t>
        </x:is>
      </x:c>
      <x:c r="F174" s="42" t="inlineStr">
        <x:is>
          <x:t xml:space="preserve">5. EXTERNAL</x:t>
        </x:is>
      </x:c>
      <x:c r="G174" s="18" t="inlineStr">
        <x:is>
          <x:t xml:space="preserve">Anand</x:t>
        </x:is>
      </x:c>
      <x:c r="H174" s="18" t="inlineStr">
        <x:is>
          <x:t xml:space="preserve"/>
        </x:is>
      </x:c>
      <x:c r="I174" s="48" t="inlineStr">
        <x:is>
          <x:t xml:space="preserve">3rd party: lawyer</x:t>
        </x:is>
      </x:c>
      <x:c r="J174" s="51" t="inlineStr">
        <x:is>
          <x:t xml:space="preserve">$1-2k (lawyer-drafted ask)</x:t>
        </x:is>
      </x:c>
      <x:c r="K174" s="82" t="inlineStr">
        <x:is>
          <x:t xml:space="preserve">Pre-Resign</x:t>
        </x:is>
      </x:c>
      <x:c r="L174" s="44" t="inlineStr">
        <x:is>
          <x:t xml:space="preserve">Not started</x:t>
        </x:is>
      </x:c>
      <x:c r="M174" s="18" t="inlineStr">
        <x:is>
          <x:t xml:space="preserve"/>
        </x:is>
      </x:c>
    </x:row>
    <x:row r="175">
      <x:c r="A175" s="18" t="inlineStr">
        <x:is>
          <x:t xml:space="preserve">T317</x:t>
        </x:is>
      </x:c>
      <x:c r="B175" s="18" t="inlineStr">
        <x:is>
          <x:t xml:space="preserve">Employer Conflict</x:t>
        </x:is>
      </x:c>
      <x:c r="C175" s="18" t="inlineStr">
        <x:is>
          <x:t xml:space="preserve">Identify any non-Accenture-client AbarVa prospects as fallback pipeline</x:t>
        </x:is>
      </x:c>
      <x:c r="D175" s="18" t="inlineStr">
        <x:is>
          <x:t xml:space="preserve">If PHS/KK/Morgan Street turn out to have Accenture conflict, you need clean prospects. 2-3 backups not from Accenture book.</x:t>
        </x:is>
      </x:c>
      <x:c r="E175" s="32" t="inlineStr">
        <x:is>
          <x:t xml:space="preserve">P1</x:t>
        </x:is>
      </x:c>
      <x:c r="F175" s="42" t="inlineStr">
        <x:is>
          <x:t xml:space="preserve">5. EXTERNAL</x:t>
        </x:is>
      </x:c>
      <x:c r="G175" s="18" t="inlineStr">
        <x:is>
          <x:t xml:space="preserve">Anand</x:t>
        </x:is>
      </x:c>
      <x:c r="H175" s="18" t="inlineStr">
        <x:is>
          <x:t xml:space="preserve"/>
        </x:is>
      </x:c>
      <x:c r="I175" s="48" t="inlineStr">
        <x:is>
          <x:t xml:space="preserve">You only</x:t>
        </x:is>
      </x:c>
      <x:c r="J175" s="52" t="inlineStr">
        <x:is>
          <x:t xml:space="preserve">$0</x:t>
        </x:is>
      </x:c>
      <x:c r="K175" s="82" t="inlineStr">
        <x:is>
          <x:t xml:space="preserve">Pre-Resign</x:t>
        </x:is>
      </x:c>
      <x:c r="L175" s="44" t="inlineStr">
        <x:is>
          <x:t xml:space="preserve">Not started</x:t>
        </x:is>
      </x:c>
      <x:c r="M175" s="18" t="inlineStr">
        <x:is>
          <x:t xml:space="preserve"/>
        </x:is>
      </x:c>
    </x:row>
    <x:row r="176">
      <x:c r="A176" s="18" t="inlineStr">
        <x:is>
          <x:t xml:space="preserve">T327</x:t>
        </x:is>
      </x:c>
      <x:c r="B176" s="18" t="inlineStr">
        <x:is>
          <x:t xml:space="preserve">Employer Conflict</x:t>
        </x:is>
      </x:c>
      <x:c r="C176" s="18" t="inlineStr">
        <x:is>
          <x:t xml:space="preserve">Consider 30-90 day buffer post-Accenture-exit before signing PHS specifically</x:t>
        </x:is>
      </x:c>
      <x:c r="D176" s="18" t="inlineStr">
        <x:is>
          <x:t xml:space="preserve">Reduces appearance of overlap. Lawyer will advise on whether needed based on agreement language.</x:t>
        </x:is>
      </x:c>
      <x:c r="E176" s="32" t="inlineStr">
        <x:is>
          <x:t xml:space="preserve">P1</x:t>
        </x:is>
      </x:c>
      <x:c r="F176" s="42" t="inlineStr">
        <x:is>
          <x:t xml:space="preserve">5. EXTERNAL</x:t>
        </x:is>
      </x:c>
      <x:c r="G176" s="18" t="inlineStr">
        <x:is>
          <x:t xml:space="preserve">Anand</x:t>
        </x:is>
      </x:c>
      <x:c r="H176" s="18" t="inlineStr">
        <x:is>
          <x:t xml:space="preserve"/>
        </x:is>
      </x:c>
      <x:c r="I176" s="48" t="inlineStr">
        <x:is>
          <x:t xml:space="preserve">You only (timing)</x:t>
        </x:is>
      </x:c>
      <x:c r="J176" s="52" t="inlineStr">
        <x:is>
          <x:t xml:space="preserve">$0</x:t>
        </x:is>
      </x:c>
      <x:c r="K176" s="82" t="inlineStr">
        <x:is>
          <x:t xml:space="preserve">Pre-Resign</x:t>
        </x:is>
      </x:c>
      <x:c r="L176" s="44" t="inlineStr">
        <x:is>
          <x:t xml:space="preserve">Not started</x:t>
        </x:is>
      </x:c>
      <x:c r="M176" s="18" t="inlineStr">
        <x:is>
          <x:t xml:space="preserve"/>
        </x:is>
      </x:c>
    </x:row>
    <x:row r="177">
      <x:c r="A177" s="18" t="inlineStr">
        <x:is>
          <x:t xml:space="preserve">T077</x:t>
        </x:is>
      </x:c>
      <x:c r="B177" s="18" t="inlineStr">
        <x:is>
          <x:t xml:space="preserve">Eng Governance</x:t>
        </x:is>
      </x:c>
      <x:c r="C177" s="18" t="inlineStr">
        <x:is>
          <x:t xml:space="preserve">Write GOVERNANCE.md — one-pager source of truth</x:t>
        </x:is>
      </x:c>
      <x:c r="D177" s="18" t="inlineStr">
        <x:is>
          <x:t xml:space="preserve">Links to: AGENTS.md, ADR index, CODEOWNERS, CI gates, runbooks, AI tool rules.</x:t>
        </x:is>
      </x:c>
      <x:c r="E177" s="31" t="inlineStr">
        <x:is>
          <x:t xml:space="preserve">P0</x:t>
        </x:is>
      </x:c>
      <x:c r="F177" s="39" t="inlineStr">
        <x:is>
          <x:t xml:space="preserve">2. CLAUDE DOES IT</x:t>
        </x:is>
      </x:c>
      <x:c r="G177" s="18" t="inlineStr">
        <x:is>
          <x:t xml:space="preserve">Anand</x:t>
        </x:is>
      </x:c>
      <x:c r="H177" s="18" t="inlineStr">
        <x:is>
          <x:t xml:space="preserve"/>
        </x:is>
      </x:c>
      <x:c r="I177" s="45" t="inlineStr">
        <x:is>
          <x:t xml:space="preserve">Claude (draft)</x:t>
        </x:is>
      </x:c>
      <x:c r="J177" s="52" t="inlineStr">
        <x:is>
          <x:t xml:space="preserve">$0</x:t>
        </x:is>
      </x:c>
      <x:c r="K177" s="82" t="inlineStr">
        <x:is>
          <x:t xml:space="preserve">Pre-Resign</x:t>
        </x:is>
      </x:c>
      <x:c r="L177" s="44" t="inlineStr">
        <x:is>
          <x:t xml:space="preserve">Not started</x:t>
        </x:is>
      </x:c>
      <x:c r="M177" s="18" t="inlineStr">
        <x:is>
          <x:t xml:space="preserve">Every contributor reads this on day 1</x:t>
        </x:is>
      </x:c>
    </x:row>
    <x:row r="178">
      <x:c r="A178" s="18" t="inlineStr">
        <x:is>
          <x:t xml:space="preserve">T078</x:t>
        </x:is>
      </x:c>
      <x:c r="B178" s="18" t="inlineStr">
        <x:is>
          <x:t xml:space="preserve">Eng Governance</x:t>
        </x:is>
      </x:c>
      <x:c r="C178" s="18" t="inlineStr">
        <x:is>
          <x:t xml:space="preserve">ADR (Architecture Decision Record) framework</x:t>
        </x:is>
      </x:c>
      <x:c r="D178" s="18" t="inlineStr">
        <x:is>
          <x:t xml:space="preserve">docs/architecture/adr/ with template. ADR required for: framework change, new dependency &gt;X stars, cross-cutting refactor, security boundary change.</x:t>
        </x:is>
      </x:c>
      <x:c r="E178" s="31" t="inlineStr">
        <x:is>
          <x:t xml:space="preserve">P0</x:t>
        </x:is>
      </x:c>
      <x:c r="F178" s="39" t="inlineStr">
        <x:is>
          <x:t xml:space="preserve">2. CLAUDE DOES IT</x:t>
        </x:is>
      </x:c>
      <x:c r="G178" s="18" t="inlineStr">
        <x:is>
          <x:t xml:space="preserve">Anand</x:t>
        </x:is>
      </x:c>
      <x:c r="H178" s="18" t="inlineStr">
        <x:is>
          <x:t xml:space="preserve"/>
        </x:is>
      </x:c>
      <x:c r="I178" s="45" t="inlineStr">
        <x:is>
          <x:t xml:space="preserve">Claude (template)</x:t>
        </x:is>
      </x:c>
      <x:c r="J178" s="52" t="inlineStr">
        <x:is>
          <x:t xml:space="preserve">$0</x:t>
        </x:is>
      </x:c>
      <x:c r="K178" s="84" t="inlineStr">
        <x:is>
          <x:t xml:space="preserve">Anytime</x:t>
        </x:is>
      </x:c>
      <x:c r="L178" s="44" t="inlineStr">
        <x:is>
          <x:t xml:space="preserve">Not started</x:t>
        </x:is>
      </x:c>
      <x:c r="M178" s="18" t="inlineStr">
        <x:is>
          <x:t xml:space="preserve">Numbered ADR-0001+; CI checks ADR-touched paths</x:t>
        </x:is>
      </x:c>
    </x:row>
    <x:row r="179">
      <x:c r="A179" s="18" t="inlineStr">
        <x:is>
          <x:t xml:space="preserve">T079</x:t>
        </x:is>
      </x:c>
      <x:c r="B179" s="18" t="inlineStr">
        <x:is>
          <x:t xml:space="preserve">Eng Governance</x:t>
        </x:is>
      </x:c>
      <x:c r="C179" s="18" t="inlineStr">
        <x:is>
          <x:t xml:space="preserve">Write first 5 foundational ADRs</x:t>
        </x:is>
      </x:c>
      <x:c r="D179" s="18" t="inlineStr">
        <x:is>
          <x:t xml:space="preserve">ADR-001 Control/data plane split. ADR-002 Broker boundary. ADR-003 Release lanes. ADR-004 Per-user RLS. ADR-005 AI tool governance.</x:t>
        </x:is>
      </x:c>
      <x:c r="E179" s="31" t="inlineStr">
        <x:is>
          <x:t xml:space="preserve">P0</x:t>
        </x:is>
      </x:c>
      <x:c r="F179" s="39" t="inlineStr">
        <x:is>
          <x:t xml:space="preserve">2. CLAUDE DOES IT</x:t>
        </x:is>
      </x:c>
      <x:c r="G179" s="18" t="inlineStr">
        <x:is>
          <x:t xml:space="preserve">Anand</x:t>
        </x:is>
      </x:c>
      <x:c r="H179" s="18" t="inlineStr">
        <x:is>
          <x:t xml:space="preserve">T078</x:t>
        </x:is>
      </x:c>
      <x:c r="I179" s="45" t="inlineStr">
        <x:is>
          <x:t xml:space="preserve">Claude (draft)</x:t>
        </x:is>
      </x:c>
      <x:c r="J179" s="52" t="inlineStr">
        <x:is>
          <x:t xml:space="preserve">$0</x:t>
        </x:is>
      </x:c>
      <x:c r="K179" s="82" t="inlineStr">
        <x:is>
          <x:t xml:space="preserve">Pre-Resign</x:t>
        </x:is>
      </x:c>
      <x:c r="L179" s="44" t="inlineStr">
        <x:is>
          <x:t xml:space="preserve">Not started</x:t>
        </x:is>
      </x:c>
      <x:c r="M179" s="18" t="inlineStr">
        <x:is>
          <x:t xml:space="preserve">Backfill what's already true</x:t>
        </x:is>
      </x:c>
    </x:row>
    <x:row r="180">
      <x:c r="A180" s="18" t="inlineStr">
        <x:is>
          <x:t xml:space="preserve">T080</x:t>
        </x:is>
      </x:c>
      <x:c r="B180" s="18" t="inlineStr">
        <x:is>
          <x:t xml:space="preserve">Eng Governance</x:t>
        </x:is>
      </x:c>
      <x:c r="C180" s="18" t="inlineStr">
        <x:is>
          <x:t xml:space="preserve">CODEOWNERS — gates who reviews what</x:t>
        </x:is>
      </x:c>
      <x:c r="D180" s="18" t="inlineStr">
        <x:is>
          <x:t xml:space="preserve">.github/CODEOWNERS. Auth/security/migrations/broker = anand-only; routine = anyone.</x:t>
        </x:is>
      </x:c>
      <x:c r="E180" s="31" t="inlineStr">
        <x:is>
          <x:t xml:space="preserve">P0</x:t>
        </x:is>
      </x:c>
      <x:c r="F180" s="39" t="inlineStr">
        <x:is>
          <x:t xml:space="preserve">2. CLAUDE DOES IT</x:t>
        </x:is>
      </x:c>
      <x:c r="G180" s="18" t="inlineStr">
        <x:is>
          <x:t xml:space="preserve">Anand</x:t>
        </x:is>
      </x:c>
      <x:c r="H180" s="18" t="inlineStr">
        <x:is>
          <x:t xml:space="preserve"/>
        </x:is>
      </x:c>
      <x:c r="I180" s="45" t="inlineStr">
        <x:is>
          <x:t xml:space="preserve">Claude (draft)</x:t>
        </x:is>
      </x:c>
      <x:c r="J180" s="52" t="inlineStr">
        <x:is>
          <x:t xml:space="preserve">$0</x:t>
        </x:is>
      </x:c>
      <x:c r="K180" s="84" t="inlineStr">
        <x:is>
          <x:t xml:space="preserve">Anytime</x:t>
        </x:is>
      </x:c>
      <x:c r="L180" s="44" t="inlineStr">
        <x:is>
          <x:t xml:space="preserve">Not started</x:t>
        </x:is>
      </x:c>
      <x:c r="M180" s="18" t="inlineStr">
        <x:is>
          <x:t xml:space="preserve">Branch protection enforces this</x:t>
        </x:is>
      </x:c>
    </x:row>
    <x:row r="181">
      <x:c r="A181" s="18" t="inlineStr">
        <x:is>
          <x:t xml:space="preserve">T082</x:t>
        </x:is>
      </x:c>
      <x:c r="B181" s="18" t="inlineStr">
        <x:is>
          <x:t xml:space="preserve">Eng Governance</x:t>
        </x:is>
      </x:c>
      <x:c r="C181" s="18" t="inlineStr">
        <x:is>
          <x:t xml:space="preserve">Pre-commit hooks (husky + lint-staged)</x:t>
        </x:is>
      </x:c>
      <x:c r="D181" s="18" t="inlineStr">
        <x:is>
          <x:t xml:space="preserve">Lint + format + typecheck on staged files. Block bad commits before they hit CI.</x:t>
        </x:is>
      </x:c>
      <x:c r="E181" s="31" t="inlineStr">
        <x:is>
          <x:t xml:space="preserve">P0</x:t>
        </x:is>
      </x:c>
      <x:c r="F181" s="39" t="inlineStr">
        <x:is>
          <x:t xml:space="preserve">2. CLAUDE DOES IT</x:t>
        </x:is>
      </x:c>
      <x:c r="G181" s="18" t="inlineStr">
        <x:is>
          <x:t xml:space="preserve">Anand</x:t>
        </x:is>
      </x:c>
      <x:c r="H181" s="18" t="inlineStr">
        <x:is>
          <x:t xml:space="preserve"/>
        </x:is>
      </x:c>
      <x:c r="I181" s="45" t="inlineStr">
        <x:is>
          <x:t xml:space="preserve">Claude (config)</x:t>
        </x:is>
      </x:c>
      <x:c r="J181" s="52" t="inlineStr">
        <x:is>
          <x:t xml:space="preserve">$0</x:t>
        </x:is>
      </x:c>
      <x:c r="K181" s="84" t="inlineStr">
        <x:is>
          <x:t xml:space="preserve">Anytime</x:t>
        </x:is>
      </x:c>
      <x:c r="L181" s="44" t="inlineStr">
        <x:is>
          <x:t xml:space="preserve">Not started</x:t>
        </x:is>
      </x:c>
      <x:c r="M181" s="18" t="inlineStr">
        <x:is>
          <x:t xml:space="preserve">Fast feedback = adoption</x:t>
        </x:is>
      </x:c>
    </x:row>
    <x:row r="182">
      <x:c r="A182" s="18" t="inlineStr">
        <x:is>
          <x:t xml:space="preserve">T084</x:t>
        </x:is>
      </x:c>
      <x:c r="B182" s="18" t="inlineStr">
        <x:is>
          <x:t xml:space="preserve">Eng Governance</x:t>
        </x:is>
      </x:c>
      <x:c r="C182" s="18" t="inlineStr">
        <x:is>
          <x:t xml:space="preserve">Required CI gates (must pass to merge)</x:t>
        </x:is>
      </x:c>
      <x:c r="D182" s="18" t="inlineStr">
        <x:is>
          <x:t xml:space="preserve">Lint, typecheck, unit, integration, build, bundle-size, secret scan, dep audit, license, ADR check, release record.</x:t>
        </x:is>
      </x:c>
      <x:c r="E182" s="31" t="inlineStr">
        <x:is>
          <x:t xml:space="preserve">P0</x:t>
        </x:is>
      </x:c>
      <x:c r="F182" s="39" t="inlineStr">
        <x:is>
          <x:t xml:space="preserve">2. CLAUDE DOES IT</x:t>
        </x:is>
      </x:c>
      <x:c r="G182" s="18" t="inlineStr">
        <x:is>
          <x:t xml:space="preserve">Anand</x:t>
        </x:is>
      </x:c>
      <x:c r="H182" s="18" t="inlineStr">
        <x:is>
          <x:t xml:space="preserve"/>
        </x:is>
      </x:c>
      <x:c r="I182" s="45" t="inlineStr">
        <x:is>
          <x:t xml:space="preserve">Claude (workflows)</x:t>
        </x:is>
      </x:c>
      <x:c r="J182" s="52" t="inlineStr">
        <x:is>
          <x:t xml:space="preserve">$0 (GH Actions free at startup scale)</x:t>
        </x:is>
      </x:c>
      <x:c r="K182" s="84" t="inlineStr">
        <x:is>
          <x:t xml:space="preserve">Anytime</x:t>
        </x:is>
      </x:c>
      <x:c r="L182" s="44" t="inlineStr">
        <x:is>
          <x:t xml:space="preserve">Not started</x:t>
        </x:is>
      </x:c>
      <x:c r="M182" s="18" t="inlineStr">
        <x:is>
          <x:t xml:space="preserve">Lock these in branch protection</x:t>
        </x:is>
      </x:c>
    </x:row>
    <x:row r="183">
      <x:c r="A183" s="18" t="inlineStr">
        <x:is>
          <x:t xml:space="preserve">T085</x:t>
        </x:is>
      </x:c>
      <x:c r="B183" s="18" t="inlineStr">
        <x:is>
          <x:t xml:space="preserve">Eng Governance</x:t>
        </x:is>
      </x:c>
      <x:c r="C183" s="18" t="inlineStr">
        <x:is>
          <x:t xml:space="preserve">Architecture boundary enforcement (dependency-cruiser)</x:t>
        </x:is>
      </x:c>
      <x:c r="D183" s="18" t="inlineStr">
        <x:is>
          <x:t xml:space="preserve">Encode rules: app tier MUST NOT import broker/EnterpriseDataRoom; routes MUST NOT import data layer directly; etc.</x:t>
        </x:is>
      </x:c>
      <x:c r="E183" s="31" t="inlineStr">
        <x:is>
          <x:t xml:space="preserve">P0</x:t>
        </x:is>
      </x:c>
      <x:c r="F183" s="39" t="inlineStr">
        <x:is>
          <x:t xml:space="preserve">2. CLAUDE DOES IT</x:t>
        </x:is>
      </x:c>
      <x:c r="G183" s="18" t="inlineStr">
        <x:is>
          <x:t xml:space="preserve">Anand</x:t>
        </x:is>
      </x:c>
      <x:c r="H183" s="18" t="inlineStr">
        <x:is>
          <x:t xml:space="preserve"/>
        </x:is>
      </x:c>
      <x:c r="I183" s="45" t="inlineStr">
        <x:is>
          <x:t xml:space="preserve">Claude (.dep-cruiser)</x:t>
        </x:is>
      </x:c>
      <x:c r="J183" s="52" t="inlineStr">
        <x:is>
          <x:t xml:space="preserve">$0</x:t>
        </x:is>
      </x:c>
      <x:c r="K183" s="84" t="inlineStr">
        <x:is>
          <x:t xml:space="preserve">Anytime</x:t>
        </x:is>
      </x:c>
      <x:c r="L183" s="44" t="inlineStr">
        <x:is>
          <x:t xml:space="preserve">Not started</x:t>
        </x:is>
      </x:c>
      <x:c r="M183" s="18" t="inlineStr">
        <x:is>
          <x:t xml:space="preserve">Codifies feedback_broker_boundary in memory</x:t>
        </x:is>
      </x:c>
    </x:row>
    <x:row r="184">
      <x:c r="A184" s="18" t="inlineStr">
        <x:is>
          <x:t xml:space="preserve">T089</x:t>
        </x:is>
      </x:c>
      <x:c r="B184" s="18" t="inlineStr">
        <x:is>
          <x:t xml:space="preserve">Eng Governance</x:t>
        </x:is>
      </x:c>
      <x:c r="C184" s="18" t="inlineStr">
        <x:is>
          <x:t xml:space="preserve">Secret scanning (gitleaks in CI + pre-commit)</x:t>
        </x:is>
      </x:c>
      <x:c r="D184" s="18" t="inlineStr">
        <x:is>
          <x:t xml:space="preserve">Block secrets from entering git history. Belt + suspenders.</x:t>
        </x:is>
      </x:c>
      <x:c r="E184" s="31" t="inlineStr">
        <x:is>
          <x:t xml:space="preserve">P0</x:t>
        </x:is>
      </x:c>
      <x:c r="F184" s="39" t="inlineStr">
        <x:is>
          <x:t xml:space="preserve">2. CLAUDE DOES IT</x:t>
        </x:is>
      </x:c>
      <x:c r="G184" s="18" t="inlineStr">
        <x:is>
          <x:t xml:space="preserve">Anand</x:t>
        </x:is>
      </x:c>
      <x:c r="H184" s="18" t="inlineStr">
        <x:is>
          <x:t xml:space="preserve"/>
        </x:is>
      </x:c>
      <x:c r="I184" s="45" t="inlineStr">
        <x:is>
          <x:t xml:space="preserve">Claude (gitleaks)</x:t>
        </x:is>
      </x:c>
      <x:c r="J184" s="52" t="inlineStr">
        <x:is>
          <x:t xml:space="preserve">$0 (gitleaks free)</x:t>
        </x:is>
      </x:c>
      <x:c r="K184" s="84" t="inlineStr">
        <x:is>
          <x:t xml:space="preserve">Anytime</x:t>
        </x:is>
      </x:c>
      <x:c r="L184" s="44" t="inlineStr">
        <x:is>
          <x:t xml:space="preserve">Not started</x:t>
        </x:is>
      </x:c>
      <x:c r="M184" s="18" t="inlineStr">
        <x:is>
          <x:t xml:space="preserve">One leak kills SOC 2</x:t>
        </x:is>
      </x:c>
    </x:row>
    <x:row r="185">
      <x:c r="A185" s="18" t="inlineStr">
        <x:is>
          <x:t xml:space="preserve">T090</x:t>
        </x:is>
      </x:c>
      <x:c r="B185" s="18" t="inlineStr">
        <x:is>
          <x:t xml:space="preserve">Eng Governance</x:t>
        </x:is>
      </x:c>
      <x:c r="C185" s="18" t="inlineStr">
        <x:is>
          <x:t xml:space="preserve">Dependency vulnerability scanning (Snyk or GitHub Dependabot + audit)</x:t>
        </x:is>
      </x:c>
      <x:c r="D185" s="18" t="inlineStr">
        <x:is>
          <x:t xml:space="preserve">Auto-PRs for vulnerable deps. Critical = same-day fix policy.</x:t>
        </x:is>
      </x:c>
      <x:c r="E185" s="31" t="inlineStr">
        <x:is>
          <x:t xml:space="preserve">P0</x:t>
        </x:is>
      </x:c>
      <x:c r="F185" s="39" t="inlineStr">
        <x:is>
          <x:t xml:space="preserve">2. CLAUDE DOES IT</x:t>
        </x:is>
      </x:c>
      <x:c r="G185" s="18" t="inlineStr">
        <x:is>
          <x:t xml:space="preserve">Anand</x:t>
        </x:is>
      </x:c>
      <x:c r="H185" s="18" t="inlineStr">
        <x:is>
          <x:t xml:space="preserve"/>
        </x:is>
      </x:c>
      <x:c r="I185" s="45" t="inlineStr">
        <x:is>
          <x:t xml:space="preserve">Claude (workflow)</x:t>
        </x:is>
      </x:c>
      <x:c r="J185" s="52" t="inlineStr">
        <x:is>
          <x:t xml:space="preserve">$0 (Dependabot) or $50/mo (Snyk)</x:t>
        </x:is>
      </x:c>
      <x:c r="K185" s="84" t="inlineStr">
        <x:is>
          <x:t xml:space="preserve">Anytime</x:t>
        </x:is>
      </x:c>
      <x:c r="L185" s="44" t="inlineStr">
        <x:is>
          <x:t xml:space="preserve">Not started</x:t>
        </x:is>
      </x:c>
      <x:c r="M185" s="18" t="inlineStr">
        <x:is>
          <x:t xml:space="preserve"/>
        </x:is>
      </x:c>
    </x:row>
    <x:row r="186">
      <x:c r="A186" s="18" t="inlineStr">
        <x:is>
          <x:t xml:space="preserve">T094</x:t>
        </x:is>
      </x:c>
      <x:c r="B186" s="18" t="inlineStr">
        <x:is>
          <x:t xml:space="preserve">Eng Governance</x:t>
        </x:is>
      </x:c>
      <x:c r="C186" s="18" t="inlineStr">
        <x:is>
          <x:t xml:space="preserve">Unified AI tool instructions (single source: AGENTS.md)</x:t>
        </x:is>
      </x:c>
      <x:c r="D186" s="18" t="inlineStr">
        <x:is>
          <x:t xml:space="preserve">Generate .cursor/rules, .github/copilot-instructions.md, CLAUDE.md, codex AGENTS.md from one source. Any AI tool reads same rules.</x:t>
        </x:is>
      </x:c>
      <x:c r="E186" s="31" t="inlineStr">
        <x:is>
          <x:t xml:space="preserve">P0</x:t>
        </x:is>
      </x:c>
      <x:c r="F186" s="39" t="inlineStr">
        <x:is>
          <x:t xml:space="preserve">2. CLAUDE DOES IT</x:t>
        </x:is>
      </x:c>
      <x:c r="G186" s="18" t="inlineStr">
        <x:is>
          <x:t xml:space="preserve">Anand</x:t>
        </x:is>
      </x:c>
      <x:c r="H186" s="18" t="inlineStr">
        <x:is>
          <x:t xml:space="preserve"/>
        </x:is>
      </x:c>
      <x:c r="I186" s="45" t="inlineStr">
        <x:is>
          <x:t xml:space="preserve">Claude (sync script)</x:t>
        </x:is>
      </x:c>
      <x:c r="J186" s="52" t="inlineStr">
        <x:is>
          <x:t xml:space="preserve">$0</x:t>
        </x:is>
      </x:c>
      <x:c r="K186" s="84" t="inlineStr">
        <x:is>
          <x:t xml:space="preserve">Anytime</x:t>
        </x:is>
      </x:c>
      <x:c r="L186" s="44" t="inlineStr">
        <x:is>
          <x:t xml:space="preserve">Not started</x:t>
        </x:is>
      </x:c>
      <x:c r="M186" s="18" t="inlineStr">
        <x:is>
          <x:t xml:space="preserve">Prevents AI-driven drift</x:t>
        </x:is>
      </x:c>
    </x:row>
    <x:row r="187">
      <x:c r="A187" s="18" t="inlineStr">
        <x:is>
          <x:t xml:space="preserve">T096</x:t>
        </x:is>
      </x:c>
      <x:c r="B187" s="18" t="inlineStr">
        <x:is>
          <x:t xml:space="preserve">Eng Governance</x:t>
        </x:is>
      </x:c>
      <x:c r="C187" s="18" t="inlineStr">
        <x:is>
          <x:t xml:space="preserve">PR template enforcing release-control fields</x:t>
        </x:is>
      </x:c>
      <x:c r="D187" s="18" t="inlineStr">
        <x:is>
          <x:t xml:space="preserve">Lane / Layer / Clients / QA / Rollout / Rollback — required sections. Block merge if blank.</x:t>
        </x:is>
      </x:c>
      <x:c r="E187" s="31" t="inlineStr">
        <x:is>
          <x:t xml:space="preserve">P0</x:t>
        </x:is>
      </x:c>
      <x:c r="F187" s="39" t="inlineStr">
        <x:is>
          <x:t xml:space="preserve">2. CLAUDE DOES IT</x:t>
        </x:is>
      </x:c>
      <x:c r="G187" s="18" t="inlineStr">
        <x:is>
          <x:t xml:space="preserve">Anand</x:t>
        </x:is>
      </x:c>
      <x:c r="H187" s="18" t="inlineStr">
        <x:is>
          <x:t xml:space="preserve"/>
        </x:is>
      </x:c>
      <x:c r="I187" s="45" t="inlineStr">
        <x:is>
          <x:t xml:space="preserve">Claude (template)</x:t>
        </x:is>
      </x:c>
      <x:c r="J187" s="52" t="inlineStr">
        <x:is>
          <x:t xml:space="preserve">$0</x:t>
        </x:is>
      </x:c>
      <x:c r="K187" s="82" t="inlineStr">
        <x:is>
          <x:t xml:space="preserve">Pre-Resign</x:t>
        </x:is>
      </x:c>
      <x:c r="L187" s="44" t="inlineStr">
        <x:is>
          <x:t xml:space="preserve">Not started</x:t>
        </x:is>
      </x:c>
      <x:c r="M187" s="18" t="inlineStr">
        <x:is>
          <x:t xml:space="preserve">AGENTS.md already documents this — enforce it</x:t>
        </x:is>
      </x:c>
    </x:row>
    <x:row r="188">
      <x:c r="A188" s="18" t="inlineStr">
        <x:is>
          <x:t xml:space="preserve">T097</x:t>
        </x:is>
      </x:c>
      <x:c r="B188" s="18" t="inlineStr">
        <x:is>
          <x:t xml:space="preserve">Eng Governance</x:t>
        </x:is>
      </x:c>
      <x:c r="C188" s="18" t="inlineStr">
        <x:is>
          <x:t xml:space="preserve">Release record presence check (already in npm run release:check)</x:t>
        </x:is>
      </x:c>
      <x:c r="D188" s="18" t="inlineStr">
        <x:is>
          <x:t xml:space="preserve">Formalize: CI fails if release-relevant paths change without docs/releases/records/ entry.</x:t>
        </x:is>
      </x:c>
      <x:c r="E188" s="31" t="inlineStr">
        <x:is>
          <x:t xml:space="preserve">P0</x:t>
        </x:is>
      </x:c>
      <x:c r="F188" s="39" t="inlineStr">
        <x:is>
          <x:t xml:space="preserve">2. CLAUDE DOES IT</x:t>
        </x:is>
      </x:c>
      <x:c r="G188" s="18" t="inlineStr">
        <x:is>
          <x:t xml:space="preserve">Anand</x:t>
        </x:is>
      </x:c>
      <x:c r="H188" s="18" t="inlineStr">
        <x:is>
          <x:t xml:space="preserve"/>
        </x:is>
      </x:c>
      <x:c r="I188" s="45" t="inlineStr">
        <x:is>
          <x:t xml:space="preserve">Claude (CI check)</x:t>
        </x:is>
      </x:c>
      <x:c r="J188" s="52" t="inlineStr">
        <x:is>
          <x:t xml:space="preserve">$0</x:t>
        </x:is>
      </x:c>
      <x:c r="K188" s="84" t="inlineStr">
        <x:is>
          <x:t xml:space="preserve">Anytime</x:t>
        </x:is>
      </x:c>
      <x:c r="L188" s="44" t="inlineStr">
        <x:is>
          <x:t xml:space="preserve">Not started</x:t>
        </x:is>
      </x:c>
      <x:c r="M188" s="18" t="inlineStr">
        <x:is>
          <x:t xml:space="preserve">Already partially done</x:t>
        </x:is>
      </x:c>
    </x:row>
    <x:row r="189">
      <x:c r="A189" s="18" t="inlineStr">
        <x:is>
          <x:t xml:space="preserve">T100</x:t>
        </x:is>
      </x:c>
      <x:c r="B189" s="18" t="inlineStr">
        <x:is>
          <x:t xml:space="preserve">Eng Governance</x:t>
        </x:is>
      </x:c>
      <x:c r="C189" s="18" t="inlineStr">
        <x:is>
          <x:t xml:space="preserve">Runbooks: incident response, rollback, DB migration, on-call rotation</x:t>
        </x:is>
      </x:c>
      <x:c r="D189" s="18" t="inlineStr">
        <x:is>
          <x:t xml:space="preserve">Living docs in docs/runbooks/. Quarterly tabletop test.</x:t>
        </x:is>
      </x:c>
      <x:c r="E189" s="31" t="inlineStr">
        <x:is>
          <x:t xml:space="preserve">P0</x:t>
        </x:is>
      </x:c>
      <x:c r="F189" s="39" t="inlineStr">
        <x:is>
          <x:t xml:space="preserve">2. CLAUDE DOES IT</x:t>
        </x:is>
      </x:c>
      <x:c r="G189" s="18" t="inlineStr">
        <x:is>
          <x:t xml:space="preserve">Anand</x:t>
        </x:is>
      </x:c>
      <x:c r="H189" s="18" t="inlineStr">
        <x:is>
          <x:t xml:space="preserve"/>
        </x:is>
      </x:c>
      <x:c r="I189" s="45" t="inlineStr">
        <x:is>
          <x:t xml:space="preserve">Claude (templates)</x:t>
        </x:is>
      </x:c>
      <x:c r="J189" s="52" t="inlineStr">
        <x:is>
          <x:t xml:space="preserve">$0</x:t>
        </x:is>
      </x:c>
      <x:c r="K189" s="84" t="inlineStr">
        <x:is>
          <x:t xml:space="preserve">Anytime</x:t>
        </x:is>
      </x:c>
      <x:c r="L189" s="44" t="inlineStr">
        <x:is>
          <x:t xml:space="preserve">Not started</x:t>
        </x:is>
      </x:c>
      <x:c r="M189" s="18" t="inlineStr">
        <x:is>
          <x:t xml:space="preserve"/>
        </x:is>
      </x:c>
    </x:row>
    <x:row r="190">
      <x:c r="A190" s="18" t="inlineStr">
        <x:is>
          <x:t xml:space="preserve">T083</x:t>
        </x:is>
      </x:c>
      <x:c r="B190" s="18" t="inlineStr">
        <x:is>
          <x:t xml:space="preserve">Eng Governance</x:t>
        </x:is>
      </x:c>
      <x:c r="C190" s="18" t="inlineStr">
        <x:is>
          <x:t xml:space="preserve">Conventional Commits enforced (commitlint)</x:t>
        </x:is>
      </x:c>
      <x:c r="D190" s="18" t="inlineStr">
        <x:is>
          <x:t xml:space="preserve">feat:/fix:/chore:/refactor:/docs:/test:/perf:/ci:/build:/revert: — enables auto-changelogs.</x:t>
        </x:is>
      </x:c>
      <x:c r="E190" s="32" t="inlineStr">
        <x:is>
          <x:t xml:space="preserve">P1</x:t>
        </x:is>
      </x:c>
      <x:c r="F190" s="39" t="inlineStr">
        <x:is>
          <x:t xml:space="preserve">2. CLAUDE DOES IT</x:t>
        </x:is>
      </x:c>
      <x:c r="G190" s="18" t="inlineStr">
        <x:is>
          <x:t xml:space="preserve">Anand</x:t>
        </x:is>
      </x:c>
      <x:c r="H190" s="18" t="inlineStr">
        <x:is>
          <x:t xml:space="preserve"/>
        </x:is>
      </x:c>
      <x:c r="I190" s="45" t="inlineStr">
        <x:is>
          <x:t xml:space="preserve">Claude (config)</x:t>
        </x:is>
      </x:c>
      <x:c r="J190" s="52" t="inlineStr">
        <x:is>
          <x:t xml:space="preserve">$0</x:t>
        </x:is>
      </x:c>
      <x:c r="K190" s="84" t="inlineStr">
        <x:is>
          <x:t xml:space="preserve">Anytime</x:t>
        </x:is>
      </x:c>
      <x:c r="L190" s="44" t="inlineStr">
        <x:is>
          <x:t xml:space="preserve">Not started</x:t>
        </x:is>
      </x:c>
      <x:c r="M190" s="18" t="inlineStr">
        <x:is>
          <x:t xml:space="preserve"/>
        </x:is>
      </x:c>
    </x:row>
    <x:row r="191">
      <x:c r="A191" s="18" t="inlineStr">
        <x:is>
          <x:t xml:space="preserve">T086</x:t>
        </x:is>
      </x:c>
      <x:c r="B191" s="18" t="inlineStr">
        <x:is>
          <x:t xml:space="preserve">Eng Governance</x:t>
        </x:is>
      </x:c>
      <x:c r="C191" s="18" t="inlineStr">
        <x:is>
          <x:t xml:space="preserve">Coverage threshold (Vitest/Jest)</x:t>
        </x:is>
      </x:c>
      <x:c r="D191" s="18" t="inlineStr">
        <x:is>
          <x:t xml:space="preserve">70% lines global; 90% on broker/auth/migrations. Fail CI under threshold.</x:t>
        </x:is>
      </x:c>
      <x:c r="E191" s="32" t="inlineStr">
        <x:is>
          <x:t xml:space="preserve">P1</x:t>
        </x:is>
      </x:c>
      <x:c r="F191" s="39" t="inlineStr">
        <x:is>
          <x:t xml:space="preserve">2. CLAUDE DOES IT</x:t>
        </x:is>
      </x:c>
      <x:c r="G191" s="18" t="inlineStr">
        <x:is>
          <x:t xml:space="preserve">Anand</x:t>
        </x:is>
      </x:c>
      <x:c r="H191" s="18" t="inlineStr">
        <x:is>
          <x:t xml:space="preserve"/>
        </x:is>
      </x:c>
      <x:c r="I191" s="45" t="inlineStr">
        <x:is>
          <x:t xml:space="preserve">Claude (config)</x:t>
        </x:is>
      </x:c>
      <x:c r="J191" s="52" t="inlineStr">
        <x:is>
          <x:t xml:space="preserve">$0</x:t>
        </x:is>
      </x:c>
      <x:c r="K191" s="84" t="inlineStr">
        <x:is>
          <x:t xml:space="preserve">Anytime</x:t>
        </x:is>
      </x:c>
      <x:c r="L191" s="44" t="inlineStr">
        <x:is>
          <x:t xml:space="preserve">Not started</x:t>
        </x:is>
      </x:c>
      <x:c r="M191" s="18" t="inlineStr">
        <x:is>
          <x:t xml:space="preserve">Floor not target</x:t>
        </x:is>
      </x:c>
    </x:row>
    <x:row r="192">
      <x:c r="A192" s="18" t="inlineStr">
        <x:is>
          <x:t xml:space="preserve">T087</x:t>
        </x:is>
      </x:c>
      <x:c r="B192" s="18" t="inlineStr">
        <x:is>
          <x:t xml:space="preserve">Eng Governance</x:t>
        </x:is>
      </x:c>
      <x:c r="C192" s="18" t="inlineStr">
        <x:is>
          <x:t xml:space="preserve">Bundle size budget (next-bundle-analyzer)</x:t>
        </x:is>
      </x:c>
      <x:c r="D192" s="18" t="inlineStr">
        <x:is>
          <x:t xml:space="preserve">Per-route budget. Fail CI if any route exceeds. Track over time.</x:t>
        </x:is>
      </x:c>
      <x:c r="E192" s="32" t="inlineStr">
        <x:is>
          <x:t xml:space="preserve">P1</x:t>
        </x:is>
      </x:c>
      <x:c r="F192" s="39" t="inlineStr">
        <x:is>
          <x:t xml:space="preserve">2. CLAUDE DOES IT</x:t>
        </x:is>
      </x:c>
      <x:c r="G192" s="18" t="inlineStr">
        <x:is>
          <x:t xml:space="preserve">Anand</x:t>
        </x:is>
      </x:c>
      <x:c r="H192" s="18" t="inlineStr">
        <x:is>
          <x:t xml:space="preserve"/>
        </x:is>
      </x:c>
      <x:c r="I192" s="45" t="inlineStr">
        <x:is>
          <x:t xml:space="preserve">Claude (config)</x:t>
        </x:is>
      </x:c>
      <x:c r="J192" s="52" t="inlineStr">
        <x:is>
          <x:t xml:space="preserve">$0</x:t>
        </x:is>
      </x:c>
      <x:c r="K192" s="84" t="inlineStr">
        <x:is>
          <x:t xml:space="preserve">Anytime</x:t>
        </x:is>
      </x:c>
      <x:c r="L192" s="44" t="inlineStr">
        <x:is>
          <x:t xml:space="preserve">Not started</x:t>
        </x:is>
      </x:c>
      <x:c r="M192" s="18" t="inlineStr">
        <x:is>
          <x:t xml:space="preserve"/>
        </x:is>
      </x:c>
    </x:row>
    <x:row r="193">
      <x:c r="A193" s="18" t="inlineStr">
        <x:is>
          <x:t xml:space="preserve">T088</x:t>
        </x:is>
      </x:c>
      <x:c r="B193" s="18" t="inlineStr">
        <x:is>
          <x:t xml:space="preserve">Eng Governance</x:t>
        </x:is>
      </x:c>
      <x:c r="C193" s="18" t="inlineStr">
        <x:is>
          <x:t xml:space="preserve">Lighthouse CI — Core Web Vitals budget</x:t>
        </x:is>
      </x:c>
      <x:c r="D193" s="18" t="inlineStr">
        <x:is>
          <x:t xml:space="preserve">LCP, INP, CLS budgets per route. Fail on regression. Runs on PR.</x:t>
        </x:is>
      </x:c>
      <x:c r="E193" s="32" t="inlineStr">
        <x:is>
          <x:t xml:space="preserve">P1</x:t>
        </x:is>
      </x:c>
      <x:c r="F193" s="39" t="inlineStr">
        <x:is>
          <x:t xml:space="preserve">2. CLAUDE DOES IT</x:t>
        </x:is>
      </x:c>
      <x:c r="G193" s="18" t="inlineStr">
        <x:is>
          <x:t xml:space="preserve">Anand</x:t>
        </x:is>
      </x:c>
      <x:c r="H193" s="18" t="inlineStr">
        <x:is>
          <x:t xml:space="preserve"/>
        </x:is>
      </x:c>
      <x:c r="I193" s="45" t="inlineStr">
        <x:is>
          <x:t xml:space="preserve">Claude (workflow)</x:t>
        </x:is>
      </x:c>
      <x:c r="J193" s="52" t="inlineStr">
        <x:is>
          <x:t xml:space="preserve">$0</x:t>
        </x:is>
      </x:c>
      <x:c r="K193" s="84" t="inlineStr">
        <x:is>
          <x:t xml:space="preserve">Anytime</x:t>
        </x:is>
      </x:c>
      <x:c r="L193" s="44" t="inlineStr">
        <x:is>
          <x:t xml:space="preserve">Not started</x:t>
        </x:is>
      </x:c>
      <x:c r="M193" s="18" t="inlineStr">
        <x:is>
          <x:t xml:space="preserve"/>
        </x:is>
      </x:c>
    </x:row>
    <x:row r="194">
      <x:c r="A194" s="18" t="inlineStr">
        <x:is>
          <x:t xml:space="preserve">T091</x:t>
        </x:is>
      </x:c>
      <x:c r="B194" s="18" t="inlineStr">
        <x:is>
          <x:t xml:space="preserve">Eng Governance</x:t>
        </x:is>
      </x:c>
      <x:c r="C194" s="18" t="inlineStr">
        <x:is>
          <x:t xml:space="preserve">License compliance check (license-checker in CI)</x:t>
        </x:is>
      </x:c>
      <x:c r="D194" s="18" t="inlineStr">
        <x:is>
          <x:t xml:space="preserve">Allowlist: MIT/Apache-2/BSD/ISC. Block GPL/AGPL/copyleft.</x:t>
        </x:is>
      </x:c>
      <x:c r="E194" s="32" t="inlineStr">
        <x:is>
          <x:t xml:space="preserve">P1</x:t>
        </x:is>
      </x:c>
      <x:c r="F194" s="39" t="inlineStr">
        <x:is>
          <x:t xml:space="preserve">2. CLAUDE DOES IT</x:t>
        </x:is>
      </x:c>
      <x:c r="G194" s="18" t="inlineStr">
        <x:is>
          <x:t xml:space="preserve">Anand</x:t>
        </x:is>
      </x:c>
      <x:c r="H194" s="18" t="inlineStr">
        <x:is>
          <x:t xml:space="preserve"/>
        </x:is>
      </x:c>
      <x:c r="I194" s="45" t="inlineStr">
        <x:is>
          <x:t xml:space="preserve">Claude (config)</x:t>
        </x:is>
      </x:c>
      <x:c r="J194" s="52" t="inlineStr">
        <x:is>
          <x:t xml:space="preserve">$0</x:t>
        </x:is>
      </x:c>
      <x:c r="K194" s="84" t="inlineStr">
        <x:is>
          <x:t xml:space="preserve">Anytime</x:t>
        </x:is>
      </x:c>
      <x:c r="L194" s="44" t="inlineStr">
        <x:is>
          <x:t xml:space="preserve">Not started</x:t>
        </x:is>
      </x:c>
      <x:c r="M194" s="18" t="inlineStr">
        <x:is>
          <x:t xml:space="preserve">F500 will ask for SBOM</x:t>
        </x:is>
      </x:c>
    </x:row>
    <x:row r="195">
      <x:c r="A195" s="18" t="inlineStr">
        <x:is>
          <x:t xml:space="preserve">T092</x:t>
        </x:is>
      </x:c>
      <x:c r="B195" s="18" t="inlineStr">
        <x:is>
          <x:t xml:space="preserve">Eng Governance</x:t>
        </x:is>
      </x:c>
      <x:c r="C195" s="18" t="inlineStr">
        <x:is>
          <x:t xml:space="preserve">SBOM (Software Bill of Materials) generation</x:t>
        </x:is>
      </x:c>
      <x:c r="D195" s="18" t="inlineStr">
        <x:is>
          <x:t xml:space="preserve">CycloneDX or SPDX format, generated each release. Auto-attach to release record.</x:t>
        </x:is>
      </x:c>
      <x:c r="E195" s="32" t="inlineStr">
        <x:is>
          <x:t xml:space="preserve">P1</x:t>
        </x:is>
      </x:c>
      <x:c r="F195" s="39" t="inlineStr">
        <x:is>
          <x:t xml:space="preserve">2. CLAUDE DOES IT</x:t>
        </x:is>
      </x:c>
      <x:c r="G195" s="18" t="inlineStr">
        <x:is>
          <x:t xml:space="preserve">Anand</x:t>
        </x:is>
      </x:c>
      <x:c r="H195" s="18" t="inlineStr">
        <x:is>
          <x:t xml:space="preserve"/>
        </x:is>
      </x:c>
      <x:c r="I195" s="45" t="inlineStr">
        <x:is>
          <x:t xml:space="preserve">Claude (workflow)</x:t>
        </x:is>
      </x:c>
      <x:c r="J195" s="52" t="inlineStr">
        <x:is>
          <x:t xml:space="preserve">$0</x:t>
        </x:is>
      </x:c>
      <x:c r="K195" s="84" t="inlineStr">
        <x:is>
          <x:t xml:space="preserve">Anytime</x:t>
        </x:is>
      </x:c>
      <x:c r="L195" s="44" t="inlineStr">
        <x:is>
          <x:t xml:space="preserve">Not started</x:t>
        </x:is>
      </x:c>
      <x:c r="M195" s="18" t="inlineStr">
        <x:is>
          <x:t xml:space="preserve">F500 procurement increasingly requires</x:t>
        </x:is>
      </x:c>
    </x:row>
    <x:row r="196">
      <x:c r="A196" s="18" t="inlineStr">
        <x:is>
          <x:t xml:space="preserve">T093</x:t>
        </x:is>
      </x:c>
      <x:c r="B196" s="18" t="inlineStr">
        <x:is>
          <x:t xml:space="preserve">Eng Governance</x:t>
        </x:is>
      </x:c>
      <x:c r="C196" s="18" t="inlineStr">
        <x:is>
          <x:t xml:space="preserve">Renovate or Dependabot — automated dep updates</x:t>
        </x:is>
      </x:c>
      <x:c r="D196" s="18" t="inlineStr">
        <x:is>
          <x:t xml:space="preserve">Weekly PRs, auto-merge for patch/minor on green CI, manual for major.</x:t>
        </x:is>
      </x:c>
      <x:c r="E196" s="32" t="inlineStr">
        <x:is>
          <x:t xml:space="preserve">P1</x:t>
        </x:is>
      </x:c>
      <x:c r="F196" s="39" t="inlineStr">
        <x:is>
          <x:t xml:space="preserve">2. CLAUDE DOES IT</x:t>
        </x:is>
      </x:c>
      <x:c r="G196" s="18" t="inlineStr">
        <x:is>
          <x:t xml:space="preserve">Anand</x:t>
        </x:is>
      </x:c>
      <x:c r="H196" s="18" t="inlineStr">
        <x:is>
          <x:t xml:space="preserve"/>
        </x:is>
      </x:c>
      <x:c r="I196" s="45" t="inlineStr">
        <x:is>
          <x:t xml:space="preserve">Claude (config)</x:t>
        </x:is>
      </x:c>
      <x:c r="J196" s="52" t="inlineStr">
        <x:is>
          <x:t xml:space="preserve">$0</x:t>
        </x:is>
      </x:c>
      <x:c r="K196" s="84" t="inlineStr">
        <x:is>
          <x:t xml:space="preserve">Anytime</x:t>
        </x:is>
      </x:c>
      <x:c r="L196" s="44" t="inlineStr">
        <x:is>
          <x:t xml:space="preserve">Not started</x:t>
        </x:is>
      </x:c>
      <x:c r="M196" s="18" t="inlineStr">
        <x:is>
          <x:t xml:space="preserve"/>
        </x:is>
      </x:c>
    </x:row>
    <x:row r="197">
      <x:c r="A197" s="18" t="inlineStr">
        <x:is>
          <x:t xml:space="preserve">T095</x:t>
        </x:is>
      </x:c>
      <x:c r="B197" s="18" t="inlineStr">
        <x:is>
          <x:t xml:space="preserve">Eng Governance</x:t>
        </x:is>
      </x:c>
      <x:c r="C197" s="18" t="inlineStr">
        <x:is>
          <x:t xml:space="preserve">Scaffolding scripts (npm run scaffold:*)</x:t>
        </x:is>
      </x:c>
      <x:c r="D197" s="18" t="inlineStr">
        <x:is>
          <x:t xml:space="preserve">scaffold:route, scaffold:component, scaffold:migration, scaffold:adr — start from blessed templates.</x:t>
        </x:is>
      </x:c>
      <x:c r="E197" s="32" t="inlineStr">
        <x:is>
          <x:t xml:space="preserve">P1</x:t>
        </x:is>
      </x:c>
      <x:c r="F197" s="39" t="inlineStr">
        <x:is>
          <x:t xml:space="preserve">2. CLAUDE DOES IT</x:t>
        </x:is>
      </x:c>
      <x:c r="G197" s="18" t="inlineStr">
        <x:is>
          <x:t xml:space="preserve">Anand</x:t>
        </x:is>
      </x:c>
      <x:c r="H197" s="18" t="inlineStr">
        <x:is>
          <x:t xml:space="preserve"/>
        </x:is>
      </x:c>
      <x:c r="I197" s="45" t="inlineStr">
        <x:is>
          <x:t xml:space="preserve">Claude (code)</x:t>
        </x:is>
      </x:c>
      <x:c r="J197" s="52" t="inlineStr">
        <x:is>
          <x:t xml:space="preserve">$0</x:t>
        </x:is>
      </x:c>
      <x:c r="K197" s="84" t="inlineStr">
        <x:is>
          <x:t xml:space="preserve">Anytime</x:t>
        </x:is>
      </x:c>
      <x:c r="L197" s="44" t="inlineStr">
        <x:is>
          <x:t xml:space="preserve">Not started</x:t>
        </x:is>
      </x:c>
      <x:c r="M197" s="18" t="inlineStr">
        <x:is>
          <x:t xml:space="preserve">AI tools use these = consistency</x:t>
        </x:is>
      </x:c>
    </x:row>
    <x:row r="198">
      <x:c r="A198" s="18" t="inlineStr">
        <x:is>
          <x:t xml:space="preserve">T101</x:t>
        </x:is>
      </x:c>
      <x:c r="B198" s="18" t="inlineStr">
        <x:is>
          <x:t xml:space="preserve">Eng Governance</x:t>
        </x:is>
      </x:c>
      <x:c r="C198" s="18" t="inlineStr">
        <x:is>
          <x:t xml:space="preserve">Engineer onboarding runbook (docs/runbooks/onboarding.md)</x:t>
        </x:is>
      </x:c>
      <x:c r="D198" s="18" t="inlineStr">
        <x:is>
          <x:t xml:space="preserve">Day-1 to first-PR checklist. Write it for the NEXT person; you'll need it when you hire #2.</x:t>
        </x:is>
      </x:c>
      <x:c r="E198" s="32" t="inlineStr">
        <x:is>
          <x:t xml:space="preserve">P1</x:t>
        </x:is>
      </x:c>
      <x:c r="F198" s="39" t="inlineStr">
        <x:is>
          <x:t xml:space="preserve">2. CLAUDE DOES IT</x:t>
        </x:is>
      </x:c>
      <x:c r="G198" s="18" t="inlineStr">
        <x:is>
          <x:t xml:space="preserve">Anand</x:t>
        </x:is>
      </x:c>
      <x:c r="H198" s="18" t="inlineStr">
        <x:is>
          <x:t xml:space="preserve"/>
        </x:is>
      </x:c>
      <x:c r="I198" s="45" t="inlineStr">
        <x:is>
          <x:t xml:space="preserve">Claude (draft)</x:t>
        </x:is>
      </x:c>
      <x:c r="J198" s="52" t="inlineStr">
        <x:is>
          <x:t xml:space="preserve">$0</x:t>
        </x:is>
      </x:c>
      <x:c r="K198" s="84" t="inlineStr">
        <x:is>
          <x:t xml:space="preserve">Anytime</x:t>
        </x:is>
      </x:c>
      <x:c r="L198" s="44" t="inlineStr">
        <x:is>
          <x:t xml:space="preserve">Not started</x:t>
        </x:is>
      </x:c>
      <x:c r="M198" s="18" t="inlineStr">
        <x:is>
          <x:t xml:space="preserve">Write while you remember the steps</x:t>
        </x:is>
      </x:c>
    </x:row>
    <x:row r="199">
      <x:c r="A199" s="18" t="inlineStr">
        <x:is>
          <x:t xml:space="preserve">T103</x:t>
        </x:is>
      </x:c>
      <x:c r="B199" s="18" t="inlineStr">
        <x:is>
          <x:t xml:space="preserve">Eng Governance</x:t>
        </x:is>
      </x:c>
      <x:c r="C199" s="18" t="inlineStr">
        <x:is>
          <x:t xml:space="preserve">Accessibility (WCAG 2.1 AA) — axe-core in CI</x:t>
        </x:is>
      </x:c>
      <x:c r="D199" s="18" t="inlineStr">
        <x:is>
          <x:t xml:space="preserve">Required for many F500 procurement. axe-core on every route in E2E suite.</x:t>
        </x:is>
      </x:c>
      <x:c r="E199" s="32" t="inlineStr">
        <x:is>
          <x:t xml:space="preserve">P1</x:t>
        </x:is>
      </x:c>
      <x:c r="F199" s="39" t="inlineStr">
        <x:is>
          <x:t xml:space="preserve">2. CLAUDE DOES IT</x:t>
        </x:is>
      </x:c>
      <x:c r="G199" s="18" t="inlineStr">
        <x:is>
          <x:t xml:space="preserve">Anand</x:t>
        </x:is>
      </x:c>
      <x:c r="H199" s="18" t="inlineStr">
        <x:is>
          <x:t xml:space="preserve"/>
        </x:is>
      </x:c>
      <x:c r="I199" s="45" t="inlineStr">
        <x:is>
          <x:t xml:space="preserve">Claude (axe-core)</x:t>
        </x:is>
      </x:c>
      <x:c r="J199" s="52" t="inlineStr">
        <x:is>
          <x:t xml:space="preserve">$0 (axe-core free)</x:t>
        </x:is>
      </x:c>
      <x:c r="K199" s="84" t="inlineStr">
        <x:is>
          <x:t xml:space="preserve">Anytime</x:t>
        </x:is>
      </x:c>
      <x:c r="L199" s="44" t="inlineStr">
        <x:is>
          <x:t xml:space="preserve">Not started</x:t>
        </x:is>
      </x:c>
      <x:c r="M199" s="18" t="inlineStr">
        <x:is>
          <x:t xml:space="preserve">Procurement table stakes</x:t>
        </x:is>
      </x:c>
    </x:row>
    <x:row r="200">
      <x:c r="A200" s="18" t="inlineStr">
        <x:is>
          <x:t xml:space="preserve">T104</x:t>
        </x:is>
      </x:c>
      <x:c r="B200" s="18" t="inlineStr">
        <x:is>
          <x:t xml:space="preserve">Eng Governance</x:t>
        </x:is>
      </x:c>
      <x:c r="C200" s="18" t="inlineStr">
        <x:is>
          <x:t xml:space="preserve">Test pyramid policy — every new route requires behavior test</x:t>
        </x:is>
      </x:c>
      <x:c r="D200" s="18" t="inlineStr">
        <x:is>
          <x:t xml:space="preserve">Encoded in PR template + CI check. New route file w/o test = fail.</x:t>
        </x:is>
      </x:c>
      <x:c r="E200" s="32" t="inlineStr">
        <x:is>
          <x:t xml:space="preserve">P1</x:t>
        </x:is>
      </x:c>
      <x:c r="F200" s="39" t="inlineStr">
        <x:is>
          <x:t xml:space="preserve">2. CLAUDE DOES IT</x:t>
        </x:is>
      </x:c>
      <x:c r="G200" s="18" t="inlineStr">
        <x:is>
          <x:t xml:space="preserve">Anand</x:t>
        </x:is>
      </x:c>
      <x:c r="H200" s="18" t="inlineStr">
        <x:is>
          <x:t xml:space="preserve"/>
        </x:is>
      </x:c>
      <x:c r="I200" s="45" t="inlineStr">
        <x:is>
          <x:t xml:space="preserve">Claude (config)</x:t>
        </x:is>
      </x:c>
      <x:c r="J200" s="52" t="inlineStr">
        <x:is>
          <x:t xml:space="preserve">$0</x:t>
        </x:is>
      </x:c>
      <x:c r="K200" s="84" t="inlineStr">
        <x:is>
          <x:t xml:space="preserve">Anytime</x:t>
        </x:is>
      </x:c>
      <x:c r="L200" s="44" t="inlineStr">
        <x:is>
          <x:t xml:space="preserve">Not started</x:t>
        </x:is>
      </x:c>
      <x:c r="M200" s="18" t="inlineStr">
        <x:is>
          <x:t xml:space="preserve"/>
        </x:is>
      </x:c>
    </x:row>
    <x:row r="201">
      <x:c r="A201" s="18" t="inlineStr">
        <x:is>
          <x:t xml:space="preserve">T099</x:t>
        </x:is>
      </x:c>
      <x:c r="B201" s="18" t="inlineStr">
        <x:is>
          <x:t xml:space="preserve">Eng Governance</x:t>
        </x:is>
      </x:c>
      <x:c r="C201" s="18" t="inlineStr">
        <x:is>
          <x:t xml:space="preserve">Specialist catalog kept current in docs/architecture/specialist-catalog.md</x:t>
        </x:is>
      </x:c>
      <x:c r="D201" s="18" t="inlineStr">
        <x:is>
          <x:t xml:space="preserve">CI check: every new specialist class has catalog entry.</x:t>
        </x:is>
      </x:c>
      <x:c r="E201" s="49" t="inlineStr">
        <x:is>
          <x:t xml:space="preserve">P2</x:t>
        </x:is>
      </x:c>
      <x:c r="F201" s="39" t="inlineStr">
        <x:is>
          <x:t xml:space="preserve">2. CLAUDE DOES IT</x:t>
        </x:is>
      </x:c>
      <x:c r="G201" s="18" t="inlineStr">
        <x:is>
          <x:t xml:space="preserve">Anand</x:t>
        </x:is>
      </x:c>
      <x:c r="H201" s="18" t="inlineStr">
        <x:is>
          <x:t xml:space="preserve"/>
        </x:is>
      </x:c>
      <x:c r="I201" s="45" t="inlineStr">
        <x:is>
          <x:t xml:space="preserve">Claude (docs)</x:t>
        </x:is>
      </x:c>
      <x:c r="J201" s="52" t="inlineStr">
        <x:is>
          <x:t xml:space="preserve">$0</x:t>
        </x:is>
      </x:c>
      <x:c r="K201" s="84" t="inlineStr">
        <x:is>
          <x:t xml:space="preserve">Anytime</x:t>
        </x:is>
      </x:c>
      <x:c r="L201" s="44" t="inlineStr">
        <x:is>
          <x:t xml:space="preserve">Not started</x:t>
        </x:is>
      </x:c>
      <x:c r="M201" s="18" t="inlineStr">
        <x:is>
          <x:t xml:space="preserve"/>
        </x:is>
      </x:c>
    </x:row>
    <x:row r="202">
      <x:c r="A202" s="18" t="inlineStr">
        <x:is>
          <x:t xml:space="preserve">T105</x:t>
        </x:is>
      </x:c>
      <x:c r="B202" s="18" t="inlineStr">
        <x:is>
          <x:t xml:space="preserve">Eng Governance</x:t>
        </x:is>
      </x:c>
      <x:c r="C202" s="18" t="inlineStr">
        <x:is>
          <x:t xml:space="preserve">Telemetry/observability standards — event naming convention</x:t>
        </x:is>
      </x:c>
      <x:c r="D202" s="18" t="inlineStr">
        <x:is>
          <x:t xml:space="preserve">All PostHog events follow {surface}_{noun}_{verb} schema. CI check on new events.</x:t>
        </x:is>
      </x:c>
      <x:c r="E202" s="49" t="inlineStr">
        <x:is>
          <x:t xml:space="preserve">P2</x:t>
        </x:is>
      </x:c>
      <x:c r="F202" s="39" t="inlineStr">
        <x:is>
          <x:t xml:space="preserve">2. CLAUDE DOES IT</x:t>
        </x:is>
      </x:c>
      <x:c r="G202" s="18" t="inlineStr">
        <x:is>
          <x:t xml:space="preserve">Anand</x:t>
        </x:is>
      </x:c>
      <x:c r="H202" s="18" t="inlineStr">
        <x:is>
          <x:t xml:space="preserve"/>
        </x:is>
      </x:c>
      <x:c r="I202" s="45" t="inlineStr">
        <x:is>
          <x:t xml:space="preserve">Claude (docs)</x:t>
        </x:is>
      </x:c>
      <x:c r="J202" s="52" t="inlineStr">
        <x:is>
          <x:t xml:space="preserve">$0</x:t>
        </x:is>
      </x:c>
      <x:c r="K202" s="84" t="inlineStr">
        <x:is>
          <x:t xml:space="preserve">Anytime</x:t>
        </x:is>
      </x:c>
      <x:c r="L202" s="44" t="inlineStr">
        <x:is>
          <x:t xml:space="preserve">Not started</x:t>
        </x:is>
      </x:c>
      <x:c r="M202" s="18" t="inlineStr">
        <x:is>
          <x:t xml:space="preserve">Future analytics depend on this</x:t>
        </x:is>
      </x:c>
    </x:row>
    <x:row r="203">
      <x:c r="A203" s="18" t="inlineStr">
        <x:is>
          <x:t xml:space="preserve">T098</x:t>
        </x:is>
      </x:c>
      <x:c r="B203" s="18" t="inlineStr">
        <x:is>
          <x:t xml:space="preserve">Eng Governance</x:t>
        </x:is>
      </x:c>
      <x:c r="C203" s="18" t="inlineStr">
        <x:is>
          <x:t xml:space="preserve">Migration drift check enforced as required check (currently warn-only)</x:t>
        </x:is>
      </x:c>
      <x:c r="D203" s="18" t="inlineStr">
        <x:is>
          <x:t xml:space="preserve">Move from warn to fail. Per project_drift_check_status memory — currently broken on GitHub-side auth.</x:t>
        </x:is>
      </x:c>
      <x:c r="E203" s="32" t="inlineStr">
        <x:is>
          <x:t xml:space="preserve">P1</x:t>
        </x:is>
      </x:c>
      <x:c r="F203" s="40" t="inlineStr">
        <x:is>
          <x:t xml:space="preserve">3. CLAUDE + YOU</x:t>
        </x:is>
      </x:c>
      <x:c r="G203" s="18" t="inlineStr">
        <x:is>
          <x:t xml:space="preserve">Anand</x:t>
        </x:is>
      </x:c>
      <x:c r="H203" s="18" t="inlineStr">
        <x:is>
          <x:t xml:space="preserve"/>
        </x:is>
      </x:c>
      <x:c r="I203" s="47" t="inlineStr">
        <x:is>
          <x:t xml:space="preserve">Claude + you (auth fix)</x:t>
        </x:is>
      </x:c>
      <x:c r="J203" s="52" t="inlineStr">
        <x:is>
          <x:t xml:space="preserve">$0</x:t>
        </x:is>
      </x:c>
      <x:c r="K203" s="84" t="inlineStr">
        <x:is>
          <x:t xml:space="preserve">Anytime</x:t>
        </x:is>
      </x:c>
      <x:c r="L203" s="44" t="inlineStr">
        <x:is>
          <x:t xml:space="preserve">Not started</x:t>
        </x:is>
      </x:c>
      <x:c r="M203" s="18" t="inlineStr">
        <x:is>
          <x:t xml:space="preserve">Fix GitHub auth first</x:t>
        </x:is>
      </x:c>
    </x:row>
    <x:row r="204">
      <x:c r="A204" s="18" t="inlineStr">
        <x:is>
          <x:t xml:space="preserve">T102</x:t>
        </x:is>
      </x:c>
      <x:c r="B204" s="18" t="inlineStr">
        <x:is>
          <x:t xml:space="preserve">Eng Governance</x:t>
        </x:is>
      </x:c>
      <x:c r="C204" s="18" t="inlineStr">
        <x:is>
          <x:t xml:space="preserve">DORA metrics dashboard (lead time, deploy freq, change-fail rate, MTTR)</x:t>
        </x:is>
      </x:c>
      <x:c r="D204" s="18" t="inlineStr">
        <x:is>
          <x:t xml:space="preserve">Auto-collected from GitHub + Vercel + PostHog. Weekly review.</x:t>
        </x:is>
      </x:c>
      <x:c r="E204" s="49" t="inlineStr">
        <x:is>
          <x:t xml:space="preserve">P2</x:t>
        </x:is>
      </x:c>
      <x:c r="F204" s="41" t="inlineStr">
        <x:is>
          <x:t xml:space="preserve">4. CLAUDE + PRO</x:t>
        </x:is>
      </x:c>
      <x:c r="G204" s="18" t="inlineStr">
        <x:is>
          <x:t xml:space="preserve">Anand</x:t>
        </x:is>
      </x:c>
      <x:c r="H204" s="18" t="inlineStr">
        <x:is>
          <x:t xml:space="preserve"/>
        </x:is>
      </x:c>
      <x:c r="I204" s="50" t="inlineStr">
        <x:is>
          <x:t xml:space="preserve">Claude + 3rd party</x:t>
        </x:is>
      </x:c>
      <x:c r="J204" s="52" t="inlineStr">
        <x:is>
          <x:t xml:space="preserve">$0 (build) or $50/mo (LinearB)</x:t>
        </x:is>
      </x:c>
      <x:c r="K204" s="84" t="inlineStr">
        <x:is>
          <x:t xml:space="preserve">Anytime</x:t>
        </x:is>
      </x:c>
      <x:c r="L204" s="44" t="inlineStr">
        <x:is>
          <x:t xml:space="preserve">Not started</x:t>
        </x:is>
      </x:c>
      <x:c r="M204" s="18" t="inlineStr">
        <x:is>
          <x:t xml:space="preserve">Hire conversations get easier with numbers</x:t>
        </x:is>
      </x:c>
    </x:row>
    <x:row r="205">
      <x:c r="A205" s="18" t="inlineStr">
        <x:is>
          <x:t xml:space="preserve">T081</x:t>
        </x:is>
      </x:c>
      <x:c r="B205" s="18" t="inlineStr">
        <x:is>
          <x:t xml:space="preserve">Eng Governance</x:t>
        </x:is>
      </x:c>
      <x:c r="C205" s="18" t="inlineStr">
        <x:is>
          <x:t xml:space="preserve">GitHub branch protection rules — required checks + reviewers</x:t>
        </x:is>
      </x:c>
      <x:c r="D205" s="18" t="inlineStr">
        <x:is>
          <x:t xml:space="preserve">main: required status checks, signed commits, no force-push, no admin bypass, linear history.</x:t>
        </x:is>
      </x:c>
      <x:c r="E205" s="31" t="inlineStr">
        <x:is>
          <x:t xml:space="preserve">P0</x:t>
        </x:is>
      </x:c>
      <x:c r="F205" s="42" t="inlineStr">
        <x:is>
          <x:t xml:space="preserve">5. EXTERNAL</x:t>
        </x:is>
      </x:c>
      <x:c r="G205" s="18" t="inlineStr">
        <x:is>
          <x:t xml:space="preserve">Anand</x:t>
        </x:is>
      </x:c>
      <x:c r="H205" s="18" t="inlineStr">
        <x:is>
          <x:t xml:space="preserve">T084</x:t>
        </x:is>
      </x:c>
      <x:c r="I205" s="48" t="inlineStr">
        <x:is>
          <x:t xml:space="preserve">You only (GH UI)</x:t>
        </x:is>
      </x:c>
      <x:c r="J205" s="52" t="inlineStr">
        <x:is>
          <x:t xml:space="preserve">$0</x:t>
        </x:is>
      </x:c>
      <x:c r="K205" s="84" t="inlineStr">
        <x:is>
          <x:t xml:space="preserve">Anytime</x:t>
        </x:is>
      </x:c>
      <x:c r="L205" s="44" t="inlineStr">
        <x:is>
          <x:t xml:space="preserve">Not started</x:t>
        </x:is>
      </x:c>
      <x:c r="M205" s="18" t="inlineStr">
        <x:is>
          <x:t xml:space="preserve">Hardest single thing to retrofit later</x:t>
        </x:is>
      </x:c>
    </x:row>
    <x:row r="206">
      <x:c r="A206" s="18" t="inlineStr">
        <x:is>
          <x:t xml:space="preserve">T066</x:t>
        </x:is>
      </x:c>
      <x:c r="B206" s="18" t="inlineStr">
        <x:is>
          <x:t xml:space="preserve">IP &amp; Trademark</x:t>
        </x:is>
      </x:c>
      <x:c r="C206" s="18" t="inlineStr">
        <x:is>
          <x:t xml:space="preserve">Trademark 'AbarVa' with USPTO</x:t>
        </x:is>
      </x:c>
      <x:c r="D206" s="18" t="inlineStr">
        <x:is>
          <x:t xml:space="preserve">$350 filing + optional lawyer review. Class 9 (software) + Class 42 (SaaS).</x:t>
        </x:is>
      </x:c>
      <x:c r="E206" s="31" t="inlineStr">
        <x:is>
          <x:t xml:space="preserve">P0</x:t>
        </x:is>
      </x:c>
      <x:c r="F206" s="38" t="inlineStr">
        <x:is>
          <x:t xml:space="preserve">1. QUICK WIN</x:t>
        </x:is>
      </x:c>
      <x:c r="G206" s="18" t="inlineStr">
        <x:is>
          <x:t xml:space="preserve">Anand</x:t>
        </x:is>
      </x:c>
      <x:c r="H206" s="18" t="inlineStr">
        <x:is>
          <x:t xml:space="preserve">T001</x:t>
        </x:is>
      </x:c>
      <x:c r="I206" s="43" t="inlineStr">
        <x:is>
          <x:t xml:space="preserve">Self-serve (USPTO TEAS) + Claude</x:t>
        </x:is>
      </x:c>
      <x:c r="J206" s="51" t="inlineStr">
        <x:is>
          <x:t xml:space="preserve">$350 one-time (USPTO)</x:t>
        </x:is>
      </x:c>
      <x:c r="K206" s="83" t="inlineStr">
        <x:is>
          <x:t xml:space="preserve">Post-Resign</x:t>
        </x:is>
      </x:c>
      <x:c r="L206" s="44" t="inlineStr">
        <x:is>
          <x:t xml:space="preserve">Not started</x:t>
        </x:is>
      </x:c>
      <x:c r="M206" s="18" t="inlineStr">
        <x:is>
          <x:t xml:space="preserve">Defensive — file BEFORE any public launch / press</x:t>
        </x:is>
      </x:c>
    </x:row>
    <x:row r="207">
      <x:c r="A207" s="18" t="inlineStr">
        <x:is>
          <x:t xml:space="preserve">T067</x:t>
        </x:is>
      </x:c>
      <x:c r="B207" s="18" t="inlineStr">
        <x:is>
          <x:t xml:space="preserve">IP &amp; Trademark</x:t>
        </x:is>
      </x:c>
      <x:c r="C207" s="18" t="inlineStr">
        <x:is>
          <x:t xml:space="preserve">Knockout search for agent brand names (Sentinel/Atlas/Steward/Nexus/Maestro)</x:t>
        </x:is>
      </x:c>
      <x:c r="D207" s="18" t="inlineStr">
        <x:is>
          <x:t xml:space="preserve">Free USPTO TESS search. These are common English words — expect conflicts in adjacent categories.</x:t>
        </x:is>
      </x:c>
      <x:c r="E207" s="31" t="inlineStr">
        <x:is>
          <x:t xml:space="preserve">P0</x:t>
        </x:is>
      </x:c>
      <x:c r="F207" s="38" t="inlineStr">
        <x:is>
          <x:t xml:space="preserve">1. QUICK WIN</x:t>
        </x:is>
      </x:c>
      <x:c r="G207" s="18" t="inlineStr">
        <x:is>
          <x:t xml:space="preserve">Anand</x:t>
        </x:is>
      </x:c>
      <x:c r="H207" s="18" t="inlineStr">
        <x:is>
          <x:t xml:space="preserve"/>
        </x:is>
      </x:c>
      <x:c r="I207" s="43" t="inlineStr">
        <x:is>
          <x:t xml:space="preserve">Self-serve + Claude</x:t>
        </x:is>
      </x:c>
      <x:c r="J207" s="52" t="inlineStr">
        <x:is>
          <x:t xml:space="preserve">$0 (USPTO TESS)</x:t>
        </x:is>
      </x:c>
      <x:c r="K207" s="82" t="inlineStr">
        <x:is>
          <x:t xml:space="preserve">Pre-Resign</x:t>
        </x:is>
      </x:c>
      <x:c r="L207" s="44" t="inlineStr">
        <x:is>
          <x:t xml:space="preserve">Not started</x:t>
        </x:is>
      </x:c>
      <x:c r="M207" s="18" t="inlineStr">
        <x:is>
          <x:t xml:space="preserve">Do BEFORE filing</x:t>
        </x:is>
      </x:c>
    </x:row>
    <x:row r="208">
      <x:c r="A208" s="18" t="inlineStr">
        <x:is>
          <x:t xml:space="preserve">T068</x:t>
        </x:is>
      </x:c>
      <x:c r="B208" s="18" t="inlineStr">
        <x:is>
          <x:t xml:space="preserve">IP &amp; Trademark</x:t>
        </x:is>
      </x:c>
      <x:c r="C208" s="18" t="inlineStr">
        <x:is>
          <x:t xml:space="preserve">Trademark agent brand names (qualified if needed: 'AbarVa Sentinel' etc.)</x:t>
        </x:is>
      </x:c>
      <x:c r="D208" s="18" t="inlineStr">
        <x:is>
          <x:t xml:space="preserve">Likely need qualified marks given knockout results. ~$350 × N filings.</x:t>
        </x:is>
      </x:c>
      <x:c r="E208" s="32" t="inlineStr">
        <x:is>
          <x:t xml:space="preserve">P1</x:t>
        </x:is>
      </x:c>
      <x:c r="F208" s="38" t="inlineStr">
        <x:is>
          <x:t xml:space="preserve">1. QUICK WIN</x:t>
        </x:is>
      </x:c>
      <x:c r="G208" s="18" t="inlineStr">
        <x:is>
          <x:t xml:space="preserve">Anand</x:t>
        </x:is>
      </x:c>
      <x:c r="H208" s="18" t="inlineStr">
        <x:is>
          <x:t xml:space="preserve">T067</x:t>
        </x:is>
      </x:c>
      <x:c r="I208" s="43" t="inlineStr">
        <x:is>
          <x:t xml:space="preserve">Self-serve (USPTO TEAS)</x:t>
        </x:is>
      </x:c>
      <x:c r="J208" s="51" t="inlineStr">
        <x:is>
          <x:t xml:space="preserve">$350-1400 (1-4 marks)</x:t>
        </x:is>
      </x:c>
      <x:c r="K208" s="83" t="inlineStr">
        <x:is>
          <x:t xml:space="preserve">Post-Resign</x:t>
        </x:is>
      </x:c>
      <x:c r="L208" s="44" t="inlineStr">
        <x:is>
          <x:t xml:space="preserve">Not started</x:t>
        </x:is>
      </x:c>
      <x:c r="M208" s="18" t="inlineStr">
        <x:is>
          <x:t xml:space="preserve"/>
        </x:is>
      </x:c>
    </x:row>
    <x:row r="209">
      <x:c r="A209" s="18" t="inlineStr">
        <x:is>
          <x:t xml:space="preserve">T069</x:t>
        </x:is>
      </x:c>
      <x:c r="B209" s="18" t="inlineStr">
        <x:is>
          <x:t xml:space="preserve">IP &amp; Trademark</x:t>
        </x:is>
      </x:c>
      <x:c r="C209" s="18" t="inlineStr">
        <x:is>
          <x:t xml:space="preserve">Register industry-genome corpus database with US Copyright Office</x:t>
        </x:is>
      </x:c>
      <x:c r="D209" s="18" t="inlineStr">
        <x:is>
          <x:t xml:space="preserve">$65. Database registration. Evidentiary advantage if anyone copies the corpus.</x:t>
        </x:is>
      </x:c>
      <x:c r="E209" s="32" t="inlineStr">
        <x:is>
          <x:t xml:space="preserve">P1</x:t>
        </x:is>
      </x:c>
      <x:c r="F209" s="38" t="inlineStr">
        <x:is>
          <x:t xml:space="preserve">1. QUICK WIN</x:t>
        </x:is>
      </x:c>
      <x:c r="G209" s="18" t="inlineStr">
        <x:is>
          <x:t xml:space="preserve">Anand</x:t>
        </x:is>
      </x:c>
      <x:c r="H209" s="18" t="inlineStr">
        <x:is>
          <x:t xml:space="preserve">T001</x:t>
        </x:is>
      </x:c>
      <x:c r="I209" s="43" t="inlineStr">
        <x:is>
          <x:t xml:space="preserve">Self-serve (copyright.gov)</x:t>
        </x:is>
      </x:c>
      <x:c r="J209" s="51" t="inlineStr">
        <x:is>
          <x:t xml:space="preserve">$65 one-time/yr</x:t>
        </x:is>
      </x:c>
      <x:c r="K209" s="83" t="inlineStr">
        <x:is>
          <x:t xml:space="preserve">Post-Resign</x:t>
        </x:is>
      </x:c>
      <x:c r="L209" s="44" t="inlineStr">
        <x:is>
          <x:t xml:space="preserve">Not started</x:t>
        </x:is>
      </x:c>
      <x:c r="M209" s="18" t="inlineStr">
        <x:is>
          <x:t xml:space="preserve">Re-register annually as waves grow</x:t>
        </x:is>
      </x:c>
    </x:row>
    <x:row r="210">
      <x:c r="A210" s="18" t="inlineStr">
        <x:is>
          <x:t xml:space="preserve">T070</x:t>
        </x:is>
      </x:c>
      <x:c r="B210" s="18" t="inlineStr">
        <x:is>
          <x:t xml:space="preserve">IP &amp; Trademark</x:t>
        </x:is>
      </x:c>
      <x:c r="C210" s="18" t="inlineStr">
        <x:is>
          <x:t xml:space="preserve">Write 1-page Trade Secret Policy</x:t>
        </x:is>
      </x:c>
      <x:c r="D210" s="18" t="inlineStr">
        <x:is>
          <x:t xml:space="preserve">Definition, marking convention ('AbarVa Confidential — Trade Secret'), access controls, NDA on all touch.</x:t>
        </x:is>
      </x:c>
      <x:c r="E210" s="31" t="inlineStr">
        <x:is>
          <x:t xml:space="preserve">P0</x:t>
        </x:is>
      </x:c>
      <x:c r="F210" s="39" t="inlineStr">
        <x:is>
          <x:t xml:space="preserve">2. CLAUDE DOES IT</x:t>
        </x:is>
      </x:c>
      <x:c r="G210" s="18" t="inlineStr">
        <x:is>
          <x:t xml:space="preserve">Anand</x:t>
        </x:is>
      </x:c>
      <x:c r="H210" s="18" t="inlineStr">
        <x:is>
          <x:t xml:space="preserve"/>
        </x:is>
      </x:c>
      <x:c r="I210" s="45" t="inlineStr">
        <x:is>
          <x:t xml:space="preserve">Claude (draft)</x:t>
        </x:is>
      </x:c>
      <x:c r="J210" s="52" t="inlineStr">
        <x:is>
          <x:t xml:space="preserve">$0</x:t>
        </x:is>
      </x:c>
      <x:c r="K210" s="82" t="inlineStr">
        <x:is>
          <x:t xml:space="preserve">Pre-Resign</x:t>
        </x:is>
      </x:c>
      <x:c r="L210" s="44" t="inlineStr">
        <x:is>
          <x:t xml:space="preserve">Not started</x:t>
        </x:is>
      </x:c>
      <x:c r="M210" s="18" t="inlineStr">
        <x:is>
          <x:t xml:space="preserve">Costs $0. Foundation for any trade-secret claim later.</x:t>
        </x:is>
      </x:c>
    </x:row>
    <x:row r="211">
      <x:c r="A211" s="18" t="inlineStr">
        <x:is>
          <x:t xml:space="preserve">T072</x:t>
        </x:is>
      </x:c>
      <x:c r="B211" s="18" t="inlineStr">
        <x:is>
          <x:t xml:space="preserve">IP &amp; Trademark</x:t>
        </x:is>
      </x:c>
      <x:c r="C211" s="18" t="inlineStr">
        <x:is>
          <x:t xml:space="preserve">Defensive publication: AgentContextBroker boundary contract</x:t>
        </x:is>
      </x:c>
      <x:c r="D211" s="18" t="inlineStr">
        <x:is>
          <x:t xml:space="preserve">Dated, indexed blog post on abarva.com/engineering. Prior art = no one else can patent it against you.</x:t>
        </x:is>
      </x:c>
      <x:c r="E211" s="32" t="inlineStr">
        <x:is>
          <x:t xml:space="preserve">P1</x:t>
        </x:is>
      </x:c>
      <x:c r="F211" s="39" t="inlineStr">
        <x:is>
          <x:t xml:space="preserve">2. CLAUDE DOES IT</x:t>
        </x:is>
      </x:c>
      <x:c r="G211" s="18" t="inlineStr">
        <x:is>
          <x:t xml:space="preserve">Anand</x:t>
        </x:is>
      </x:c>
      <x:c r="H211" s="18" t="inlineStr">
        <x:is>
          <x:t xml:space="preserve"/>
        </x:is>
      </x:c>
      <x:c r="I211" s="45" t="inlineStr">
        <x:is>
          <x:t xml:space="preserve">Claude (draft post)</x:t>
        </x:is>
      </x:c>
      <x:c r="J211" s="52" t="inlineStr">
        <x:is>
          <x:t xml:space="preserve">$0</x:t>
        </x:is>
      </x:c>
      <x:c r="K211" s="83" t="inlineStr">
        <x:is>
          <x:t xml:space="preserve">Post-Resign</x:t>
        </x:is>
      </x:c>
      <x:c r="L211" s="44" t="inlineStr">
        <x:is>
          <x:t xml:space="preserve">Not started</x:t>
        </x:is>
      </x:c>
      <x:c r="M211" s="18" t="inlineStr">
        <x:is>
          <x:t xml:space="preserve">Free poison pill</x:t>
        </x:is>
      </x:c>
    </x:row>
    <x:row r="212">
      <x:c r="A212" s="18" t="inlineStr">
        <x:is>
          <x:t xml:space="preserve">T073</x:t>
        </x:is>
      </x:c>
      <x:c r="B212" s="18" t="inlineStr">
        <x:is>
          <x:t xml:space="preserve">IP &amp; Trademark</x:t>
        </x:is>
      </x:c>
      <x:c r="C212" s="18" t="inlineStr">
        <x:is>
          <x:t xml:space="preserve">Defensive publication: workflow-anchored agent pattern</x:t>
        </x:is>
      </x:c>
      <x:c r="D212" s="18" t="inlineStr">
        <x:is>
          <x:t xml:space="preserve">Article describing one-front-agent-per-product + specialist routing.</x:t>
        </x:is>
      </x:c>
      <x:c r="E212" s="32" t="inlineStr">
        <x:is>
          <x:t xml:space="preserve">P1</x:t>
        </x:is>
      </x:c>
      <x:c r="F212" s="39" t="inlineStr">
        <x:is>
          <x:t xml:space="preserve">2. CLAUDE DOES IT</x:t>
        </x:is>
      </x:c>
      <x:c r="G212" s="18" t="inlineStr">
        <x:is>
          <x:t xml:space="preserve">Anand</x:t>
        </x:is>
      </x:c>
      <x:c r="H212" s="18" t="inlineStr">
        <x:is>
          <x:t xml:space="preserve"/>
        </x:is>
      </x:c>
      <x:c r="I212" s="45" t="inlineStr">
        <x:is>
          <x:t xml:space="preserve">Claude (draft post)</x:t>
        </x:is>
      </x:c>
      <x:c r="J212" s="52" t="inlineStr">
        <x:is>
          <x:t xml:space="preserve">$0</x:t>
        </x:is>
      </x:c>
      <x:c r="K212" s="83" t="inlineStr">
        <x:is>
          <x:t xml:space="preserve">Post-Resign</x:t>
        </x:is>
      </x:c>
      <x:c r="L212" s="44" t="inlineStr">
        <x:is>
          <x:t xml:space="preserve">Not started</x:t>
        </x:is>
      </x:c>
      <x:c r="M212" s="18" t="inlineStr">
        <x:is>
          <x:t xml:space="preserve"/>
        </x:is>
      </x:c>
    </x:row>
    <x:row r="213">
      <x:c r="A213" s="18" t="inlineStr">
        <x:is>
          <x:t xml:space="preserve">T074</x:t>
        </x:is>
      </x:c>
      <x:c r="B213" s="18" t="inlineStr">
        <x:is>
          <x:t xml:space="preserve">IP &amp; Trademark</x:t>
        </x:is>
      </x:c>
      <x:c r="C213" s="18" t="inlineStr">
        <x:is>
          <x:t xml:space="preserve">Defensive publication: pattern-to-Move funnel</x:t>
        </x:is>
      </x:c>
      <x:c r="D213" s="18" t="inlineStr">
        <x:is>
          <x:t xml:space="preserve">Article describing Intelligence → Moves translation flow.</x:t>
        </x:is>
      </x:c>
      <x:c r="E213" s="49" t="inlineStr">
        <x:is>
          <x:t xml:space="preserve">P2</x:t>
        </x:is>
      </x:c>
      <x:c r="F213" s="39" t="inlineStr">
        <x:is>
          <x:t xml:space="preserve">2. CLAUDE DOES IT</x:t>
        </x:is>
      </x:c>
      <x:c r="G213" s="18" t="inlineStr">
        <x:is>
          <x:t xml:space="preserve">Anand</x:t>
        </x:is>
      </x:c>
      <x:c r="H213" s="18" t="inlineStr">
        <x:is>
          <x:t xml:space="preserve"/>
        </x:is>
      </x:c>
      <x:c r="I213" s="45" t="inlineStr">
        <x:is>
          <x:t xml:space="preserve">Claude (draft post)</x:t>
        </x:is>
      </x:c>
      <x:c r="J213" s="52" t="inlineStr">
        <x:is>
          <x:t xml:space="preserve">$0</x:t>
        </x:is>
      </x:c>
      <x:c r="K213" s="83" t="inlineStr">
        <x:is>
          <x:t xml:space="preserve">Post-Resign</x:t>
        </x:is>
      </x:c>
      <x:c r="L213" s="44" t="inlineStr">
        <x:is>
          <x:t xml:space="preserve">Not started</x:t>
        </x:is>
      </x:c>
      <x:c r="M213" s="18" t="inlineStr">
        <x:is>
          <x:t xml:space="preserve"/>
        </x:is>
      </x:c>
    </x:row>
    <x:row r="214">
      <x:c r="A214" s="18" t="inlineStr">
        <x:is>
          <x:t xml:space="preserve">T076</x:t>
        </x:is>
      </x:c>
      <x:c r="B214" s="18" t="inlineStr">
        <x:is>
          <x:t xml:space="preserve">IP &amp; Trademark</x:t>
        </x:is>
      </x:c>
      <x:c r="C214" s="18" t="inlineStr">
        <x:is>
          <x:t xml:space="preserve">Invention disclosure form (1-pager) for future innovations</x:t>
        </x:is>
      </x:c>
      <x:c r="D214" s="18" t="inlineStr">
        <x:is>
          <x:t xml:space="preserve">Capture novel mechanisms as they emerge. Decision: patent / trade secret / publish.</x:t>
        </x:is>
      </x:c>
      <x:c r="E214" s="49" t="inlineStr">
        <x:is>
          <x:t xml:space="preserve">P2</x:t>
        </x:is>
      </x:c>
      <x:c r="F214" s="39" t="inlineStr">
        <x:is>
          <x:t xml:space="preserve">2. CLAUDE DOES IT</x:t>
        </x:is>
      </x:c>
      <x:c r="G214" s="18" t="inlineStr">
        <x:is>
          <x:t xml:space="preserve">Anand</x:t>
        </x:is>
      </x:c>
      <x:c r="H214" s="18" t="inlineStr">
        <x:is>
          <x:t xml:space="preserve"/>
        </x:is>
      </x:c>
      <x:c r="I214" s="45" t="inlineStr">
        <x:is>
          <x:t xml:space="preserve">Claude (template)</x:t>
        </x:is>
      </x:c>
      <x:c r="J214" s="52" t="inlineStr">
        <x:is>
          <x:t xml:space="preserve">$0</x:t>
        </x:is>
      </x:c>
      <x:c r="K214" s="82" t="inlineStr">
        <x:is>
          <x:t xml:space="preserve">Pre-Resign</x:t>
        </x:is>
      </x:c>
      <x:c r="L214" s="44" t="inlineStr">
        <x:is>
          <x:t xml:space="preserve">Not started</x:t>
        </x:is>
      </x:c>
      <x:c r="M214" s="18" t="inlineStr">
        <x:is>
          <x:t xml:space="preserve">Quarterly review cadence</x:t>
        </x:is>
      </x:c>
    </x:row>
    <x:row r="215">
      <x:c r="A215" s="18" t="inlineStr">
        <x:is>
          <x:t xml:space="preserve">T071</x:t>
        </x:is>
      </x:c>
      <x:c r="B215" s="18" t="inlineStr">
        <x:is>
          <x:t xml:space="preserve">IP &amp; Trademark</x:t>
        </x:is>
      </x:c>
      <x:c r="C215" s="18" t="inlineStr">
        <x:is>
          <x:t xml:space="preserve">Inventory trade secrets — apply marking</x:t>
        </x:is>
      </x:c>
      <x:c r="D215" s="18" t="inlineStr">
        <x:is>
          <x:t xml:space="preserve">Agent system prompts, specialist routing logic, corpus curation methodology, evaluation rubrics, growth playbooks.</x:t>
        </x:is>
      </x:c>
      <x:c r="E215" s="31" t="inlineStr">
        <x:is>
          <x:t xml:space="preserve">P0</x:t>
        </x:is>
      </x:c>
      <x:c r="F215" s="40" t="inlineStr">
        <x:is>
          <x:t xml:space="preserve">3. CLAUDE + YOU</x:t>
        </x:is>
      </x:c>
      <x:c r="G215" s="18" t="inlineStr">
        <x:is>
          <x:t xml:space="preserve">Anand</x:t>
        </x:is>
      </x:c>
      <x:c r="H215" s="18" t="inlineStr">
        <x:is>
          <x:t xml:space="preserve">T070</x:t>
        </x:is>
      </x:c>
      <x:c r="I215" s="47" t="inlineStr">
        <x:is>
          <x:t xml:space="preserve">Claude + you</x:t>
        </x:is>
      </x:c>
      <x:c r="J215" s="52" t="inlineStr">
        <x:is>
          <x:t xml:space="preserve">$0</x:t>
        </x:is>
      </x:c>
      <x:c r="K215" s="82" t="inlineStr">
        <x:is>
          <x:t xml:space="preserve">Pre-Resign</x:t>
        </x:is>
      </x:c>
      <x:c r="L215" s="44" t="inlineStr">
        <x:is>
          <x:t xml:space="preserve">Not started</x:t>
        </x:is>
      </x:c>
      <x:c r="M215" s="18" t="inlineStr">
        <x:is>
          <x:t xml:space="preserve">Mark files + docs explicitly</x:t>
        </x:is>
      </x:c>
    </x:row>
    <x:row r="216">
      <x:c r="A216" s="18" t="inlineStr">
        <x:is>
          <x:t xml:space="preserve">T075</x:t>
        </x:is>
      </x:c>
      <x:c r="B216" s="18" t="inlineStr">
        <x:is>
          <x:t xml:space="preserve">IP &amp; Trademark</x:t>
        </x:is>
      </x:c>
      <x:c r="C216" s="18" t="inlineStr">
        <x:is>
          <x:t xml:space="preserve">Contractor/employee NDA + IP assignment template</x:t>
        </x:is>
      </x:c>
      <x:c r="D216" s="18" t="inlineStr">
        <x:is>
          <x:t xml:space="preserve">Anyone who touches code, prompts, or corpus signs BEFORE access. No exceptions.</x:t>
        </x:is>
      </x:c>
      <x:c r="E216" s="31" t="inlineStr">
        <x:is>
          <x:t xml:space="preserve">P0</x:t>
        </x:is>
      </x:c>
      <x:c r="F216" s="41" t="inlineStr">
        <x:is>
          <x:t xml:space="preserve">4. CLAUDE + PRO</x:t>
        </x:is>
      </x:c>
      <x:c r="G216" s="18" t="inlineStr">
        <x:is>
          <x:t xml:space="preserve">Anand</x:t>
        </x:is>
      </x:c>
      <x:c r="H216" s="18" t="inlineStr">
        <x:is>
          <x:t xml:space="preserve">T006</x:t>
        </x:is>
      </x:c>
      <x:c r="I216" s="50" t="inlineStr">
        <x:is>
          <x:t xml:space="preserve">Claude + lawyer</x:t>
        </x:is>
      </x:c>
      <x:c r="J216" s="51" t="inlineStr">
        <x:is>
          <x:t xml:space="preserve">$500-1k (lawyer template)</x:t>
        </x:is>
      </x:c>
      <x:c r="K216" s="82" t="inlineStr">
        <x:is>
          <x:t xml:space="preserve">Pre-Resign</x:t>
        </x:is>
      </x:c>
      <x:c r="L216" s="44" t="inlineStr">
        <x:is>
          <x:t xml:space="preserve">Not started</x:t>
        </x:is>
      </x:c>
      <x:c r="M216" s="18" t="inlineStr">
        <x:is>
          <x:t xml:space="preserve">Use lawyer's standard; one-time setup</x:t>
        </x:is>
      </x:c>
    </x:row>
    <x:row r="217">
      <x:c r="A217" s="18" t="inlineStr">
        <x:is>
          <x:t xml:space="preserve">T137</x:t>
        </x:is>
      </x:c>
      <x:c r="B217" s="18" t="inlineStr">
        <x:is>
          <x:t xml:space="preserve">Internal Rehearsal</x:t>
        </x:is>
      </x:c>
      <x:c r="C217" s="18" t="inlineStr">
        <x:is>
          <x:t xml:space="preserve">Create 'FakeClient Inc.' Azure subscription (AbarVa-owned, isolated)</x:t>
        </x:is>
      </x:c>
      <x:c r="D217" s="18" t="inlineStr">
        <x:is>
          <x:t xml:space="preserve">Second Azure sub specifically to simulate a real client tenant end-to-end. Covered by Founders Hub credits.</x:t>
        </x:is>
      </x:c>
      <x:c r="E217" s="31" t="inlineStr">
        <x:is>
          <x:t xml:space="preserve">P0</x:t>
        </x:is>
      </x:c>
      <x:c r="F217" s="38" t="inlineStr">
        <x:is>
          <x:t xml:space="preserve">1. QUICK WIN</x:t>
        </x:is>
      </x:c>
      <x:c r="G217" s="18" t="inlineStr">
        <x:is>
          <x:t xml:space="preserve">Anand</x:t>
        </x:is>
      </x:c>
      <x:c r="H217" s="18" t="inlineStr">
        <x:is>
          <x:t xml:space="preserve">T124</x:t>
        </x:is>
      </x:c>
      <x:c r="I217" s="43" t="inlineStr">
        <x:is>
          <x:t xml:space="preserve">Self-serve (Azure portal)</x:t>
        </x:is>
      </x:c>
      <x:c r="J217" s="52" t="inlineStr">
        <x:is>
          <x:t xml:space="preserve">$0 (credits)</x:t>
        </x:is>
      </x:c>
      <x:c r="K217" s="84" t="inlineStr">
        <x:is>
          <x:t xml:space="preserve">Anytime</x:t>
        </x:is>
      </x:c>
      <x:c r="L217" s="44" t="inlineStr">
        <x:is>
          <x:t xml:space="preserve">Not started</x:t>
        </x:is>
      </x:c>
      <x:c r="M217" s="18" t="inlineStr">
        <x:is>
          <x:t xml:space="preserve"/>
        </x:is>
      </x:c>
    </x:row>
    <x:row r="218">
      <x:c r="A218" s="18" t="inlineStr">
        <x:is>
          <x:t xml:space="preserve">T138</x:t>
        </x:is>
      </x:c>
      <x:c r="B218" s="18" t="inlineStr">
        <x:is>
          <x:t xml:space="preserve">Internal Rehearsal</x:t>
        </x:is>
      </x:c>
      <x:c r="C218" s="18" t="inlineStr">
        <x:is>
          <x:t xml:space="preserve">Set up Microsoft Entra ID dev tenant for FakeClient (free)</x:t>
        </x:is>
      </x:c>
      <x:c r="D218" s="18" t="inlineStr">
        <x:is>
          <x:t xml:space="preserve">Free tier Entra tenant. Acts as client IdP for SSO testing. 10 synthetic users + group structure.</x:t>
        </x:is>
      </x:c>
      <x:c r="E218" s="31" t="inlineStr">
        <x:is>
          <x:t xml:space="preserve">P0</x:t>
        </x:is>
      </x:c>
      <x:c r="F218" s="38" t="inlineStr">
        <x:is>
          <x:t xml:space="preserve">1. QUICK WIN</x:t>
        </x:is>
      </x:c>
      <x:c r="G218" s="18" t="inlineStr">
        <x:is>
          <x:t xml:space="preserve">Anand</x:t>
        </x:is>
      </x:c>
      <x:c r="H218" s="18" t="inlineStr">
        <x:is>
          <x:t xml:space="preserve"/>
        </x:is>
      </x:c>
      <x:c r="I218" s="43" t="inlineStr">
        <x:is>
          <x:t xml:space="preserve">Self-serve (Entra portal)</x:t>
        </x:is>
      </x:c>
      <x:c r="J218" s="52" t="inlineStr">
        <x:is>
          <x:t xml:space="preserve">$0 (Entra free tier)</x:t>
        </x:is>
      </x:c>
      <x:c r="K218" s="84" t="inlineStr">
        <x:is>
          <x:t xml:space="preserve">Anytime</x:t>
        </x:is>
      </x:c>
      <x:c r="L218" s="44" t="inlineStr">
        <x:is>
          <x:t xml:space="preserve">Not started</x:t>
        </x:is>
      </x:c>
      <x:c r="M218" s="18" t="inlineStr">
        <x:is>
          <x:t xml:space="preserve"/>
        </x:is>
      </x:c>
    </x:row>
    <x:row r="219">
      <x:c r="A219" s="18" t="inlineStr">
        <x:is>
          <x:t xml:space="preserve">T140</x:t>
        </x:is>
      </x:c>
      <x:c r="B219" s="18" t="inlineStr">
        <x:is>
          <x:t xml:space="preserve">Internal Rehearsal</x:t>
        </x:is>
      </x:c>
      <x:c r="C219" s="18" t="inlineStr">
        <x:is>
          <x:t xml:space="preserve">Configure SAML/SCIM: FakeClient Entra → Clerk → AbarVa app</x:t>
        </x:is>
      </x:c>
      <x:c r="D219" s="18" t="inlineStr">
        <x:is>
          <x:t xml:space="preserve">Real SSO config end-to-end. SCIM auto-provisions Entra users into Clerk → AbarVa.</x:t>
        </x:is>
      </x:c>
      <x:c r="E219" s="31" t="inlineStr">
        <x:is>
          <x:t xml:space="preserve">P0</x:t>
        </x:is>
      </x:c>
      <x:c r="F219" s="38" t="inlineStr">
        <x:is>
          <x:t xml:space="preserve">1. QUICK WIN</x:t>
        </x:is>
      </x:c>
      <x:c r="G219" s="18" t="inlineStr">
        <x:is>
          <x:t xml:space="preserve">Anand</x:t>
        </x:is>
      </x:c>
      <x:c r="H219" s="18" t="inlineStr">
        <x:is>
          <x:t xml:space="preserve">T138,T034</x:t>
        </x:is>
      </x:c>
      <x:c r="I219" s="43" t="inlineStr">
        <x:is>
          <x:t xml:space="preserve">Self-serve + Claude (config)</x:t>
        </x:is>
      </x:c>
      <x:c r="J219" s="52" t="inlineStr">
        <x:is>
          <x:t xml:space="preserve">$0 (within Clerk plan)</x:t>
        </x:is>
      </x:c>
      <x:c r="K219" s="84" t="inlineStr">
        <x:is>
          <x:t xml:space="preserve">Anytime</x:t>
        </x:is>
      </x:c>
      <x:c r="L219" s="44" t="inlineStr">
        <x:is>
          <x:t xml:space="preserve">Not started</x:t>
        </x:is>
      </x:c>
      <x:c r="M219" s="18" t="inlineStr">
        <x:is>
          <x:t xml:space="preserve"/>
        </x:is>
      </x:c>
    </x:row>
    <x:row r="220">
      <x:c r="A220" s="18" t="inlineStr">
        <x:is>
          <x:t xml:space="preserve">T139</x:t>
        </x:is>
      </x:c>
      <x:c r="B220" s="18" t="inlineStr">
        <x:is>
          <x:t xml:space="preserve">Internal Rehearsal</x:t>
        </x:is>
      </x:c>
      <x:c r="C220" s="18" t="inlineStr">
        <x:is>
          <x:t xml:space="preserve">Deploy IaC end-to-end onto FakeClient tenant (target &lt;2h)</x:t>
        </x:is>
      </x:c>
      <x:c r="D220" s="18" t="inlineStr">
        <x:is>
          <x:t xml:space="preserve">Run client-tenant IaC templates as-if onboarding real F500. Time every step.</x:t>
        </x:is>
      </x:c>
      <x:c r="E220" s="31" t="inlineStr">
        <x:is>
          <x:t xml:space="preserve">P0</x:t>
        </x:is>
      </x:c>
      <x:c r="F220" s="39" t="inlineStr">
        <x:is>
          <x:t xml:space="preserve">2. CLAUDE DOES IT</x:t>
        </x:is>
      </x:c>
      <x:c r="G220" s="18" t="inlineStr">
        <x:is>
          <x:t xml:space="preserve">Anand</x:t>
        </x:is>
      </x:c>
      <x:c r="H220" s="18" t="inlineStr">
        <x:is>
          <x:t xml:space="preserve">T029,T137</x:t>
        </x:is>
      </x:c>
      <x:c r="I220" s="45" t="inlineStr">
        <x:is>
          <x:t xml:space="preserve">Claude (script orchestration)</x:t>
        </x:is>
      </x:c>
      <x:c r="J220" s="52" t="inlineStr">
        <x:is>
          <x:t xml:space="preserve">$0 (credits cover compute)</x:t>
        </x:is>
      </x:c>
      <x:c r="K220" s="84" t="inlineStr">
        <x:is>
          <x:t xml:space="preserve">Anytime</x:t>
        </x:is>
      </x:c>
      <x:c r="L220" s="44" t="inlineStr">
        <x:is>
          <x:t xml:space="preserve">Not started</x:t>
        </x:is>
      </x:c>
      <x:c r="M220" s="18" t="inlineStr">
        <x:is>
          <x:t xml:space="preserve"/>
        </x:is>
      </x:c>
    </x:row>
    <x:row r="221">
      <x:c r="A221" s="18" t="inlineStr">
        <x:is>
          <x:t xml:space="preserve">T141</x:t>
        </x:is>
      </x:c>
      <x:c r="B221" s="18" t="inlineStr">
        <x:is>
          <x:t xml:space="preserve">Internal Rehearsal</x:t>
        </x:is>
      </x:c>
      <x:c r="C221" s="18" t="inlineStr">
        <x:is>
          <x:t xml:space="preserve">Load synthetic corpus into FakeClient data plane via SAS upload</x:t>
        </x:is>
      </x:c>
      <x:c r="D221" s="18" t="inlineStr">
        <x:is>
          <x:t xml:space="preserve">Use existing Apex/Meridian fixtures. Run actual upload pattern (browser → blob via SAS).</x:t>
        </x:is>
      </x:c>
      <x:c r="E221" s="31" t="inlineStr">
        <x:is>
          <x:t xml:space="preserve">P0</x:t>
        </x:is>
      </x:c>
      <x:c r="F221" s="39" t="inlineStr">
        <x:is>
          <x:t xml:space="preserve">2. CLAUDE DOES IT</x:t>
        </x:is>
      </x:c>
      <x:c r="G221" s="18" t="inlineStr">
        <x:is>
          <x:t xml:space="preserve">Anand</x:t>
        </x:is>
      </x:c>
      <x:c r="H221" s="18" t="inlineStr">
        <x:is>
          <x:t xml:space="preserve">T137</x:t>
        </x:is>
      </x:c>
      <x:c r="I221" s="45" t="inlineStr">
        <x:is>
          <x:t xml:space="preserve">Claude (code+docs)</x:t>
        </x:is>
      </x:c>
      <x:c r="J221" s="52" t="inlineStr">
        <x:is>
          <x:t xml:space="preserve">$0 (covered by credits)</x:t>
        </x:is>
      </x:c>
      <x:c r="K221" s="84" t="inlineStr">
        <x:is>
          <x:t xml:space="preserve">Anytime</x:t>
        </x:is>
      </x:c>
      <x:c r="L221" s="44" t="inlineStr">
        <x:is>
          <x:t xml:space="preserve">Not started</x:t>
        </x:is>
      </x:c>
      <x:c r="M221" s="18" t="inlineStr">
        <x:is>
          <x:t xml:space="preserve"/>
        </x:is>
      </x:c>
    </x:row>
    <x:row r="222">
      <x:c r="A222" s="18" t="inlineStr">
        <x:is>
          <x:t xml:space="preserve">T143</x:t>
        </x:is>
      </x:c>
      <x:c r="B222" s="18" t="inlineStr">
        <x:is>
          <x:t xml:space="preserve">Internal Rehearsal</x:t>
        </x:is>
      </x:c>
      <x:c r="C222" s="18" t="inlineStr">
        <x:is>
          <x:t xml:space="preserve">Time every onboarding step → publish as commitments in real SOW</x:t>
        </x:is>
      </x:c>
      <x:c r="D222" s="18" t="inlineStr">
        <x:is>
          <x:t xml:space="preserve">Day-1, day-7, day-30 timeline based on observed reality, not estimate.</x:t>
        </x:is>
      </x:c>
      <x:c r="E222" s="31" t="inlineStr">
        <x:is>
          <x:t xml:space="preserve">P0</x:t>
        </x:is>
      </x:c>
      <x:c r="F222" s="39" t="inlineStr">
        <x:is>
          <x:t xml:space="preserve">2. CLAUDE DOES IT</x:t>
        </x:is>
      </x:c>
      <x:c r="G222" s="18" t="inlineStr">
        <x:is>
          <x:t xml:space="preserve">Anand</x:t>
        </x:is>
      </x:c>
      <x:c r="H222" s="18" t="inlineStr">
        <x:is>
          <x:t xml:space="preserve">T142</x:t>
        </x:is>
      </x:c>
      <x:c r="I222" s="45" t="inlineStr">
        <x:is>
          <x:t xml:space="preserve">Claude (docs from timing data)</x:t>
        </x:is>
      </x:c>
      <x:c r="J222" s="52" t="inlineStr">
        <x:is>
          <x:t xml:space="preserve">$0</x:t>
        </x:is>
      </x:c>
      <x:c r="K222" s="84" t="inlineStr">
        <x:is>
          <x:t xml:space="preserve">Anytime</x:t>
        </x:is>
      </x:c>
      <x:c r="L222" s="44" t="inlineStr">
        <x:is>
          <x:t xml:space="preserve">Not started</x:t>
        </x:is>
      </x:c>
      <x:c r="M222" s="18" t="inlineStr">
        <x:is>
          <x:t xml:space="preserve"/>
        </x:is>
      </x:c>
    </x:row>
    <x:row r="223">
      <x:c r="A223" s="18" t="inlineStr">
        <x:is>
          <x:t xml:space="preserve">T164</x:t>
        </x:is>
      </x:c>
      <x:c r="B223" s="18" t="inlineStr">
        <x:is>
          <x:t xml:space="preserve">Internal Rehearsal</x:t>
        </x:is>
      </x:c>
      <x:c r="C223" s="18" t="inlineStr">
        <x:is>
          <x:t xml:space="preserve">Real-world tenant test: run FakeClient at production-equivalent scale for 1 week</x:t>
        </x:is>
      </x:c>
      <x:c r="D223" s="18" t="inlineStr">
        <x:is>
          <x:t xml:space="preserve">Not just deploy + smoke test. Run continuously with synthetic traffic for 7 days. Detect: cost drift, memory leaks, log volume, alert noise, cron reliability.</x:t>
        </x:is>
      </x:c>
      <x:c r="E223" s="31" t="inlineStr">
        <x:is>
          <x:t xml:space="preserve">P0</x:t>
        </x:is>
      </x:c>
      <x:c r="F223" s="39" t="inlineStr">
        <x:is>
          <x:t xml:space="preserve">2. CLAUDE DOES IT</x:t>
        </x:is>
      </x:c>
      <x:c r="G223" s="18" t="inlineStr">
        <x:is>
          <x:t xml:space="preserve">Anand</x:t>
        </x:is>
      </x:c>
      <x:c r="H223" s="18" t="inlineStr">
        <x:is>
          <x:t xml:space="preserve">T142</x:t>
        </x:is>
      </x:c>
      <x:c r="I223" s="45" t="inlineStr">
        <x:is>
          <x:t xml:space="preserve">Claude (orchestrate) + you</x:t>
        </x:is>
      </x:c>
      <x:c r="J223" s="52" t="inlineStr">
        <x:is>
          <x:t xml:space="preserve">$0 (credits)</x:t>
        </x:is>
      </x:c>
      <x:c r="K223" s="84" t="inlineStr">
        <x:is>
          <x:t xml:space="preserve">Anytime</x:t>
        </x:is>
      </x:c>
      <x:c r="L223" s="44" t="inlineStr">
        <x:is>
          <x:t xml:space="preserve">Not started</x:t>
        </x:is>
      </x:c>
      <x:c r="M223" s="18" t="inlineStr">
        <x:is>
          <x:t xml:space="preserve"/>
        </x:is>
      </x:c>
    </x:row>
    <x:row r="224">
      <x:c r="A224" s="18" t="inlineStr">
        <x:is>
          <x:t xml:space="preserve">T165</x:t>
        </x:is>
      </x:c>
      <x:c r="B224" s="18" t="inlineStr">
        <x:is>
          <x:t xml:space="preserve">Internal Rehearsal</x:t>
        </x:is>
      </x:c>
      <x:c r="C224" s="18" t="inlineStr">
        <x:is>
          <x:t xml:space="preserve">Capture every error/warning emitted during 1-week tenant run</x:t>
        </x:is>
      </x:c>
      <x:c r="D224" s="18" t="inlineStr">
        <x:is>
          <x:t xml:space="preserve">Build dashboard of all logs/exceptions/timeouts. Triage each. Fix or document as known-acceptable.</x:t>
        </x:is>
      </x:c>
      <x:c r="E224" s="31" t="inlineStr">
        <x:is>
          <x:t xml:space="preserve">P0</x:t>
        </x:is>
      </x:c>
      <x:c r="F224" s="39" t="inlineStr">
        <x:is>
          <x:t xml:space="preserve">2. CLAUDE DOES IT</x:t>
        </x:is>
      </x:c>
      <x:c r="G224" s="18" t="inlineStr">
        <x:is>
          <x:t xml:space="preserve">Anand</x:t>
        </x:is>
      </x:c>
      <x:c r="H224" s="18" t="inlineStr">
        <x:is>
          <x:t xml:space="preserve"/>
        </x:is>
      </x:c>
      <x:c r="I224" s="45" t="inlineStr">
        <x:is>
          <x:t xml:space="preserve">Claude (analysis)</x:t>
        </x:is>
      </x:c>
      <x:c r="J224" s="52" t="inlineStr">
        <x:is>
          <x:t xml:space="preserve">$0</x:t>
        </x:is>
      </x:c>
      <x:c r="K224" s="84" t="inlineStr">
        <x:is>
          <x:t xml:space="preserve">Anytime</x:t>
        </x:is>
      </x:c>
      <x:c r="L224" s="44" t="inlineStr">
        <x:is>
          <x:t xml:space="preserve">Not started</x:t>
        </x:is>
      </x:c>
      <x:c r="M224" s="18" t="inlineStr">
        <x:is>
          <x:t xml:space="preserve"/>
        </x:is>
      </x:c>
    </x:row>
    <x:row r="225">
      <x:c r="A225" s="18" t="inlineStr">
        <x:is>
          <x:t xml:space="preserve">T167</x:t>
        </x:is>
      </x:c>
      <x:c r="B225" s="18" t="inlineStr">
        <x:is>
          <x:t xml:space="preserve">Internal Rehearsal</x:t>
        </x:is>
      </x:c>
      <x:c r="C225" s="18" t="inlineStr">
        <x:is>
          <x:t xml:space="preserve">Multi-tenant simulation: stand up 3 FakeClient tenants concurrently</x:t>
        </x:is>
      </x:c>
      <x:c r="D225" s="18" t="inlineStr">
        <x:is>
          <x:t xml:space="preserve">Validates cross-tenant isolation under load. Detect ANY data bleed via deliberate cross-tenant queries.</x:t>
        </x:is>
      </x:c>
      <x:c r="E225" s="31" t="inlineStr">
        <x:is>
          <x:t xml:space="preserve">P0</x:t>
        </x:is>
      </x:c>
      <x:c r="F225" s="39" t="inlineStr">
        <x:is>
          <x:t xml:space="preserve">2. CLAUDE DOES IT</x:t>
        </x:is>
      </x:c>
      <x:c r="G225" s="18" t="inlineStr">
        <x:is>
          <x:t xml:space="preserve">Anand</x:t>
        </x:is>
      </x:c>
      <x:c r="H225" s="18" t="inlineStr">
        <x:is>
          <x:t xml:space="preserve">T142</x:t>
        </x:is>
      </x:c>
      <x:c r="I225" s="45" t="inlineStr">
        <x:is>
          <x:t xml:space="preserve">Claude (orchestrate) + you</x:t>
        </x:is>
      </x:c>
      <x:c r="J225" s="52" t="inlineStr">
        <x:is>
          <x:t xml:space="preserve">$0 (credits)</x:t>
        </x:is>
      </x:c>
      <x:c r="K225" s="84" t="inlineStr">
        <x:is>
          <x:t xml:space="preserve">Anytime</x:t>
        </x:is>
      </x:c>
      <x:c r="L225" s="44" t="inlineStr">
        <x:is>
          <x:t xml:space="preserve">Not started</x:t>
        </x:is>
      </x:c>
      <x:c r="M225" s="18" t="inlineStr">
        <x:is>
          <x:t xml:space="preserve"/>
        </x:is>
      </x:c>
    </x:row>
    <x:row r="226">
      <x:c r="A226" s="18" t="inlineStr">
        <x:is>
          <x:t xml:space="preserve">T145</x:t>
        </x:is>
      </x:c>
      <x:c r="B226" s="18" t="inlineStr">
        <x:is>
          <x:t xml:space="preserve">Internal Rehearsal</x:t>
        </x:is>
      </x:c>
      <x:c r="C226" s="18" t="inlineStr">
        <x:is>
          <x:t xml:space="preserve">Iterate to &lt;1-hour standup time (vs 2h baseline)</x:t>
        </x:is>
      </x:c>
      <x:c r="D226" s="18" t="inlineStr">
        <x:is>
          <x:t xml:space="preserve">Tighten IaC, scripting, runbook until a fresh tenant comes online in &lt;1h.</x:t>
        </x:is>
      </x:c>
      <x:c r="E226" s="32" t="inlineStr">
        <x:is>
          <x:t xml:space="preserve">P1</x:t>
        </x:is>
      </x:c>
      <x:c r="F226" s="39" t="inlineStr">
        <x:is>
          <x:t xml:space="preserve">2. CLAUDE DOES IT</x:t>
        </x:is>
      </x:c>
      <x:c r="G226" s="18" t="inlineStr">
        <x:is>
          <x:t xml:space="preserve">Anand</x:t>
        </x:is>
      </x:c>
      <x:c r="H226" s="18" t="inlineStr">
        <x:is>
          <x:t xml:space="preserve">T144</x:t>
        </x:is>
      </x:c>
      <x:c r="I226" s="45" t="inlineStr">
        <x:is>
          <x:t xml:space="preserve">Claude (code) + you</x:t>
        </x:is>
      </x:c>
      <x:c r="J226" s="52" t="inlineStr">
        <x:is>
          <x:t xml:space="preserve">$0 (credits)</x:t>
        </x:is>
      </x:c>
      <x:c r="K226" s="84" t="inlineStr">
        <x:is>
          <x:t xml:space="preserve">Anytime</x:t>
        </x:is>
      </x:c>
      <x:c r="L226" s="44" t="inlineStr">
        <x:is>
          <x:t xml:space="preserve">Not started</x:t>
        </x:is>
      </x:c>
      <x:c r="M226" s="18" t="inlineStr">
        <x:is>
          <x:t xml:space="preserve"/>
        </x:is>
      </x:c>
    </x:row>
    <x:row r="227">
      <x:c r="A227" s="18" t="inlineStr">
        <x:is>
          <x:t xml:space="preserve">T147</x:t>
        </x:is>
      </x:c>
      <x:c r="B227" s="18" t="inlineStr">
        <x:is>
          <x:t xml:space="preserve">Internal Rehearsal</x:t>
        </x:is>
      </x:c>
      <x:c r="C227" s="18" t="inlineStr">
        <x:is>
          <x:t xml:space="preserve">Run DR/rollback drill on FakeClient tenant</x:t>
        </x:is>
      </x:c>
      <x:c r="D227" s="18" t="inlineStr">
        <x:is>
          <x:t xml:space="preserve">Simulate Azure region outage, DB corruption, app deployment rollback. Document MTTR.</x:t>
        </x:is>
      </x:c>
      <x:c r="E227" s="32" t="inlineStr">
        <x:is>
          <x:t xml:space="preserve">P1</x:t>
        </x:is>
      </x:c>
      <x:c r="F227" s="39" t="inlineStr">
        <x:is>
          <x:t xml:space="preserve">2. CLAUDE DOES IT</x:t>
        </x:is>
      </x:c>
      <x:c r="G227" s="18" t="inlineStr">
        <x:is>
          <x:t xml:space="preserve">Anand</x:t>
        </x:is>
      </x:c>
      <x:c r="H227" s="18" t="inlineStr">
        <x:is>
          <x:t xml:space="preserve">T142</x:t>
        </x:is>
      </x:c>
      <x:c r="I227" s="45" t="inlineStr">
        <x:is>
          <x:t xml:space="preserve">Claude (runbook) + you</x:t>
        </x:is>
      </x:c>
      <x:c r="J227" s="52" t="inlineStr">
        <x:is>
          <x:t xml:space="preserve">$0</x:t>
        </x:is>
      </x:c>
      <x:c r="K227" s="84" t="inlineStr">
        <x:is>
          <x:t xml:space="preserve">Anytime</x:t>
        </x:is>
      </x:c>
      <x:c r="L227" s="44" t="inlineStr">
        <x:is>
          <x:t xml:space="preserve">Not started</x:t>
        </x:is>
      </x:c>
      <x:c r="M227" s="18" t="inlineStr">
        <x:is>
          <x:t xml:space="preserve"/>
        </x:is>
      </x:c>
    </x:row>
    <x:row r="228">
      <x:c r="A228" s="18" t="inlineStr">
        <x:is>
          <x:t xml:space="preserve">T166</x:t>
        </x:is>
      </x:c>
      <x:c r="B228" s="18" t="inlineStr">
        <x:is>
          <x:t xml:space="preserve">Internal Rehearsal</x:t>
        </x:is>
      </x:c>
      <x:c r="C228" s="18" t="inlineStr">
        <x:is>
          <x:t xml:space="preserve">Re-run real-world test after every major release as regression check</x:t>
        </x:is>
      </x:c>
      <x:c r="D228" s="18" t="inlineStr">
        <x:is>
          <x:t xml:space="preserve">Same tenant, same workload, same week duration. Compare deltas across releases.</x:t>
        </x:is>
      </x:c>
      <x:c r="E228" s="32" t="inlineStr">
        <x:is>
          <x:t xml:space="preserve">P1</x:t>
        </x:is>
      </x:c>
      <x:c r="F228" s="39" t="inlineStr">
        <x:is>
          <x:t xml:space="preserve">2. CLAUDE DOES IT</x:t>
        </x:is>
      </x:c>
      <x:c r="G228" s="18" t="inlineStr">
        <x:is>
          <x:t xml:space="preserve">Anand</x:t>
        </x:is>
      </x:c>
      <x:c r="H228" s="18" t="inlineStr">
        <x:is>
          <x:t xml:space="preserve"/>
        </x:is>
      </x:c>
      <x:c r="I228" s="45" t="inlineStr">
        <x:is>
          <x:t xml:space="preserve">Claude (workflow)</x:t>
        </x:is>
      </x:c>
      <x:c r="J228" s="52" t="inlineStr">
        <x:is>
          <x:t xml:space="preserve">$0</x:t>
        </x:is>
      </x:c>
      <x:c r="K228" s="84" t="inlineStr">
        <x:is>
          <x:t xml:space="preserve">Anytime</x:t>
        </x:is>
      </x:c>
      <x:c r="L228" s="44" t="inlineStr">
        <x:is>
          <x:t xml:space="preserve">Not started</x:t>
        </x:is>
      </x:c>
      <x:c r="M228" s="18" t="inlineStr">
        <x:is>
          <x:t xml:space="preserve"/>
        </x:is>
      </x:c>
    </x:row>
    <x:row r="229">
      <x:c r="A229" s="18" t="inlineStr">
        <x:is>
          <x:t xml:space="preserve">T148</x:t>
        </x:is>
      </x:c>
      <x:c r="B229" s="18" t="inlineStr">
        <x:is>
          <x:t xml:space="preserve">Internal Rehearsal</x:t>
        </x:is>
      </x:c>
      <x:c r="C229" s="18" t="inlineStr">
        <x:is>
          <x:t xml:space="preserve">FakeClient becomes the standard 'new engineer' onboarding exercise</x:t>
        </x:is>
      </x:c>
      <x:c r="D229" s="18" t="inlineStr">
        <x:is>
          <x:t xml:space="preserve">Anyone joining AbarVa runs through full FakeClient setup. Living certification.</x:t>
        </x:is>
      </x:c>
      <x:c r="E229" s="49" t="inlineStr">
        <x:is>
          <x:t xml:space="preserve">P2</x:t>
        </x:is>
      </x:c>
      <x:c r="F229" s="39" t="inlineStr">
        <x:is>
          <x:t xml:space="preserve">2. CLAUDE DOES IT</x:t>
        </x:is>
      </x:c>
      <x:c r="G229" s="18" t="inlineStr">
        <x:is>
          <x:t xml:space="preserve">Anand</x:t>
        </x:is>
      </x:c>
      <x:c r="H229" s="18" t="inlineStr">
        <x:is>
          <x:t xml:space="preserve">T144</x:t>
        </x:is>
      </x:c>
      <x:c r="I229" s="45" t="inlineStr">
        <x:is>
          <x:t xml:space="preserve">Claude (runbook)</x:t>
        </x:is>
      </x:c>
      <x:c r="J229" s="52" t="inlineStr">
        <x:is>
          <x:t xml:space="preserve">$0</x:t>
        </x:is>
      </x:c>
      <x:c r="K229" s="84" t="inlineStr">
        <x:is>
          <x:t xml:space="preserve">Anytime</x:t>
        </x:is>
      </x:c>
      <x:c r="L229" s="44" t="inlineStr">
        <x:is>
          <x:t xml:space="preserve">Not started</x:t>
        </x:is>
      </x:c>
      <x:c r="M229" s="18" t="inlineStr">
        <x:is>
          <x:t xml:space="preserve"/>
        </x:is>
      </x:c>
    </x:row>
    <x:row r="230">
      <x:c r="A230" s="18" t="inlineStr">
        <x:is>
          <x:t xml:space="preserve">T144</x:t>
        </x:is>
      </x:c>
      <x:c r="B230" s="18" t="inlineStr">
        <x:is>
          <x:t xml:space="preserve">Internal Rehearsal</x:t>
        </x:is>
      </x:c>
      <x:c r="C230" s="18" t="inlineStr">
        <x:is>
          <x:t xml:space="preserve">Document gaps + create fix tickets</x:t>
        </x:is>
      </x:c>
      <x:c r="D230" s="18" t="inlineStr">
        <x:is>
          <x:t xml:space="preserve">Every 'wait, this is awkward' moment becomes a backlog item BEFORE real client sees it.</x:t>
        </x:is>
      </x:c>
      <x:c r="E230" s="31" t="inlineStr">
        <x:is>
          <x:t xml:space="preserve">P0</x:t>
        </x:is>
      </x:c>
      <x:c r="F230" s="40" t="inlineStr">
        <x:is>
          <x:t xml:space="preserve">3. CLAUDE + YOU</x:t>
        </x:is>
      </x:c>
      <x:c r="G230" s="18" t="inlineStr">
        <x:is>
          <x:t xml:space="preserve">Anand</x:t>
        </x:is>
      </x:c>
      <x:c r="H230" s="18" t="inlineStr">
        <x:is>
          <x:t xml:space="preserve">T142</x:t>
        </x:is>
      </x:c>
      <x:c r="I230" s="47" t="inlineStr">
        <x:is>
          <x:t xml:space="preserve">Claude + you</x:t>
        </x:is>
      </x:c>
      <x:c r="J230" s="52" t="inlineStr">
        <x:is>
          <x:t xml:space="preserve">$0</x:t>
        </x:is>
      </x:c>
      <x:c r="K230" s="84" t="inlineStr">
        <x:is>
          <x:t xml:space="preserve">Anytime</x:t>
        </x:is>
      </x:c>
      <x:c r="L230" s="44" t="inlineStr">
        <x:is>
          <x:t xml:space="preserve">Not started</x:t>
        </x:is>
      </x:c>
      <x:c r="M230" s="18" t="inlineStr">
        <x:is>
          <x:t xml:space="preserve"/>
        </x:is>
      </x:c>
    </x:row>
    <x:row r="231">
      <x:c r="A231" s="18" t="inlineStr">
        <x:is>
          <x:t xml:space="preserve">T142</x:t>
        </x:is>
      </x:c>
      <x:c r="B231" s="18" t="inlineStr">
        <x:is>
          <x:t xml:space="preserve">Internal Rehearsal</x:t>
        </x:is>
      </x:c>
      <x:c r="C231" s="18" t="inlineStr">
        <x:is>
          <x:t xml:space="preserve">Run end-to-end user journey on FakeClient: login → chat → upload → Move → audit</x:t>
        </x:is>
      </x:c>
      <x:c r="D231" s="18" t="inlineStr">
        <x:is>
          <x:t xml:space="preserve">Walk through full workflow as a 'client user'. Find every dead end, every confusing UX, every gap.</x:t>
        </x:is>
      </x:c>
      <x:c r="E231" s="31" t="inlineStr">
        <x:is>
          <x:t xml:space="preserve">P0</x:t>
        </x:is>
      </x:c>
      <x:c r="F231" s="42" t="inlineStr">
        <x:is>
          <x:t xml:space="preserve">5. EXTERNAL</x:t>
        </x:is>
      </x:c>
      <x:c r="G231" s="18" t="inlineStr">
        <x:is>
          <x:t xml:space="preserve">Anand</x:t>
        </x:is>
      </x:c>
      <x:c r="H231" s="18" t="inlineStr">
        <x:is>
          <x:t xml:space="preserve">T141,T140</x:t>
        </x:is>
      </x:c>
      <x:c r="I231" s="48" t="inlineStr">
        <x:is>
          <x:t xml:space="preserve">You only (walk through)</x:t>
        </x:is>
      </x:c>
      <x:c r="J231" s="52" t="inlineStr">
        <x:is>
          <x:t xml:space="preserve">$0</x:t>
        </x:is>
      </x:c>
      <x:c r="K231" s="84" t="inlineStr">
        <x:is>
          <x:t xml:space="preserve">Anytime</x:t>
        </x:is>
      </x:c>
      <x:c r="L231" s="44" t="inlineStr">
        <x:is>
          <x:t xml:space="preserve">Not started</x:t>
        </x:is>
      </x:c>
      <x:c r="M231" s="18" t="inlineStr">
        <x:is>
          <x:t xml:space="preserve"/>
        </x:is>
      </x:c>
    </x:row>
    <x:row r="232">
      <x:c r="A232" s="18" t="inlineStr">
        <x:is>
          <x:t xml:space="preserve">T146</x:t>
        </x:is>
      </x:c>
      <x:c r="B232" s="18" t="inlineStr">
        <x:is>
          <x:t xml:space="preserve">Internal Rehearsal</x:t>
        </x:is>
      </x:c>
      <x:c r="C232" s="18" t="inlineStr">
        <x:is>
          <x:t xml:space="preserve">Point external pen test at FakeClient tenant (not pilot client)</x:t>
        </x:is>
      </x:c>
      <x:c r="D232" s="18" t="inlineStr">
        <x:is>
          <x:t xml:space="preserve">Lower risk: test the dress rehearsal first. Real client sees a hardened tenant.</x:t>
        </x:is>
      </x:c>
      <x:c r="E232" s="31" t="inlineStr">
        <x:is>
          <x:t xml:space="preserve">P0</x:t>
        </x:is>
      </x:c>
      <x:c r="F232" s="42" t="inlineStr">
        <x:is>
          <x:t xml:space="preserve">5. EXTERNAL</x:t>
        </x:is>
      </x:c>
      <x:c r="G232" s="18" t="inlineStr">
        <x:is>
          <x:t xml:space="preserve">Anand</x:t>
        </x:is>
      </x:c>
      <x:c r="H232" s="18" t="inlineStr">
        <x:is>
          <x:t xml:space="preserve">T142,T031</x:t>
        </x:is>
      </x:c>
      <x:c r="I232" s="48" t="inlineStr">
        <x:is>
          <x:t xml:space="preserve">3rd party: Cobalt/Bishop Fox</x:t>
        </x:is>
      </x:c>
      <x:c r="J232" s="51" t="inlineStr">
        <x:is>
          <x:t xml:space="preserve">$8-15k (per pen test)</x:t>
        </x:is>
      </x:c>
      <x:c r="K232" s="84" t="inlineStr">
        <x:is>
          <x:t xml:space="preserve">Anytime</x:t>
        </x:is>
      </x:c>
      <x:c r="L232" s="44" t="inlineStr">
        <x:is>
          <x:t xml:space="preserve">Not started</x:t>
        </x:is>
      </x:c>
      <x:c r="M232" s="18" t="inlineStr">
        <x:is>
          <x:t xml:space="preserve"/>
        </x:is>
      </x:c>
    </x:row>
    <x:row r="233">
      <x:c r="A233" s="18" t="inlineStr">
        <x:is>
          <x:t xml:space="preserve">T108</x:t>
        </x:is>
      </x:c>
      <x:c r="B233" s="18" t="inlineStr">
        <x:is>
          <x:t xml:space="preserve">Operational Readiness</x:t>
        </x:is>
      </x:c>
      <x:c r="C233" s="18" t="inlineStr">
        <x:is>
          <x:t xml:space="preserve">Internal wiki / knowledge base (Notion or in-repo docs)</x:t>
        </x:is>
      </x:c>
      <x:c r="D233" s="18" t="inlineStr">
        <x:is>
          <x:t xml:space="preserve">Single home for: runbooks, ADRs, customer notes, decisions. NOT scattered Google Docs.</x:t>
        </x:is>
      </x:c>
      <x:c r="E233" s="32" t="inlineStr">
        <x:is>
          <x:t xml:space="preserve">P1</x:t>
        </x:is>
      </x:c>
      <x:c r="F233" s="38" t="inlineStr">
        <x:is>
          <x:t xml:space="preserve">1. QUICK WIN</x:t>
        </x:is>
      </x:c>
      <x:c r="G233" s="18" t="inlineStr">
        <x:is>
          <x:t xml:space="preserve">Anand</x:t>
        </x:is>
      </x:c>
      <x:c r="H233" s="18" t="inlineStr">
        <x:is>
          <x:t xml:space="preserve"/>
        </x:is>
      </x:c>
      <x:c r="I233" s="43" t="inlineStr">
        <x:is>
          <x:t xml:space="preserve">Self-serve (Notion/repo)</x:t>
        </x:is>
      </x:c>
      <x:c r="J233" s="52" t="inlineStr">
        <x:is>
          <x:t xml:space="preserve">$0 (in-repo) or $8/user/mo (Notion)</x:t>
        </x:is>
      </x:c>
      <x:c r="K233" s="84" t="inlineStr">
        <x:is>
          <x:t xml:space="preserve">Anytime</x:t>
        </x:is>
      </x:c>
      <x:c r="L233" s="44" t="inlineStr">
        <x:is>
          <x:t xml:space="preserve">Not started</x:t>
        </x:is>
      </x:c>
      <x:c r="M233" s="18" t="inlineStr">
        <x:is>
          <x:t xml:space="preserve">In-repo strongly preferred</x:t>
        </x:is>
      </x:c>
    </x:row>
    <x:row r="234">
      <x:c r="A234" s="18" t="inlineStr">
        <x:is>
          <x:t xml:space="preserve">T110</x:t>
        </x:is>
      </x:c>
      <x:c r="B234" s="18" t="inlineStr">
        <x:is>
          <x:t xml:space="preserve">Operational Readiness</x:t>
        </x:is>
      </x:c>
      <x:c r="C234" s="18" t="inlineStr">
        <x:is>
          <x:t xml:space="preserve">Demo environment with synthetic data</x:t>
        </x:is>
      </x:c>
      <x:c r="D234" s="18" t="inlineStr">
        <x:is>
          <x:t xml:space="preserve">demo.abarva.com — Apex/Meridian/FirstCapital. Auto-reset nightly. For sales/investor demos.</x:t>
        </x:is>
      </x:c>
      <x:c r="E234" s="32" t="inlineStr">
        <x:is>
          <x:t xml:space="preserve">P1</x:t>
        </x:is>
      </x:c>
      <x:c r="F234" s="39" t="inlineStr">
        <x:is>
          <x:t xml:space="preserve">2. CLAUDE DOES IT</x:t>
        </x:is>
      </x:c>
      <x:c r="G234" s="18" t="inlineStr">
        <x:is>
          <x:t xml:space="preserve">Anand</x:t>
        </x:is>
      </x:c>
      <x:c r="H234" s="18" t="inlineStr">
        <x:is>
          <x:t xml:space="preserve"/>
        </x:is>
      </x:c>
      <x:c r="I234" s="45" t="inlineStr">
        <x:is>
          <x:t xml:space="preserve">Claude (code)</x:t>
        </x:is>
      </x:c>
      <x:c r="J234" s="51" t="inlineStr">
        <x:is>
          <x:t xml:space="preserve">$50-100/mo Azure (covered by credits)</x:t>
        </x:is>
      </x:c>
      <x:c r="K234" s="84" t="inlineStr">
        <x:is>
          <x:t xml:space="preserve">Anytime</x:t>
        </x:is>
      </x:c>
      <x:c r="L234" s="44" t="inlineStr">
        <x:is>
          <x:t xml:space="preserve">Not started</x:t>
        </x:is>
      </x:c>
      <x:c r="M234" s="18" t="inlineStr">
        <x:is>
          <x:t xml:space="preserve">Lower-stakes than touching pilot tenant</x:t>
        </x:is>
      </x:c>
    </x:row>
    <x:row r="235">
      <x:c r="A235" s="18" t="inlineStr">
        <x:is>
          <x:t xml:space="preserve">T111</x:t>
        </x:is>
      </x:c>
      <x:c r="B235" s="18" t="inlineStr">
        <x:is>
          <x:t xml:space="preserve">Operational Readiness</x:t>
        </x:is>
      </x:c>
      <x:c r="C235" s="18" t="inlineStr">
        <x:is>
          <x:t xml:space="preserve">Sales engineering toolkit</x:t>
        </x:is>
      </x:c>
      <x:c r="D235" s="18" t="inlineStr">
        <x:is>
          <x:t xml:space="preserve">Reference architecture deck, demo script, ROI calculator, security one-pager.</x:t>
        </x:is>
      </x:c>
      <x:c r="E235" s="32" t="inlineStr">
        <x:is>
          <x:t xml:space="preserve">P1</x:t>
        </x:is>
      </x:c>
      <x:c r="F235" s="39" t="inlineStr">
        <x:is>
          <x:t xml:space="preserve">2. CLAUDE DOES IT</x:t>
        </x:is>
      </x:c>
      <x:c r="G235" s="18" t="inlineStr">
        <x:is>
          <x:t xml:space="preserve">Anand</x:t>
        </x:is>
      </x:c>
      <x:c r="H235" s="18" t="inlineStr">
        <x:is>
          <x:t xml:space="preserve"/>
        </x:is>
      </x:c>
      <x:c r="I235" s="45" t="inlineStr">
        <x:is>
          <x:t xml:space="preserve">Claude (draft)</x:t>
        </x:is>
      </x:c>
      <x:c r="J235" s="52" t="inlineStr">
        <x:is>
          <x:t xml:space="preserve">$0</x:t>
        </x:is>
      </x:c>
      <x:c r="K235" s="84" t="inlineStr">
        <x:is>
          <x:t xml:space="preserve">Anytime</x:t>
        </x:is>
      </x:c>
      <x:c r="L235" s="44" t="inlineStr">
        <x:is>
          <x:t xml:space="preserve">Not started</x:t>
        </x:is>
      </x:c>
      <x:c r="M235" s="18" t="inlineStr">
        <x:is>
          <x:t xml:space="preserve"/>
        </x:is>
      </x:c>
    </x:row>
    <x:row r="236">
      <x:c r="A236" s="18" t="inlineStr">
        <x:is>
          <x:t xml:space="preserve">T112</x:t>
        </x:is>
      </x:c>
      <x:c r="B236" s="18" t="inlineStr">
        <x:is>
          <x:t xml:space="preserve">Operational Readiness</x:t>
        </x:is>
      </x:c>
      <x:c r="C236" s="18" t="inlineStr">
        <x:is>
          <x:t xml:space="preserve">Competitive intelligence doc</x:t>
        </x:is>
      </x:c>
      <x:c r="D236" s="18" t="inlineStr">
        <x:is>
          <x:t xml:space="preserve">Glean, Hebbia, Writer, Anthropic-direct, BCG GenAI, McKinsey QuantumBlack. Quick differentiators.</x:t>
        </x:is>
      </x:c>
      <x:c r="E236" s="32" t="inlineStr">
        <x:is>
          <x:t xml:space="preserve">P1</x:t>
        </x:is>
      </x:c>
      <x:c r="F236" s="39" t="inlineStr">
        <x:is>
          <x:t xml:space="preserve">2. CLAUDE DOES IT</x:t>
        </x:is>
      </x:c>
      <x:c r="G236" s="18" t="inlineStr">
        <x:is>
          <x:t xml:space="preserve">Anand</x:t>
        </x:is>
      </x:c>
      <x:c r="H236" s="18" t="inlineStr">
        <x:is>
          <x:t xml:space="preserve"/>
        </x:is>
      </x:c>
      <x:c r="I236" s="45" t="inlineStr">
        <x:is>
          <x:t xml:space="preserve">Claude (research)</x:t>
        </x:is>
      </x:c>
      <x:c r="J236" s="52" t="inlineStr">
        <x:is>
          <x:t xml:space="preserve">$0</x:t>
        </x:is>
      </x:c>
      <x:c r="K236" s="84" t="inlineStr">
        <x:is>
          <x:t xml:space="preserve">Anytime</x:t>
        </x:is>
      </x:c>
      <x:c r="L236" s="44" t="inlineStr">
        <x:is>
          <x:t xml:space="preserve">Not started</x:t>
        </x:is>
      </x:c>
      <x:c r="M236" s="18" t="inlineStr">
        <x:is>
          <x:t xml:space="preserve">Procurement will ask 'how is this different from X'</x:t>
        </x:is>
      </x:c>
    </x:row>
    <x:row r="237">
      <x:c r="A237" s="18" t="inlineStr">
        <x:is>
          <x:t xml:space="preserve">T115</x:t>
        </x:is>
      </x:c>
      <x:c r="B237" s="18" t="inlineStr">
        <x:is>
          <x:t xml:space="preserve">Operational Readiness</x:t>
        </x:is>
      </x:c>
      <x:c r="C237" s="18" t="inlineStr">
        <x:is>
          <x:t xml:space="preserve">Disaster scenarios documented + drilled</x:t>
        </x:is>
      </x:c>
      <x:c r="D237" s="18" t="inlineStr">
        <x:is>
          <x:t xml:space="preserve">Vercel outage, Anthropic API change/price hike, Azure region down, key-person unavailable &gt;7 days.</x:t>
        </x:is>
      </x:c>
      <x:c r="E237" s="32" t="inlineStr">
        <x:is>
          <x:t xml:space="preserve">P1</x:t>
        </x:is>
      </x:c>
      <x:c r="F237" s="39" t="inlineStr">
        <x:is>
          <x:t xml:space="preserve">2. CLAUDE DOES IT</x:t>
        </x:is>
      </x:c>
      <x:c r="G237" s="18" t="inlineStr">
        <x:is>
          <x:t xml:space="preserve">Anand</x:t>
        </x:is>
      </x:c>
      <x:c r="H237" s="18" t="inlineStr">
        <x:is>
          <x:t xml:space="preserve"/>
        </x:is>
      </x:c>
      <x:c r="I237" s="45" t="inlineStr">
        <x:is>
          <x:t xml:space="preserve">Claude (templates)</x:t>
        </x:is>
      </x:c>
      <x:c r="J237" s="52" t="inlineStr">
        <x:is>
          <x:t xml:space="preserve">$0</x:t>
        </x:is>
      </x:c>
      <x:c r="K237" s="84" t="inlineStr">
        <x:is>
          <x:t xml:space="preserve">Anytime</x:t>
        </x:is>
      </x:c>
      <x:c r="L237" s="44" t="inlineStr">
        <x:is>
          <x:t xml:space="preserve">Not started</x:t>
        </x:is>
      </x:c>
      <x:c r="M237" s="18" t="inlineStr">
        <x:is>
          <x:t xml:space="preserve">Tabletop once before pilot</x:t>
        </x:is>
      </x:c>
    </x:row>
    <x:row r="238">
      <x:c r="A238" s="18" t="inlineStr">
        <x:is>
          <x:t xml:space="preserve">T118</x:t>
        </x:is>
      </x:c>
      <x:c r="B238" s="18" t="inlineStr">
        <x:is>
          <x:t xml:space="preserve">Operational Readiness</x:t>
        </x:is>
      </x:c>
      <x:c r="C238" s="18" t="inlineStr">
        <x:is>
          <x:t xml:space="preserve">AI ethics / Responsible AI policy</x:t>
        </x:is>
      </x:c>
      <x:c r="D238" s="18" t="inlineStr">
        <x:is>
          <x:t xml:space="preserve">Public doc: data use, training, hallucination handling, human-in-loop, escalation. F500 will ask.</x:t>
        </x:is>
      </x:c>
      <x:c r="E238" s="32" t="inlineStr">
        <x:is>
          <x:t xml:space="preserve">P1</x:t>
        </x:is>
      </x:c>
      <x:c r="F238" s="39" t="inlineStr">
        <x:is>
          <x:t xml:space="preserve">2. CLAUDE DOES IT</x:t>
        </x:is>
      </x:c>
      <x:c r="G238" s="18" t="inlineStr">
        <x:is>
          <x:t xml:space="preserve">Anand</x:t>
        </x:is>
      </x:c>
      <x:c r="H238" s="18" t="inlineStr">
        <x:is>
          <x:t xml:space="preserve"/>
        </x:is>
      </x:c>
      <x:c r="I238" s="45" t="inlineStr">
        <x:is>
          <x:t xml:space="preserve">Claude (draft)</x:t>
        </x:is>
      </x:c>
      <x:c r="J238" s="52" t="inlineStr">
        <x:is>
          <x:t xml:space="preserve">$0</x:t>
        </x:is>
      </x:c>
      <x:c r="K238" s="84" t="inlineStr">
        <x:is>
          <x:t xml:space="preserve">Anytime</x:t>
        </x:is>
      </x:c>
      <x:c r="L238" s="44" t="inlineStr">
        <x:is>
          <x:t xml:space="preserve">Not started</x:t>
        </x:is>
      </x:c>
      <x:c r="M238" s="18" t="inlineStr">
        <x:is>
          <x:t xml:space="preserve">Differentiator AND compliance</x:t>
        </x:is>
      </x:c>
    </x:row>
    <x:row r="239">
      <x:c r="A239" s="18" t="inlineStr">
        <x:is>
          <x:t xml:space="preserve">T119</x:t>
        </x:is>
      </x:c>
      <x:c r="B239" s="18" t="inlineStr">
        <x:is>
          <x:t xml:space="preserve">Operational Readiness</x:t>
        </x:is>
      </x:c>
      <x:c r="C239" s="18" t="inlineStr">
        <x:is>
          <x:t xml:space="preserve">DSAR (Data Subject Access Request) process for GDPR</x:t>
        </x:is>
      </x:c>
      <x:c r="D239" s="18" t="inlineStr">
        <x:is>
          <x:t xml:space="preserve">Documented intake, identity verification, fulfillment SLA (typically 30 days). Even if no EU clients yet.</x:t>
        </x:is>
      </x:c>
      <x:c r="E239" s="49" t="inlineStr">
        <x:is>
          <x:t xml:space="preserve">P2</x:t>
        </x:is>
      </x:c>
      <x:c r="F239" s="39" t="inlineStr">
        <x:is>
          <x:t xml:space="preserve">2. CLAUDE DOES IT</x:t>
        </x:is>
      </x:c>
      <x:c r="G239" s="18" t="inlineStr">
        <x:is>
          <x:t xml:space="preserve">Anand</x:t>
        </x:is>
      </x:c>
      <x:c r="H239" s="18" t="inlineStr">
        <x:is>
          <x:t xml:space="preserve"/>
        </x:is>
      </x:c>
      <x:c r="I239" s="45" t="inlineStr">
        <x:is>
          <x:t xml:space="preserve">Claude (template)</x:t>
        </x:is>
      </x:c>
      <x:c r="J239" s="52" t="inlineStr">
        <x:is>
          <x:t xml:space="preserve">$0</x:t>
        </x:is>
      </x:c>
      <x:c r="K239" s="84" t="inlineStr">
        <x:is>
          <x:t xml:space="preserve">Anytime</x:t>
        </x:is>
      </x:c>
      <x:c r="L239" s="44" t="inlineStr">
        <x:is>
          <x:t xml:space="preserve">Not started</x:t>
        </x:is>
      </x:c>
      <x:c r="M239" s="18" t="inlineStr">
        <x:is>
          <x:t xml:space="preserve">Cheap to set up cold</x:t>
        </x:is>
      </x:c>
    </x:row>
    <x:row r="240">
      <x:c r="A240" s="18" t="inlineStr">
        <x:is>
          <x:t xml:space="preserve">T120</x:t>
        </x:is>
      </x:c>
      <x:c r="B240" s="18" t="inlineStr">
        <x:is>
          <x:t xml:space="preserve">Operational Readiness</x:t>
        </x:is>
      </x:c>
      <x:c r="C240" s="18" t="inlineStr">
        <x:is>
          <x:t xml:space="preserve">Records retention policy</x:t>
        </x:is>
      </x:c>
      <x:c r="D240" s="18" t="inlineStr">
        <x:is>
          <x:t xml:space="preserve">How long do you keep: logs, customer data, financial records, employee records, comms.</x:t>
        </x:is>
      </x:c>
      <x:c r="E240" s="49" t="inlineStr">
        <x:is>
          <x:t xml:space="preserve">P2</x:t>
        </x:is>
      </x:c>
      <x:c r="F240" s="39" t="inlineStr">
        <x:is>
          <x:t xml:space="preserve">2. CLAUDE DOES IT</x:t>
        </x:is>
      </x:c>
      <x:c r="G240" s="18" t="inlineStr">
        <x:is>
          <x:t xml:space="preserve">Anand</x:t>
        </x:is>
      </x:c>
      <x:c r="H240" s="18" t="inlineStr">
        <x:is>
          <x:t xml:space="preserve"/>
        </x:is>
      </x:c>
      <x:c r="I240" s="45" t="inlineStr">
        <x:is>
          <x:t xml:space="preserve">Claude (draft)</x:t>
        </x:is>
      </x:c>
      <x:c r="J240" s="52" t="inlineStr">
        <x:is>
          <x:t xml:space="preserve">$0</x:t>
        </x:is>
      </x:c>
      <x:c r="K240" s="84" t="inlineStr">
        <x:is>
          <x:t xml:space="preserve">Anytime</x:t>
        </x:is>
      </x:c>
      <x:c r="L240" s="44" t="inlineStr">
        <x:is>
          <x:t xml:space="preserve">Not started</x:t>
        </x:is>
      </x:c>
      <x:c r="M240" s="18" t="inlineStr">
        <x:is>
          <x:t xml:space="preserve">SOC 2 will ask</x:t>
        </x:is>
      </x:c>
    </x:row>
    <x:row r="241">
      <x:c r="A241" s="18" t="inlineStr">
        <x:is>
          <x:t xml:space="preserve">T121</x:t>
        </x:is>
      </x:c>
      <x:c r="B241" s="18" t="inlineStr">
        <x:is>
          <x:t xml:space="preserve">Operational Readiness</x:t>
        </x:is>
      </x:c>
      <x:c r="C241" s="18" t="inlineStr">
        <x:is>
          <x:t xml:space="preserve">OFAC / sanctions screening on customers</x:t>
        </x:is>
      </x:c>
      <x:c r="D241" s="18" t="inlineStr">
        <x:is>
          <x:t xml:space="preserve">Run new customers against OFAC SDN list. Free API. One-time setup, automated.</x:t>
        </x:is>
      </x:c>
      <x:c r="E241" s="49" t="inlineStr">
        <x:is>
          <x:t xml:space="preserve">P2</x:t>
        </x:is>
      </x:c>
      <x:c r="F241" s="39" t="inlineStr">
        <x:is>
          <x:t xml:space="preserve">2. CLAUDE DOES IT</x:t>
        </x:is>
      </x:c>
      <x:c r="G241" s="18" t="inlineStr">
        <x:is>
          <x:t xml:space="preserve">Anand</x:t>
        </x:is>
      </x:c>
      <x:c r="H241" s="18" t="inlineStr">
        <x:is>
          <x:t xml:space="preserve"/>
        </x:is>
      </x:c>
      <x:c r="I241" s="45" t="inlineStr">
        <x:is>
          <x:t xml:space="preserve">Claude (API integration)</x:t>
        </x:is>
      </x:c>
      <x:c r="J241" s="52" t="inlineStr">
        <x:is>
          <x:t xml:space="preserve">$0 (OpenSanctions free tier)</x:t>
        </x:is>
      </x:c>
      <x:c r="K241" s="84" t="inlineStr">
        <x:is>
          <x:t xml:space="preserve">Anytime</x:t>
        </x:is>
      </x:c>
      <x:c r="L241" s="44" t="inlineStr">
        <x:is>
          <x:t xml:space="preserve">Not started</x:t>
        </x:is>
      </x:c>
      <x:c r="M241" s="18" t="inlineStr">
        <x:is>
          <x:t xml:space="preserve">Defensive — cheap to do</x:t>
        </x:is>
      </x:c>
    </x:row>
    <x:row r="242">
      <x:c r="A242" s="18" t="inlineStr">
        <x:is>
          <x:t xml:space="preserve">T122</x:t>
        </x:is>
      </x:c>
      <x:c r="B242" s="18" t="inlineStr">
        <x:is>
          <x:t xml:space="preserve">Operational Readiness</x:t>
        </x:is>
      </x:c>
      <x:c r="C242" s="18" t="inlineStr">
        <x:is>
          <x:t xml:space="preserve">Vendor management — track every third-party + their renewal</x:t>
        </x:is>
      </x:c>
      <x:c r="D242" s="18" t="inlineStr">
        <x:is>
          <x:t xml:space="preserve">Vercel, Clerk, Anthropic, OpenAI, Stripe, Resend, PostHog, Vanta, Cobalt, insurance, etc. Spreadsheet OK at this size.</x:t>
        </x:is>
      </x:c>
      <x:c r="E242" s="49" t="inlineStr">
        <x:is>
          <x:t xml:space="preserve">P2</x:t>
        </x:is>
      </x:c>
      <x:c r="F242" s="39" t="inlineStr">
        <x:is>
          <x:t xml:space="preserve">2. CLAUDE DOES IT</x:t>
        </x:is>
      </x:c>
      <x:c r="G242" s="18" t="inlineStr">
        <x:is>
          <x:t xml:space="preserve">Anand</x:t>
        </x:is>
      </x:c>
      <x:c r="H242" s="18" t="inlineStr">
        <x:is>
          <x:t xml:space="preserve"/>
        </x:is>
      </x:c>
      <x:c r="I242" s="45" t="inlineStr">
        <x:is>
          <x:t xml:space="preserve">Claude (sheet)</x:t>
        </x:is>
      </x:c>
      <x:c r="J242" s="52" t="inlineStr">
        <x:is>
          <x:t xml:space="preserve">$0 (sheet)</x:t>
        </x:is>
      </x:c>
      <x:c r="K242" s="84" t="inlineStr">
        <x:is>
          <x:t xml:space="preserve">Anytime</x:t>
        </x:is>
      </x:c>
      <x:c r="L242" s="44" t="inlineStr">
        <x:is>
          <x:t xml:space="preserve">Not started</x:t>
        </x:is>
      </x:c>
      <x:c r="M242" s="18" t="inlineStr">
        <x:is>
          <x:t xml:space="preserve"/>
        </x:is>
      </x:c>
    </x:row>
    <x:row r="243">
      <x:c r="A243" s="18" t="inlineStr">
        <x:is>
          <x:t xml:space="preserve">T107</x:t>
        </x:is>
      </x:c>
      <x:c r="B243" s="18" t="inlineStr">
        <x:is>
          <x:t xml:space="preserve">Operational Readiness</x:t>
        </x:is>
      </x:c>
      <x:c r="C243" s="18" t="inlineStr">
        <x:is>
          <x:t xml:space="preserve">Compensation framework (cash + equity + vesting)</x:t>
        </x:is>
      </x:c>
      <x:c r="D243" s="18" t="inlineStr">
        <x:is>
          <x:t xml:space="preserve">Standard: 4yr / 1yr cliff vest. Equity bands by role. Cash bands. Before first offer.</x:t>
        </x:is>
      </x:c>
      <x:c r="E243" s="32" t="inlineStr">
        <x:is>
          <x:t xml:space="preserve">P1</x:t>
        </x:is>
      </x:c>
      <x:c r="F243" s="40" t="inlineStr">
        <x:is>
          <x:t xml:space="preserve">3. CLAUDE + YOU</x:t>
        </x:is>
      </x:c>
      <x:c r="G243" s="18" t="inlineStr">
        <x:is>
          <x:t xml:space="preserve">Anand</x:t>
        </x:is>
      </x:c>
      <x:c r="H243" s="18" t="inlineStr">
        <x:is>
          <x:t xml:space="preserve">T106</x:t>
        </x:is>
      </x:c>
      <x:c r="I243" s="47" t="inlineStr">
        <x:is>
          <x:t xml:space="preserve">Claude + you</x:t>
        </x:is>
      </x:c>
      <x:c r="J243" s="52" t="inlineStr">
        <x:is>
          <x:t xml:space="preserve">$0</x:t>
        </x:is>
      </x:c>
      <x:c r="K243" s="84" t="inlineStr">
        <x:is>
          <x:t xml:space="preserve">Anytime</x:t>
        </x:is>
      </x:c>
      <x:c r="L243" s="44" t="inlineStr">
        <x:is>
          <x:t xml:space="preserve">Not started</x:t>
        </x:is>
      </x:c>
      <x:c r="M243" s="18" t="inlineStr">
        <x:is>
          <x:t xml:space="preserve">Get template from Carta or AngelList</x:t>
        </x:is>
      </x:c>
    </x:row>
    <x:row r="244">
      <x:c r="A244" s="18" t="inlineStr">
        <x:is>
          <x:t xml:space="preserve">T113</x:t>
        </x:is>
      </x:c>
      <x:c r="B244" s="18" t="inlineStr">
        <x:is>
          <x:t xml:space="preserve">Operational Readiness</x:t>
        </x:is>
      </x:c>
      <x:c r="C244" s="18" t="inlineStr">
        <x:is>
          <x:t xml:space="preserve">Product feedback loop — single intake + triage cadence</x:t>
        </x:is>
      </x:c>
      <x:c r="D244" s="18" t="inlineStr">
        <x:is>
          <x:t xml:space="preserve">All feature requests (from any source) → one queue. Weekly triage. Customer sees status.</x:t>
        </x:is>
      </x:c>
      <x:c r="E244" s="32" t="inlineStr">
        <x:is>
          <x:t xml:space="preserve">P1</x:t>
        </x:is>
      </x:c>
      <x:c r="F244" s="40" t="inlineStr">
        <x:is>
          <x:t xml:space="preserve">3. CLAUDE + YOU</x:t>
        </x:is>
      </x:c>
      <x:c r="G244" s="18" t="inlineStr">
        <x:is>
          <x:t xml:space="preserve">Anand</x:t>
        </x:is>
      </x:c>
      <x:c r="H244" s="18" t="inlineStr">
        <x:is>
          <x:t xml:space="preserve"/>
        </x:is>
      </x:c>
      <x:c r="I244" s="47" t="inlineStr">
        <x:is>
          <x:t xml:space="preserve">Claude + you</x:t>
        </x:is>
      </x:c>
      <x:c r="J244" s="52" t="inlineStr">
        <x:is>
          <x:t xml:space="preserve">$0 (GH Issues) or $50/mo (Canny)</x:t>
        </x:is>
      </x:c>
      <x:c r="K244" s="84" t="inlineStr">
        <x:is>
          <x:t xml:space="preserve">Anytime</x:t>
        </x:is>
      </x:c>
      <x:c r="L244" s="44" t="inlineStr">
        <x:is>
          <x:t xml:space="preserve">Not started</x:t>
        </x:is>
      </x:c>
      <x:c r="M244" s="18" t="inlineStr">
        <x:is>
          <x:t xml:space="preserve">Prevents 'I told you about X' moments</x:t>
        </x:is>
      </x:c>
    </x:row>
    <x:row r="245">
      <x:c r="A245" s="18" t="inlineStr">
        <x:is>
          <x:t xml:space="preserve">T114</x:t>
        </x:is>
      </x:c>
      <x:c r="B245" s="18" t="inlineStr">
        <x:is>
          <x:t xml:space="preserve">Operational Readiness</x:t>
        </x:is>
      </x:c>
      <x:c r="C245" s="18" t="inlineStr">
        <x:is>
          <x:t xml:space="preserve">Public-ish product roadmap (3 horizons)</x:t>
        </x:is>
      </x:c>
      <x:c r="D245" s="18" t="inlineStr">
        <x:is>
          <x:t xml:space="preserve">Now / Next / Later. Shared with pilot client. Reduces ad-hoc 'when will X ship' questions.</x:t>
        </x:is>
      </x:c>
      <x:c r="E245" s="49" t="inlineStr">
        <x:is>
          <x:t xml:space="preserve">P2</x:t>
        </x:is>
      </x:c>
      <x:c r="F245" s="40" t="inlineStr">
        <x:is>
          <x:t xml:space="preserve">3. CLAUDE + YOU</x:t>
        </x:is>
      </x:c>
      <x:c r="G245" s="18" t="inlineStr">
        <x:is>
          <x:t xml:space="preserve">Anand</x:t>
        </x:is>
      </x:c>
      <x:c r="H245" s="18" t="inlineStr">
        <x:is>
          <x:t xml:space="preserve"/>
        </x:is>
      </x:c>
      <x:c r="I245" s="47" t="inlineStr">
        <x:is>
          <x:t xml:space="preserve">Claude + you</x:t>
        </x:is>
      </x:c>
      <x:c r="J245" s="52" t="inlineStr">
        <x:is>
          <x:t xml:space="preserve">$0</x:t>
        </x:is>
      </x:c>
      <x:c r="K245" s="84" t="inlineStr">
        <x:is>
          <x:t xml:space="preserve">Anytime</x:t>
        </x:is>
      </x:c>
      <x:c r="L245" s="44" t="inlineStr">
        <x:is>
          <x:t xml:space="preserve">Not started</x:t>
        </x:is>
      </x:c>
      <x:c r="M245" s="18" t="inlineStr">
        <x:is>
          <x:t xml:space="preserve"/>
        </x:is>
      </x:c>
    </x:row>
    <x:row r="246">
      <x:c r="A246" s="18" t="inlineStr">
        <x:is>
          <x:t xml:space="preserve">T116</x:t>
        </x:is>
      </x:c>
      <x:c r="B246" s="18" t="inlineStr">
        <x:is>
          <x:t xml:space="preserve">Operational Readiness</x:t>
        </x:is>
      </x:c>
      <x:c r="C246" s="18" t="inlineStr">
        <x:is>
          <x:t xml:space="preserve">Financial controls — vendor spend approval thresholds</x:t>
        </x:is>
      </x:c>
      <x:c r="D246" s="18" t="inlineStr">
        <x:is>
          <x:t xml:space="preserve">Auto-approve &lt;$500; founder-approve &lt;$5k; board-approve (you, formally) &gt;$5k.</x:t>
        </x:is>
      </x:c>
      <x:c r="E246" s="49" t="inlineStr">
        <x:is>
          <x:t xml:space="preserve">P2</x:t>
        </x:is>
      </x:c>
      <x:c r="F246" s="40" t="inlineStr">
        <x:is>
          <x:t xml:space="preserve">3. CLAUDE + YOU</x:t>
        </x:is>
      </x:c>
      <x:c r="G246" s="18" t="inlineStr">
        <x:is>
          <x:t xml:space="preserve">Anand</x:t>
        </x:is>
      </x:c>
      <x:c r="H246" s="18" t="inlineStr">
        <x:is>
          <x:t xml:space="preserve"/>
        </x:is>
      </x:c>
      <x:c r="I246" s="47" t="inlineStr">
        <x:is>
          <x:t xml:space="preserve">Claude + you</x:t>
        </x:is>
      </x:c>
      <x:c r="J246" s="52" t="inlineStr">
        <x:is>
          <x:t xml:space="preserve">$0</x:t>
        </x:is>
      </x:c>
      <x:c r="K246" s="84" t="inlineStr">
        <x:is>
          <x:t xml:space="preserve">Anytime</x:t>
        </x:is>
      </x:c>
      <x:c r="L246" s="44" t="inlineStr">
        <x:is>
          <x:t xml:space="preserve">Not started</x:t>
        </x:is>
      </x:c>
      <x:c r="M246" s="18" t="inlineStr">
        <x:is>
          <x:t xml:space="preserve"/>
        </x:is>
      </x:c>
    </x:row>
    <x:row r="247">
      <x:c r="A247" s="18" t="inlineStr">
        <x:is>
          <x:t xml:space="preserve">T109</x:t>
        </x:is>
      </x:c>
      <x:c r="B247" s="18" t="inlineStr">
        <x:is>
          <x:t xml:space="preserve">Operational Readiness</x:t>
        </x:is>
      </x:c>
      <x:c r="C247" s="18" t="inlineStr">
        <x:is>
          <x:t xml:space="preserve">Customer help center / product docs</x:t>
        </x:is>
      </x:c>
      <x:c r="D247" s="18" t="inlineStr">
        <x:is>
          <x:t xml:space="preserve">End-user docs (not security/legal). Mintlify, Docusaurus, or just /docs in app.</x:t>
        </x:is>
      </x:c>
      <x:c r="E247" s="49" t="inlineStr">
        <x:is>
          <x:t xml:space="preserve">P2</x:t>
        </x:is>
      </x:c>
      <x:c r="F247" s="41" t="inlineStr">
        <x:is>
          <x:t xml:space="preserve">4. CLAUDE + PRO</x:t>
        </x:is>
      </x:c>
      <x:c r="G247" s="18" t="inlineStr">
        <x:is>
          <x:t xml:space="preserve">Anand</x:t>
        </x:is>
      </x:c>
      <x:c r="H247" s="18" t="inlineStr">
        <x:is>
          <x:t xml:space="preserve"/>
        </x:is>
      </x:c>
      <x:c r="I247" s="50" t="inlineStr">
        <x:is>
          <x:t xml:space="preserve">3rd party + Claude</x:t>
        </x:is>
      </x:c>
      <x:c r="J247" s="52" t="inlineStr">
        <x:is>
          <x:t xml:space="preserve">$0 (in-repo) or $120/mo (Mintlify)</x:t>
        </x:is>
      </x:c>
      <x:c r="K247" s="83" t="inlineStr">
        <x:is>
          <x:t xml:space="preserve">Post-Resign</x:t>
        </x:is>
      </x:c>
      <x:c r="L247" s="44" t="inlineStr">
        <x:is>
          <x:t xml:space="preserve">Not started</x:t>
        </x:is>
      </x:c>
      <x:c r="M247" s="18" t="inlineStr">
        <x:is>
          <x:t xml:space="preserve">Pilot client will ask</x:t>
        </x:is>
      </x:c>
    </x:row>
    <x:row r="248">
      <x:c r="A248" s="18" t="inlineStr">
        <x:is>
          <x:t xml:space="preserve">T305</x:t>
        </x:is>
      </x:c>
      <x:c r="B248" s="18" t="inlineStr">
        <x:is>
          <x:t xml:space="preserve">Operational Readiness</x:t>
        </x:is>
      </x:c>
      <x:c r="C248" s="18" t="inlineStr">
        <x:is>
          <x:t xml:space="preserve">ACKNOWLEDGE: 2 parallel close sprints = ~20 hr/wk sales for 2 weeks</x:t>
        </x:is>
      </x:c>
      <x:c r="D248" s="18" t="inlineStr">
        <x:is>
          <x:t xml:space="preserve">Real founder bandwidth tradeoff. Product/eng work slows for 2 weeks. Plan accordingly.</x:t>
        </x:is>
      </x:c>
      <x:c r="E248" s="31" t="inlineStr">
        <x:is>
          <x:t xml:space="preserve">P0</x:t>
        </x:is>
      </x:c>
      <x:c r="F248" s="42" t="inlineStr">
        <x:is>
          <x:t xml:space="preserve">5. EXTERNAL</x:t>
        </x:is>
      </x:c>
      <x:c r="G248" s="18" t="inlineStr">
        <x:is>
          <x:t xml:space="preserve">Anand</x:t>
        </x:is>
      </x:c>
      <x:c r="H248" s="18" t="inlineStr">
        <x:is>
          <x:t xml:space="preserve"/>
        </x:is>
      </x:c>
      <x:c r="I248" s="48" t="inlineStr">
        <x:is>
          <x:t xml:space="preserve">You only (calendar)</x:t>
        </x:is>
      </x:c>
      <x:c r="J248" s="52" t="inlineStr">
        <x:is>
          <x:t xml:space="preserve">$0</x:t>
        </x:is>
      </x:c>
      <x:c r="K248" s="84" t="inlineStr">
        <x:is>
          <x:t xml:space="preserve">Anytime</x:t>
        </x:is>
      </x:c>
      <x:c r="L248" s="44" t="inlineStr">
        <x:is>
          <x:t xml:space="preserve">Not started</x:t>
        </x:is>
      </x:c>
      <x:c r="M248" s="18" t="inlineStr">
        <x:is>
          <x:t xml:space="preserve"/>
        </x:is>
      </x:c>
    </x:row>
    <x:row r="249">
      <x:c r="A249" s="18" t="inlineStr">
        <x:is>
          <x:t xml:space="preserve">T106</x:t>
        </x:is>
      </x:c>
      <x:c r="B249" s="18" t="inlineStr">
        <x:is>
          <x:t xml:space="preserve">Operational Readiness</x:t>
        </x:is>
      </x:c>
      <x:c r="C249" s="18" t="inlineStr">
        <x:is>
          <x:t xml:space="preserve">Hire plan — sequence + roles</x:t>
        </x:is>
      </x:c>
      <x:c r="D249" s="18" t="inlineStr">
        <x:is>
          <x:t xml:space="preserve">Eng #2 (senior staff) at month X, CSM at month Y, Sales/SE at month Z. Triggered by ARR or pilot conversion.</x:t>
        </x:is>
      </x:c>
      <x:c r="E249" s="32" t="inlineStr">
        <x:is>
          <x:t xml:space="preserve">P1</x:t>
        </x:is>
      </x:c>
      <x:c r="F249" s="42" t="inlineStr">
        <x:is>
          <x:t xml:space="preserve">5. EXTERNAL</x:t>
        </x:is>
      </x:c>
      <x:c r="G249" s="18" t="inlineStr">
        <x:is>
          <x:t xml:space="preserve">Anand</x:t>
        </x:is>
      </x:c>
      <x:c r="H249" s="18" t="inlineStr">
        <x:is>
          <x:t xml:space="preserve"/>
        </x:is>
      </x:c>
      <x:c r="I249" s="48" t="inlineStr">
        <x:is>
          <x:t xml:space="preserve">You only</x:t>
        </x:is>
      </x:c>
      <x:c r="J249" s="52" t="inlineStr">
        <x:is>
          <x:t xml:space="preserve">$0 (plan only); $150-250k/yr once hire</x:t>
        </x:is>
      </x:c>
      <x:c r="K249" s="83" t="inlineStr">
        <x:is>
          <x:t xml:space="preserve">Post-Resign</x:t>
        </x:is>
      </x:c>
      <x:c r="L249" s="44" t="inlineStr">
        <x:is>
          <x:t xml:space="preserve">Not started</x:t>
        </x:is>
      </x:c>
      <x:c r="M249" s="18" t="inlineStr">
        <x:is>
          <x:t xml:space="preserve">Plan triggers; don't pre-hire</x:t>
        </x:is>
      </x:c>
    </x:row>
    <x:row r="250">
      <x:c r="A250" s="18" t="inlineStr">
        <x:is>
          <x:t xml:space="preserve">T123</x:t>
        </x:is>
      </x:c>
      <x:c r="B250" s="18" t="inlineStr">
        <x:is>
          <x:t xml:space="preserve">Operational Readiness</x:t>
        </x:is>
      </x:c>
      <x:c r="C250" s="18" t="inlineStr">
        <x:is>
          <x:t xml:space="preserve">Founder operating cadence</x:t>
        </x:is>
      </x:c>
      <x:c r="D250" s="18" t="inlineStr">
        <x:is>
          <x:t xml:space="preserve">Weekly: pipeline + product. Monthly: financials + metrics. Quarterly: strategy/roadmap.</x:t>
        </x:is>
      </x:c>
      <x:c r="E250" s="32" t="inlineStr">
        <x:is>
          <x:t xml:space="preserve">P1</x:t>
        </x:is>
      </x:c>
      <x:c r="F250" s="42" t="inlineStr">
        <x:is>
          <x:t xml:space="preserve">5. EXTERNAL</x:t>
        </x:is>
      </x:c>
      <x:c r="G250" s="18" t="inlineStr">
        <x:is>
          <x:t xml:space="preserve">Anand</x:t>
        </x:is>
      </x:c>
      <x:c r="H250" s="18" t="inlineStr">
        <x:is>
          <x:t xml:space="preserve"/>
        </x:is>
      </x:c>
      <x:c r="I250" s="48" t="inlineStr">
        <x:is>
          <x:t xml:space="preserve">You only</x:t>
        </x:is>
      </x:c>
      <x:c r="J250" s="52" t="inlineStr">
        <x:is>
          <x:t xml:space="preserve">$0</x:t>
        </x:is>
      </x:c>
      <x:c r="K250" s="84" t="inlineStr">
        <x:is>
          <x:t xml:space="preserve">Anytime</x:t>
        </x:is>
      </x:c>
      <x:c r="L250" s="44" t="inlineStr">
        <x:is>
          <x:t xml:space="preserve">Not started</x:t>
        </x:is>
      </x:c>
      <x:c r="M250" s="18" t="inlineStr">
        <x:is>
          <x:t xml:space="preserve">Discipline scales the founder</x:t>
        </x:is>
      </x:c>
    </x:row>
    <x:row r="251">
      <x:c r="A251" s="18" t="inlineStr">
        <x:is>
          <x:t xml:space="preserve">T117</x:t>
        </x:is>
      </x:c>
      <x:c r="B251" s="18" t="inlineStr">
        <x:is>
          <x:t xml:space="preserve">Operational Readiness</x:t>
        </x:is>
      </x:c>
      <x:c r="C251" s="18" t="inlineStr">
        <x:is>
          <x:t xml:space="preserve">SaaS metrics dashboard (MRR, ARR, CAC, churn, NRR)</x:t>
        </x:is>
      </x:c>
      <x:c r="D251" s="18" t="inlineStr">
        <x:is>
          <x:t xml:space="preserve">Even with 1 customer. Stripe or ChartMogul. Discipline now = fundraise narrative later.</x:t>
        </x:is>
      </x:c>
      <x:c r="E251" s="49" t="inlineStr">
        <x:is>
          <x:t xml:space="preserve">P2</x:t>
        </x:is>
      </x:c>
      <x:c r="F251" s="42" t="inlineStr">
        <x:is>
          <x:t xml:space="preserve">5. EXTERNAL</x:t>
        </x:is>
      </x:c>
      <x:c r="G251" s="18" t="inlineStr">
        <x:is>
          <x:t xml:space="preserve">Anand</x:t>
        </x:is>
      </x:c>
      <x:c r="H251" s="18" t="inlineStr">
        <x:is>
          <x:t xml:space="preserve"/>
        </x:is>
      </x:c>
      <x:c r="I251" s="48" t="inlineStr">
        <x:is>
          <x:t xml:space="preserve">3rd party: ChartMogul/Stripe</x:t>
        </x:is>
      </x:c>
      <x:c r="J251" s="52" t="inlineStr">
        <x:is>
          <x:t xml:space="preserve">$0 (Stripe Sigma) or $100-300/mo (ChartMogul)</x:t>
        </x:is>
      </x:c>
      <x:c r="K251" s="84" t="inlineStr">
        <x:is>
          <x:t xml:space="preserve">Anytime</x:t>
        </x:is>
      </x:c>
      <x:c r="L251" s="44" t="inlineStr">
        <x:is>
          <x:t xml:space="preserve">Not started</x:t>
        </x:is>
      </x:c>
      <x:c r="M251" s="18" t="inlineStr">
        <x:is>
          <x:t xml:space="preserve"/>
        </x:is>
      </x:c>
    </x:row>
    <x:row r="252">
      <x:c r="A252" s="18" t="inlineStr">
        <x:is>
          <x:t xml:space="preserve">T050</x:t>
        </x:is>
      </x:c>
      <x:c r="B252" s="18" t="inlineStr">
        <x:is>
          <x:t xml:space="preserve">Pilot Ops</x:t>
        </x:is>
      </x:c>
      <x:c r="C252" s="18" t="inlineStr">
        <x:is>
          <x:t xml:space="preserve">Build reference architecture deck for security reviews (15 slides)</x:t>
        </x:is>
      </x:c>
      <x:c r="D252" s="18" t="inlineStr">
        <x:is>
          <x:t xml:space="preserve">Answers 80% of SIG Lite. Reusable.</x:t>
        </x:is>
      </x:c>
      <x:c r="E252" s="31" t="inlineStr">
        <x:is>
          <x:t xml:space="preserve">P0</x:t>
        </x:is>
      </x:c>
      <x:c r="F252" s="39" t="inlineStr">
        <x:is>
          <x:t xml:space="preserve">2. CLAUDE DOES IT</x:t>
        </x:is>
      </x:c>
      <x:c r="G252" s="18" t="inlineStr">
        <x:is>
          <x:t xml:space="preserve">Anand</x:t>
        </x:is>
      </x:c>
      <x:c r="H252" s="18" t="inlineStr">
        <x:is>
          <x:t xml:space="preserve">T027</x:t>
        </x:is>
      </x:c>
      <x:c r="I252" s="45" t="inlineStr">
        <x:is>
          <x:t xml:space="preserve">Claude (slides outline)</x:t>
        </x:is>
      </x:c>
      <x:c r="J252" s="52" t="inlineStr">
        <x:is>
          <x:t xml:space="preserve">$0</x:t>
        </x:is>
      </x:c>
      <x:c r="K252" s="83" t="inlineStr">
        <x:is>
          <x:t xml:space="preserve">Post-Resign</x:t>
        </x:is>
      </x:c>
      <x:c r="L252" s="44" t="inlineStr">
        <x:is>
          <x:t xml:space="preserve">Not started</x:t>
        </x:is>
      </x:c>
      <x:c r="M252" s="18" t="inlineStr">
        <x:is>
          <x:t xml:space="preserve"/>
        </x:is>
      </x:c>
    </x:row>
    <x:row r="253">
      <x:c r="A253" s="18" t="inlineStr">
        <x:is>
          <x:t xml:space="preserve">T049</x:t>
        </x:is>
      </x:c>
      <x:c r="B253" s="18" t="inlineStr">
        <x:is>
          <x:t xml:space="preserve">Pilot Ops</x:t>
        </x:is>
      </x:c>
      <x:c r="C253" s="18" t="inlineStr">
        <x:is>
          <x:t xml:space="preserve">Write 30/60/90 pilot kickoff playbook</x:t>
        </x:is>
      </x:c>
      <x:c r="D253" s="18" t="inlineStr">
        <x:is>
          <x:t xml:space="preserve">Both-sides milestones: data delivery, SSO config, user provisioning, exec reviews.</x:t>
        </x:is>
      </x:c>
      <x:c r="E253" s="32" t="inlineStr">
        <x:is>
          <x:t xml:space="preserve">P1</x:t>
        </x:is>
      </x:c>
      <x:c r="F253" s="39" t="inlineStr">
        <x:is>
          <x:t xml:space="preserve">2. CLAUDE DOES IT</x:t>
        </x:is>
      </x:c>
      <x:c r="G253" s="18" t="inlineStr">
        <x:is>
          <x:t xml:space="preserve">Anand</x:t>
        </x:is>
      </x:c>
      <x:c r="H253" s="18" t="inlineStr">
        <x:is>
          <x:t xml:space="preserve"/>
        </x:is>
      </x:c>
      <x:c r="I253" s="45" t="inlineStr">
        <x:is>
          <x:t xml:space="preserve">Claude (draft)</x:t>
        </x:is>
      </x:c>
      <x:c r="J253" s="52" t="inlineStr">
        <x:is>
          <x:t xml:space="preserve">$0</x:t>
        </x:is>
      </x:c>
      <x:c r="K253" s="83" t="inlineStr">
        <x:is>
          <x:t xml:space="preserve">Post-Resign</x:t>
        </x:is>
      </x:c>
      <x:c r="L253" s="44" t="inlineStr">
        <x:is>
          <x:t xml:space="preserve">Not started</x:t>
        </x:is>
      </x:c>
      <x:c r="M253" s="18" t="inlineStr">
        <x:is>
          <x:t xml:space="preserve">Documents client commitments — protects you</x:t>
        </x:is>
      </x:c>
    </x:row>
    <x:row r="254">
      <x:c r="A254" s="18" t="inlineStr">
        <x:is>
          <x:t xml:space="preserve">T055</x:t>
        </x:is>
      </x:c>
      <x:c r="B254" s="18" t="inlineStr">
        <x:is>
          <x:t xml:space="preserve">Pilot Ops</x:t>
        </x:is>
      </x:c>
      <x:c r="C254" s="18" t="inlineStr">
        <x:is>
          <x:t xml:space="preserve">Build out-of-scope catalog (5-10 likely 'can you also' items + prices)</x:t>
        </x:is>
      </x:c>
      <x:c r="D254" s="18" t="inlineStr">
        <x:is>
          <x:t xml:space="preserve">Saves friction when client asks.</x:t>
        </x:is>
      </x:c>
      <x:c r="E254" s="49" t="inlineStr">
        <x:is>
          <x:t xml:space="preserve">P2</x:t>
        </x:is>
      </x:c>
      <x:c r="F254" s="39" t="inlineStr">
        <x:is>
          <x:t xml:space="preserve">2. CLAUDE DOES IT</x:t>
        </x:is>
      </x:c>
      <x:c r="G254" s="18" t="inlineStr">
        <x:is>
          <x:t xml:space="preserve">Anand</x:t>
        </x:is>
      </x:c>
      <x:c r="H254" s="18" t="inlineStr">
        <x:is>
          <x:t xml:space="preserve"/>
        </x:is>
      </x:c>
      <x:c r="I254" s="45" t="inlineStr">
        <x:is>
          <x:t xml:space="preserve">Claude (draft)</x:t>
        </x:is>
      </x:c>
      <x:c r="J254" s="52" t="inlineStr">
        <x:is>
          <x:t xml:space="preserve">$0</x:t>
        </x:is>
      </x:c>
      <x:c r="K254" s="83" t="inlineStr">
        <x:is>
          <x:t xml:space="preserve">Post-Resign</x:t>
        </x:is>
      </x:c>
      <x:c r="L254" s="44" t="inlineStr">
        <x:is>
          <x:t xml:space="preserve">Not started</x:t>
        </x:is>
      </x:c>
      <x:c r="M254" s="18" t="inlineStr">
        <x:is>
          <x:t xml:space="preserve"/>
        </x:is>
      </x:c>
    </x:row>
    <x:row r="255">
      <x:c r="A255" s="18" t="inlineStr">
        <x:is>
          <x:t xml:space="preserve">T053</x:t>
        </x:is>
      </x:c>
      <x:c r="B255" s="18" t="inlineStr">
        <x:is>
          <x:t xml:space="preserve">Pilot Ops</x:t>
        </x:is>
      </x:c>
      <x:c r="C255" s="18" t="inlineStr">
        <x:is>
          <x:t xml:space="preserve">Define managed services scope (in/out) explicitly in SOW</x:t>
        </x:is>
      </x:c>
      <x:c r="D255" s="18" t="inlineStr">
        <x:is>
          <x:t xml:space="preserve">24x5 monitoring, P1 1h response. Out: new feature dev, integrations not in SOW.</x:t>
        </x:is>
      </x:c>
      <x:c r="E255" s="31" t="inlineStr">
        <x:is>
          <x:t xml:space="preserve">P0</x:t>
        </x:is>
      </x:c>
      <x:c r="F255" s="40" t="inlineStr">
        <x:is>
          <x:t xml:space="preserve">3. CLAUDE + YOU</x:t>
        </x:is>
      </x:c>
      <x:c r="G255" s="18" t="inlineStr">
        <x:is>
          <x:t xml:space="preserve">Anand</x:t>
        </x:is>
      </x:c>
      <x:c r="H255" s="18" t="inlineStr">
        <x:is>
          <x:t xml:space="preserve"/>
        </x:is>
      </x:c>
      <x:c r="I255" s="47" t="inlineStr">
        <x:is>
          <x:t xml:space="preserve">Claude + you (SOW)</x:t>
        </x:is>
      </x:c>
      <x:c r="J255" s="52" t="inlineStr">
        <x:is>
          <x:t xml:space="preserve">$0</x:t>
        </x:is>
      </x:c>
      <x:c r="K255" s="83" t="inlineStr">
        <x:is>
          <x:t xml:space="preserve">Post-Resign</x:t>
        </x:is>
      </x:c>
      <x:c r="L255" s="44" t="inlineStr">
        <x:is>
          <x:t xml:space="preserve">Not started</x:t>
        </x:is>
      </x:c>
      <x:c r="M255" s="18" t="inlineStr">
        <x:is>
          <x:t xml:space="preserve"/>
        </x:is>
      </x:c>
    </x:row>
    <x:row r="256">
      <x:c r="A256" s="18" t="inlineStr">
        <x:is>
          <x:t xml:space="preserve">T054</x:t>
        </x:is>
      </x:c>
      <x:c r="B256" s="18" t="inlineStr">
        <x:is>
          <x:t xml:space="preserve">Pilot Ops</x:t>
        </x:is>
      </x:c>
      <x:c r="C256" s="18" t="inlineStr">
        <x:is>
          <x:t xml:space="preserve">Pre-agree change-order rate ($375 or $400/hr)</x:t>
        </x:is>
      </x:c>
      <x:c r="D256" s="18" t="inlineStr">
        <x:is>
          <x:t xml:space="preserve">Inline in SOW. Avoids per-request negotiation.</x:t>
        </x:is>
      </x:c>
      <x:c r="E256" s="31" t="inlineStr">
        <x:is>
          <x:t xml:space="preserve">P0</x:t>
        </x:is>
      </x:c>
      <x:c r="F256" s="42" t="inlineStr">
        <x:is>
          <x:t xml:space="preserve">5. EXTERNAL</x:t>
        </x:is>
      </x:c>
      <x:c r="G256" s="18" t="inlineStr">
        <x:is>
          <x:t xml:space="preserve">Anand</x:t>
        </x:is>
      </x:c>
      <x:c r="H256" s="18" t="inlineStr">
        <x:is>
          <x:t xml:space="preserve"/>
        </x:is>
      </x:c>
      <x:c r="I256" s="48" t="inlineStr">
        <x:is>
          <x:t xml:space="preserve">You only</x:t>
        </x:is>
      </x:c>
      <x:c r="J256" s="52" t="inlineStr">
        <x:is>
          <x:t xml:space="preserve">$0</x:t>
        </x:is>
      </x:c>
      <x:c r="K256" s="83" t="inlineStr">
        <x:is>
          <x:t xml:space="preserve">Post-Resign</x:t>
        </x:is>
      </x:c>
      <x:c r="L256" s="44" t="inlineStr">
        <x:is>
          <x:t xml:space="preserve">Not started</x:t>
        </x:is>
      </x:c>
      <x:c r="M256" s="18" t="inlineStr">
        <x:is>
          <x:t xml:space="preserve"/>
        </x:is>
      </x:c>
    </x:row>
    <x:row r="257">
      <x:c r="A257" s="18" t="inlineStr">
        <x:is>
          <x:t xml:space="preserve">T051</x:t>
        </x:is>
      </x:c>
      <x:c r="B257" s="18" t="inlineStr">
        <x:is>
          <x:t xml:space="preserve">Pilot Ops</x:t>
        </x:is>
      </x:c>
      <x:c r="C257" s="18" t="inlineStr">
        <x:is>
          <x:t xml:space="preserve">Set up weekly 60-min standing call cadence</x:t>
        </x:is>
      </x:c>
      <x:c r="D257" s="18" t="inlineStr">
        <x:is>
          <x:t xml:space="preserve">Customer success = renewal mechanic.</x:t>
        </x:is>
      </x:c>
      <x:c r="E257" s="32" t="inlineStr">
        <x:is>
          <x:t xml:space="preserve">P1</x:t>
        </x:is>
      </x:c>
      <x:c r="F257" s="42" t="inlineStr">
        <x:is>
          <x:t xml:space="preserve">5. EXTERNAL</x:t>
        </x:is>
      </x:c>
      <x:c r="G257" s="18" t="inlineStr">
        <x:is>
          <x:t xml:space="preserve">Anand</x:t>
        </x:is>
      </x:c>
      <x:c r="H257" s="18" t="inlineStr">
        <x:is>
          <x:t xml:space="preserve"/>
        </x:is>
      </x:c>
      <x:c r="I257" s="48" t="inlineStr">
        <x:is>
          <x:t xml:space="preserve">You only</x:t>
        </x:is>
      </x:c>
      <x:c r="J257" s="52" t="inlineStr">
        <x:is>
          <x:t xml:space="preserve">$0 (founder time)</x:t>
        </x:is>
      </x:c>
      <x:c r="K257" s="83" t="inlineStr">
        <x:is>
          <x:t xml:space="preserve">Post-Resign</x:t>
        </x:is>
      </x:c>
      <x:c r="L257" s="44" t="inlineStr">
        <x:is>
          <x:t xml:space="preserve">Not started</x:t>
        </x:is>
      </x:c>
      <x:c r="M257" s="18" t="inlineStr">
        <x:is>
          <x:t xml:space="preserve"/>
        </x:is>
      </x:c>
    </x:row>
    <x:row r="258">
      <x:c r="A258" s="18" t="inlineStr">
        <x:is>
          <x:t xml:space="preserve">T052</x:t>
        </x:is>
      </x:c>
      <x:c r="B258" s="18" t="inlineStr">
        <x:is>
          <x:t xml:space="preserve">Pilot Ops</x:t>
        </x:is>
      </x:c>
      <x:c r="C258" s="18" t="inlineStr">
        <x:is>
          <x:t xml:space="preserve">Set up monthly executive readout + quarterly business review</x:t>
        </x:is>
      </x:c>
      <x:c r="D258" s="18" t="inlineStr">
        <x:is>
          <x:t xml:space="preserve">QBR is where renewal/expansion conversations happen.</x:t>
        </x:is>
      </x:c>
      <x:c r="E258" s="32" t="inlineStr">
        <x:is>
          <x:t xml:space="preserve">P1</x:t>
        </x:is>
      </x:c>
      <x:c r="F258" s="42" t="inlineStr">
        <x:is>
          <x:t xml:space="preserve">5. EXTERNAL</x:t>
        </x:is>
      </x:c>
      <x:c r="G258" s="18" t="inlineStr">
        <x:is>
          <x:t xml:space="preserve">Anand</x:t>
        </x:is>
      </x:c>
      <x:c r="H258" s="18" t="inlineStr">
        <x:is>
          <x:t xml:space="preserve"/>
        </x:is>
      </x:c>
      <x:c r="I258" s="48" t="inlineStr">
        <x:is>
          <x:t xml:space="preserve">You only</x:t>
        </x:is>
      </x:c>
      <x:c r="J258" s="52" t="inlineStr">
        <x:is>
          <x:t xml:space="preserve">$0 (founder time)</x:t>
        </x:is>
      </x:c>
      <x:c r="K258" s="83" t="inlineStr">
        <x:is>
          <x:t xml:space="preserve">Post-Resign</x:t>
        </x:is>
      </x:c>
      <x:c r="L258" s="44" t="inlineStr">
        <x:is>
          <x:t xml:space="preserve">Not started</x:t>
        </x:is>
      </x:c>
      <x:c r="M258" s="18" t="inlineStr">
        <x:is>
          <x:t xml:space="preserve"/>
        </x:is>
      </x:c>
    </x:row>
    <x:row r="259">
      <x:c r="A259" s="18" t="inlineStr">
        <x:is>
          <x:t xml:space="preserve">T149</x:t>
        </x:is>
      </x:c>
      <x:c r="B259" s="18" t="inlineStr">
        <x:is>
          <x:t xml:space="preserve">Pressure Test</x:t>
        </x:is>
      </x:c>
      <x:c r="C259" s="18" t="inlineStr">
        <x:is>
          <x:t xml:space="preserve">Define load profiles: 10 concurrent (pilot), 50 (year-1 max), 100 (stretch)</x:t>
        </x:is>
      </x:c>
      <x:c r="D259" s="18" t="inlineStr">
        <x:is>
          <x:t xml:space="preserve">Concurrent users, request rate, payload sizes per scenario. Document SLO targets.</x:t>
        </x:is>
      </x:c>
      <x:c r="E259" s="31" t="inlineStr">
        <x:is>
          <x:t xml:space="preserve">P0</x:t>
        </x:is>
      </x:c>
      <x:c r="F259" s="39" t="inlineStr">
        <x:is>
          <x:t xml:space="preserve">2. CLAUDE DOES IT</x:t>
        </x:is>
      </x:c>
      <x:c r="G259" s="18" t="inlineStr">
        <x:is>
          <x:t xml:space="preserve">Anand</x:t>
        </x:is>
      </x:c>
      <x:c r="H259" s="18" t="inlineStr">
        <x:is>
          <x:t xml:space="preserve"/>
        </x:is>
      </x:c>
      <x:c r="I259" s="45" t="inlineStr">
        <x:is>
          <x:t xml:space="preserve">Claude (docs)</x:t>
        </x:is>
      </x:c>
      <x:c r="J259" s="52" t="inlineStr">
        <x:is>
          <x:t xml:space="preserve">$0</x:t>
        </x:is>
      </x:c>
      <x:c r="K259" s="84" t="inlineStr">
        <x:is>
          <x:t xml:space="preserve">Anytime</x:t>
        </x:is>
      </x:c>
      <x:c r="L259" s="44" t="inlineStr">
        <x:is>
          <x:t xml:space="preserve">Not started</x:t>
        </x:is>
      </x:c>
      <x:c r="M259" s="18" t="inlineStr">
        <x:is>
          <x:t xml:space="preserve"/>
        </x:is>
      </x:c>
    </x:row>
    <x:row r="260">
      <x:c r="A260" s="18" t="inlineStr">
        <x:is>
          <x:t xml:space="preserve">T150</x:t>
        </x:is>
      </x:c>
      <x:c r="B260" s="18" t="inlineStr">
        <x:is>
          <x:t xml:space="preserve">Pressure Test</x:t>
        </x:is>
      </x:c>
      <x:c r="C260" s="18" t="inlineStr">
        <x:is>
          <x:t xml:space="preserve">Build load test scripts (k6 or Artillery) for top 5 user journeys</x:t>
        </x:is>
      </x:c>
      <x:c r="D260" s="18" t="inlineStr">
        <x:is>
          <x:t xml:space="preserve">Chat stream, file upload, RAG query, Move execution, dashboard load.</x:t>
        </x:is>
      </x:c>
      <x:c r="E260" s="31" t="inlineStr">
        <x:is>
          <x:t xml:space="preserve">P0</x:t>
        </x:is>
      </x:c>
      <x:c r="F260" s="39" t="inlineStr">
        <x:is>
          <x:t xml:space="preserve">2. CLAUDE DOES IT</x:t>
        </x:is>
      </x:c>
      <x:c r="G260" s="18" t="inlineStr">
        <x:is>
          <x:t xml:space="preserve">Anand</x:t>
        </x:is>
      </x:c>
      <x:c r="H260" s="18" t="inlineStr">
        <x:is>
          <x:t xml:space="preserve">T149</x:t>
        </x:is>
      </x:c>
      <x:c r="I260" s="45" t="inlineStr">
        <x:is>
          <x:t xml:space="preserve">Claude (code)</x:t>
        </x:is>
      </x:c>
      <x:c r="J260" s="52" t="inlineStr">
        <x:is>
          <x:t xml:space="preserve">$0 (k6 open-source)</x:t>
        </x:is>
      </x:c>
      <x:c r="K260" s="84" t="inlineStr">
        <x:is>
          <x:t xml:space="preserve">Anytime</x:t>
        </x:is>
      </x:c>
      <x:c r="L260" s="44" t="inlineStr">
        <x:is>
          <x:t xml:space="preserve">Not started</x:t>
        </x:is>
      </x:c>
      <x:c r="M260" s="18" t="inlineStr">
        <x:is>
          <x:t xml:space="preserve"/>
        </x:is>
      </x:c>
    </x:row>
    <x:row r="261">
      <x:c r="A261" s="18" t="inlineStr">
        <x:is>
          <x:t xml:space="preserve">T151</x:t>
        </x:is>
      </x:c>
      <x:c r="B261" s="18" t="inlineStr">
        <x:is>
          <x:t xml:space="preserve">Pressure Test</x:t>
        </x:is>
      </x:c>
      <x:c r="C261" s="18" t="inlineStr">
        <x:is>
          <x:t xml:space="preserve">Baseline: 10 concurrent user soak (1 hour) on FakeClient tenant</x:t>
        </x:is>
      </x:c>
      <x:c r="D261" s="18" t="inlineStr">
        <x:is>
          <x:t xml:space="preserve">Latency p50/p95/p99, error rate, cost per request. Establishes baseline.</x:t>
        </x:is>
      </x:c>
      <x:c r="E261" s="31" t="inlineStr">
        <x:is>
          <x:t xml:space="preserve">P0</x:t>
        </x:is>
      </x:c>
      <x:c r="F261" s="39" t="inlineStr">
        <x:is>
          <x:t xml:space="preserve">2. CLAUDE DOES IT</x:t>
        </x:is>
      </x:c>
      <x:c r="G261" s="18" t="inlineStr">
        <x:is>
          <x:t xml:space="preserve">Anand</x:t>
        </x:is>
      </x:c>
      <x:c r="H261" s="18" t="inlineStr">
        <x:is>
          <x:t xml:space="preserve">T142,T150</x:t>
        </x:is>
      </x:c>
      <x:c r="I261" s="45" t="inlineStr">
        <x:is>
          <x:t xml:space="preserve">Claude (run+analyze)</x:t>
        </x:is>
      </x:c>
      <x:c r="J261" s="52" t="inlineStr">
        <x:is>
          <x:t xml:space="preserve">$0 (credits)</x:t>
        </x:is>
      </x:c>
      <x:c r="K261" s="84" t="inlineStr">
        <x:is>
          <x:t xml:space="preserve">Anytime</x:t>
        </x:is>
      </x:c>
      <x:c r="L261" s="44" t="inlineStr">
        <x:is>
          <x:t xml:space="preserve">Not started</x:t>
        </x:is>
      </x:c>
      <x:c r="M261" s="18" t="inlineStr">
        <x:is>
          <x:t xml:space="preserve"/>
        </x:is>
      </x:c>
    </x:row>
    <x:row r="262">
      <x:c r="A262" s="18" t="inlineStr">
        <x:is>
          <x:t xml:space="preserve">T152</x:t>
        </x:is>
      </x:c>
      <x:c r="B262" s="18" t="inlineStr">
        <x:is>
          <x:t xml:space="preserve">Pressure Test</x:t>
        </x:is>
      </x:c>
      <x:c r="C262" s="18" t="inlineStr">
        <x:is>
          <x:t xml:space="preserve">Stretch test: 50 concurrent users, 24-hour soak</x:t>
        </x:is>
      </x:c>
      <x:c r="D262" s="18" t="inlineStr">
        <x:is>
          <x:t xml:space="preserve">Memory leaks, connection pool exhaustion, token cost runaway, cold start patterns.</x:t>
        </x:is>
      </x:c>
      <x:c r="E262" s="31" t="inlineStr">
        <x:is>
          <x:t xml:space="preserve">P0</x:t>
        </x:is>
      </x:c>
      <x:c r="F262" s="39" t="inlineStr">
        <x:is>
          <x:t xml:space="preserve">2. CLAUDE DOES IT</x:t>
        </x:is>
      </x:c>
      <x:c r="G262" s="18" t="inlineStr">
        <x:is>
          <x:t xml:space="preserve">Anand</x:t>
        </x:is>
      </x:c>
      <x:c r="H262" s="18" t="inlineStr">
        <x:is>
          <x:t xml:space="preserve">T151</x:t>
        </x:is>
      </x:c>
      <x:c r="I262" s="45" t="inlineStr">
        <x:is>
          <x:t xml:space="preserve">Claude (run+analyze)</x:t>
        </x:is>
      </x:c>
      <x:c r="J262" s="52" t="inlineStr">
        <x:is>
          <x:t xml:space="preserve">$0 (credits)</x:t>
        </x:is>
      </x:c>
      <x:c r="K262" s="84" t="inlineStr">
        <x:is>
          <x:t xml:space="preserve">Anytime</x:t>
        </x:is>
      </x:c>
      <x:c r="L262" s="44" t="inlineStr">
        <x:is>
          <x:t xml:space="preserve">Not started</x:t>
        </x:is>
      </x:c>
      <x:c r="M262" s="18" t="inlineStr">
        <x:is>
          <x:t xml:space="preserve"/>
        </x:is>
      </x:c>
    </x:row>
    <x:row r="263">
      <x:c r="A263" s="18" t="inlineStr">
        <x:is>
          <x:t xml:space="preserve">T153</x:t>
        </x:is>
      </x:c>
      <x:c r="B263" s="18" t="inlineStr">
        <x:is>
          <x:t xml:space="preserve">Pressure Test</x:t>
        </x:is>
      </x:c>
      <x:c r="C263" s="18" t="inlineStr">
        <x:is>
          <x:t xml:space="preserve">Concurrent LLM stream test: 10 simultaneous Claude streams with 10K-token I/O</x:t>
        </x:is>
      </x:c>
      <x:c r="D263" s="18" t="inlineStr">
        <x:is>
          <x:t xml:space="preserve">Anthropic rate limits, streaming UI back-pressure, queue behavior under load.</x:t>
        </x:is>
      </x:c>
      <x:c r="E263" s="31" t="inlineStr">
        <x:is>
          <x:t xml:space="preserve">P0</x:t>
        </x:is>
      </x:c>
      <x:c r="F263" s="39" t="inlineStr">
        <x:is>
          <x:t xml:space="preserve">2. CLAUDE DOES IT</x:t>
        </x:is>
      </x:c>
      <x:c r="G263" s="18" t="inlineStr">
        <x:is>
          <x:t xml:space="preserve">Anand</x:t>
        </x:is>
      </x:c>
      <x:c r="H263" s="18" t="inlineStr">
        <x:is>
          <x:t xml:space="preserve">T150</x:t>
        </x:is>
      </x:c>
      <x:c r="I263" s="45" t="inlineStr">
        <x:is>
          <x:t xml:space="preserve">Claude (code)</x:t>
        </x:is>
      </x:c>
      <x:c r="J263" s="52" t="inlineStr">
        <x:is>
          <x:t xml:space="preserve">$0 (consumes credits)</x:t>
        </x:is>
      </x:c>
      <x:c r="K263" s="84" t="inlineStr">
        <x:is>
          <x:t xml:space="preserve">Anytime</x:t>
        </x:is>
      </x:c>
      <x:c r="L263" s="44" t="inlineStr">
        <x:is>
          <x:t xml:space="preserve">Not started</x:t>
        </x:is>
      </x:c>
      <x:c r="M263" s="18" t="inlineStr">
        <x:is>
          <x:t xml:space="preserve"/>
        </x:is>
      </x:c>
    </x:row>
    <x:row r="264">
      <x:c r="A264" s="18" t="inlineStr">
        <x:is>
          <x:t xml:space="preserve">T154</x:t>
        </x:is>
      </x:c>
      <x:c r="B264" s="18" t="inlineStr">
        <x:is>
          <x:t xml:space="preserve">Pressure Test</x:t>
        </x:is>
      </x:c>
      <x:c r="C264" s="18" t="inlineStr">
        <x:is>
          <x:t xml:space="preserve">Concurrent file upload test: 50 PDF/docx files in parallel</x:t>
        </x:is>
      </x:c>
      <x:c r="D264" s="18" t="inlineStr">
        <x:is>
          <x:t xml:space="preserve">Ingestion pipeline back-pressure, blob storage limits, embedding queue depth.</x:t>
        </x:is>
      </x:c>
      <x:c r="E264" s="31" t="inlineStr">
        <x:is>
          <x:t xml:space="preserve">P0</x:t>
        </x:is>
      </x:c>
      <x:c r="F264" s="39" t="inlineStr">
        <x:is>
          <x:t xml:space="preserve">2. CLAUDE DOES IT</x:t>
        </x:is>
      </x:c>
      <x:c r="G264" s="18" t="inlineStr">
        <x:is>
          <x:t xml:space="preserve">Anand</x:t>
        </x:is>
      </x:c>
      <x:c r="H264" s="18" t="inlineStr">
        <x:is>
          <x:t xml:space="preserve">T150</x:t>
        </x:is>
      </x:c>
      <x:c r="I264" s="45" t="inlineStr">
        <x:is>
          <x:t xml:space="preserve">Claude (code)</x:t>
        </x:is>
      </x:c>
      <x:c r="J264" s="52" t="inlineStr">
        <x:is>
          <x:t xml:space="preserve">$0</x:t>
        </x:is>
      </x:c>
      <x:c r="K264" s="84" t="inlineStr">
        <x:is>
          <x:t xml:space="preserve">Anytime</x:t>
        </x:is>
      </x:c>
      <x:c r="L264" s="44" t="inlineStr">
        <x:is>
          <x:t xml:space="preserve">Not started</x:t>
        </x:is>
      </x:c>
      <x:c r="M264" s="18" t="inlineStr">
        <x:is>
          <x:t xml:space="preserve"/>
        </x:is>
      </x:c>
    </x:row>
    <x:row r="265">
      <x:c r="A265" s="18" t="inlineStr">
        <x:is>
          <x:t xml:space="preserve">T155</x:t>
        </x:is>
      </x:c>
      <x:c r="B265" s="18" t="inlineStr">
        <x:is>
          <x:t xml:space="preserve">Pressure Test</x:t>
        </x:is>
      </x:c>
      <x:c r="C265" s="18" t="inlineStr">
        <x:is>
          <x:t xml:space="preserve">DB connection pool sizing + pgbouncer config</x:t>
        </x:is>
      </x:c>
      <x:c r="D265" s="18" t="inlineStr">
        <x:is>
          <x:t xml:space="preserve">At 50 users with reads/writes, naive pooling can exhaust. Test, tune.</x:t>
        </x:is>
      </x:c>
      <x:c r="E265" s="31" t="inlineStr">
        <x:is>
          <x:t xml:space="preserve">P0</x:t>
        </x:is>
      </x:c>
      <x:c r="F265" s="39" t="inlineStr">
        <x:is>
          <x:t xml:space="preserve">2. CLAUDE DOES IT</x:t>
        </x:is>
      </x:c>
      <x:c r="G265" s="18" t="inlineStr">
        <x:is>
          <x:t xml:space="preserve">Anand</x:t>
        </x:is>
      </x:c>
      <x:c r="H265" s="18" t="inlineStr">
        <x:is>
          <x:t xml:space="preserve">T152</x:t>
        </x:is>
      </x:c>
      <x:c r="I265" s="45" t="inlineStr">
        <x:is>
          <x:t xml:space="preserve">Claude (config)</x:t>
        </x:is>
      </x:c>
      <x:c r="J265" s="52" t="inlineStr">
        <x:is>
          <x:t xml:space="preserve">$0 (Azure native)</x:t>
        </x:is>
      </x:c>
      <x:c r="K265" s="84" t="inlineStr">
        <x:is>
          <x:t xml:space="preserve">Anytime</x:t>
        </x:is>
      </x:c>
      <x:c r="L265" s="44" t="inlineStr">
        <x:is>
          <x:t xml:space="preserve">Not started</x:t>
        </x:is>
      </x:c>
      <x:c r="M265" s="18" t="inlineStr">
        <x:is>
          <x:t xml:space="preserve"/>
        </x:is>
      </x:c>
    </x:row>
    <x:row r="266">
      <x:c r="A266" s="18" t="inlineStr">
        <x:is>
          <x:t xml:space="preserve">T157</x:t>
        </x:is>
      </x:c>
      <x:c r="B266" s="18" t="inlineStr">
        <x:is>
          <x:t xml:space="preserve">Pressure Test</x:t>
        </x:is>
      </x:c>
      <x:c r="C266" s="18" t="inlineStr">
        <x:is>
          <x:t xml:space="preserve">Token cost runaway test — single user generating 1M tokens in 1h</x:t>
        </x:is>
      </x:c>
      <x:c r="D266" s="18" t="inlineStr">
        <x:is>
          <x:t xml:space="preserve">Validates meter + hard cap + alerting. Critical for COGS protection.</x:t>
        </x:is>
      </x:c>
      <x:c r="E266" s="31" t="inlineStr">
        <x:is>
          <x:t xml:space="preserve">P0</x:t>
        </x:is>
      </x:c>
      <x:c r="F266" s="39" t="inlineStr">
        <x:is>
          <x:t xml:space="preserve">2. CLAUDE DOES IT</x:t>
        </x:is>
      </x:c>
      <x:c r="G266" s="18" t="inlineStr">
        <x:is>
          <x:t xml:space="preserve">Anand</x:t>
        </x:is>
      </x:c>
      <x:c r="H266" s="18" t="inlineStr">
        <x:is>
          <x:t xml:space="preserve">T033</x:t>
        </x:is>
      </x:c>
      <x:c r="I266" s="45" t="inlineStr">
        <x:is>
          <x:t xml:space="preserve">Claude (code)</x:t>
        </x:is>
      </x:c>
      <x:c r="J266" s="52" t="inlineStr">
        <x:is>
          <x:t xml:space="preserve">$0 (consumes credits)</x:t>
        </x:is>
      </x:c>
      <x:c r="K266" s="84" t="inlineStr">
        <x:is>
          <x:t xml:space="preserve">Anytime</x:t>
        </x:is>
      </x:c>
      <x:c r="L266" s="44" t="inlineStr">
        <x:is>
          <x:t xml:space="preserve">Not started</x:t>
        </x:is>
      </x:c>
      <x:c r="M266" s="18" t="inlineStr">
        <x:is>
          <x:t xml:space="preserve"/>
        </x:is>
      </x:c>
    </x:row>
    <x:row r="267">
      <x:c r="A267" s="18" t="inlineStr">
        <x:is>
          <x:t xml:space="preserve">T159</x:t>
        </x:is>
      </x:c>
      <x:c r="B267" s="18" t="inlineStr">
        <x:is>
          <x:t xml:space="preserve">Pressure Test</x:t>
        </x:is>
      </x:c>
      <x:c r="C267" s="18" t="inlineStr">
        <x:is>
          <x:t xml:space="preserve">Document SLO/SLA based on observed perf (not guess)</x:t>
        </x:is>
      </x:c>
      <x:c r="D267" s="18" t="inlineStr">
        <x:is>
          <x:t xml:space="preserve">Latency budgets per endpoint, uptime targets, capacity headroom. Feeds into MSA SLA clause.</x:t>
        </x:is>
      </x:c>
      <x:c r="E267" s="31" t="inlineStr">
        <x:is>
          <x:t xml:space="preserve">P0</x:t>
        </x:is>
      </x:c>
      <x:c r="F267" s="39" t="inlineStr">
        <x:is>
          <x:t xml:space="preserve">2. CLAUDE DOES IT</x:t>
        </x:is>
      </x:c>
      <x:c r="G267" s="18" t="inlineStr">
        <x:is>
          <x:t xml:space="preserve">Anand</x:t>
        </x:is>
      </x:c>
      <x:c r="H267" s="18" t="inlineStr">
        <x:is>
          <x:t xml:space="preserve">T152</x:t>
        </x:is>
      </x:c>
      <x:c r="I267" s="45" t="inlineStr">
        <x:is>
          <x:t xml:space="preserve">Claude (docs)</x:t>
        </x:is>
      </x:c>
      <x:c r="J267" s="52" t="inlineStr">
        <x:is>
          <x:t xml:space="preserve">$0</x:t>
        </x:is>
      </x:c>
      <x:c r="K267" s="84" t="inlineStr">
        <x:is>
          <x:t xml:space="preserve">Anytime</x:t>
        </x:is>
      </x:c>
      <x:c r="L267" s="44" t="inlineStr">
        <x:is>
          <x:t xml:space="preserve">Not started</x:t>
        </x:is>
      </x:c>
      <x:c r="M267" s="18" t="inlineStr">
        <x:is>
          <x:t xml:space="preserve"/>
        </x:is>
      </x:c>
    </x:row>
    <x:row r="268">
      <x:c r="A268" s="18" t="inlineStr">
        <x:is>
          <x:t xml:space="preserve">T156</x:t>
        </x:is>
      </x:c>
      <x:c r="B268" s="18" t="inlineStr">
        <x:is>
          <x:t xml:space="preserve">Pressure Test</x:t>
        </x:is>
      </x:c>
      <x:c r="C268" s="18" t="inlineStr">
        <x:is>
          <x:t xml:space="preserve">Cold-start measurement across all Vercel + Azure Functions</x:t>
        </x:is>
      </x:c>
      <x:c r="D268" s="18" t="inlineStr">
        <x:is>
          <x:t xml:space="preserve">First-request latency from cold. Identify which routes need warm-up pings.</x:t>
        </x:is>
      </x:c>
      <x:c r="E268" s="32" t="inlineStr">
        <x:is>
          <x:t xml:space="preserve">P1</x:t>
        </x:is>
      </x:c>
      <x:c r="F268" s="39" t="inlineStr">
        <x:is>
          <x:t xml:space="preserve">2. CLAUDE DOES IT</x:t>
        </x:is>
      </x:c>
      <x:c r="G268" s="18" t="inlineStr">
        <x:is>
          <x:t xml:space="preserve">Anand</x:t>
        </x:is>
      </x:c>
      <x:c r="H268" s="18" t="inlineStr">
        <x:is>
          <x:t xml:space="preserve">T151</x:t>
        </x:is>
      </x:c>
      <x:c r="I268" s="45" t="inlineStr">
        <x:is>
          <x:t xml:space="preserve">Claude (script)</x:t>
        </x:is>
      </x:c>
      <x:c r="J268" s="52" t="inlineStr">
        <x:is>
          <x:t xml:space="preserve">$0</x:t>
        </x:is>
      </x:c>
      <x:c r="K268" s="84" t="inlineStr">
        <x:is>
          <x:t xml:space="preserve">Anytime</x:t>
        </x:is>
      </x:c>
      <x:c r="L268" s="44" t="inlineStr">
        <x:is>
          <x:t xml:space="preserve">Not started</x:t>
        </x:is>
      </x:c>
      <x:c r="M268" s="18" t="inlineStr">
        <x:is>
          <x:t xml:space="preserve"/>
        </x:is>
      </x:c>
    </x:row>
    <x:row r="269">
      <x:c r="A269" s="18" t="inlineStr">
        <x:is>
          <x:t xml:space="preserve">T158</x:t>
        </x:is>
      </x:c>
      <x:c r="B269" s="18" t="inlineStr">
        <x:is>
          <x:t xml:space="preserve">Pressure Test</x:t>
        </x:is>
      </x:c>
      <x:c r="C269" s="18" t="inlineStr">
        <x:is>
          <x:t xml:space="preserve">Profile + optimize top 3 hot paths identified in load tests</x:t>
        </x:is>
      </x:c>
      <x:c r="D269" s="18" t="inlineStr">
        <x:is>
          <x:t xml:space="preserve">Whatever the load tests surface — N+1 queries, missing indexes, sync ops that should be async.</x:t>
        </x:is>
      </x:c>
      <x:c r="E269" s="32" t="inlineStr">
        <x:is>
          <x:t xml:space="preserve">P1</x:t>
        </x:is>
      </x:c>
      <x:c r="F269" s="39" t="inlineStr">
        <x:is>
          <x:t xml:space="preserve">2. CLAUDE DOES IT</x:t>
        </x:is>
      </x:c>
      <x:c r="G269" s="18" t="inlineStr">
        <x:is>
          <x:t xml:space="preserve">Anand</x:t>
        </x:is>
      </x:c>
      <x:c r="H269" s="18" t="inlineStr">
        <x:is>
          <x:t xml:space="preserve">T152</x:t>
        </x:is>
      </x:c>
      <x:c r="I269" s="45" t="inlineStr">
        <x:is>
          <x:t xml:space="preserve">Claude (code)</x:t>
        </x:is>
      </x:c>
      <x:c r="J269" s="52" t="inlineStr">
        <x:is>
          <x:t xml:space="preserve">$0 (founder time)</x:t>
        </x:is>
      </x:c>
      <x:c r="K269" s="84" t="inlineStr">
        <x:is>
          <x:t xml:space="preserve">Anytime</x:t>
        </x:is>
      </x:c>
      <x:c r="L269" s="44" t="inlineStr">
        <x:is>
          <x:t xml:space="preserve">Not started</x:t>
        </x:is>
      </x:c>
      <x:c r="M269" s="18" t="inlineStr">
        <x:is>
          <x:t xml:space="preserve"/>
        </x:is>
      </x:c>
    </x:row>
    <x:row r="270">
      <x:c r="A270" s="18" t="inlineStr">
        <x:is>
          <x:t xml:space="preserve">T160</x:t>
        </x:is>
      </x:c>
      <x:c r="B270" s="18" t="inlineStr">
        <x:is>
          <x:t xml:space="preserve">Pressure Test</x:t>
        </x:is>
      </x:c>
      <x:c r="C270" s="18" t="inlineStr">
        <x:is>
          <x:t xml:space="preserve">Re-run load tests after each major release (CI gate)</x:t>
        </x:is>
      </x:c>
      <x:c r="D270" s="18" t="inlineStr">
        <x:is>
          <x:t xml:space="preserve">Performance regression detection in CI. Lighthouse CI handles UI; backend needs separate gate.</x:t>
        </x:is>
      </x:c>
      <x:c r="E270" s="32" t="inlineStr">
        <x:is>
          <x:t xml:space="preserve">P1</x:t>
        </x:is>
      </x:c>
      <x:c r="F270" s="39" t="inlineStr">
        <x:is>
          <x:t xml:space="preserve">2. CLAUDE DOES IT</x:t>
        </x:is>
      </x:c>
      <x:c r="G270" s="18" t="inlineStr">
        <x:is>
          <x:t xml:space="preserve">Anand</x:t>
        </x:is>
      </x:c>
      <x:c r="H270" s="18" t="inlineStr">
        <x:is>
          <x:t xml:space="preserve">T150</x:t>
        </x:is>
      </x:c>
      <x:c r="I270" s="45" t="inlineStr">
        <x:is>
          <x:t xml:space="preserve">Claude (workflow)</x:t>
        </x:is>
      </x:c>
      <x:c r="J270" s="52" t="inlineStr">
        <x:is>
          <x:t xml:space="preserve">$0</x:t>
        </x:is>
      </x:c>
      <x:c r="K270" s="84" t="inlineStr">
        <x:is>
          <x:t xml:space="preserve">Anytime</x:t>
        </x:is>
      </x:c>
      <x:c r="L270" s="44" t="inlineStr">
        <x:is>
          <x:t xml:space="preserve">Not started</x:t>
        </x:is>
      </x:c>
      <x:c r="M270" s="18" t="inlineStr">
        <x:is>
          <x:t xml:space="preserve"/>
        </x:is>
      </x:c>
    </x:row>
    <x:row r="271">
      <x:c r="A271" s="18" t="inlineStr">
        <x:is>
          <x:t xml:space="preserve">T064</x:t>
        </x:is>
      </x:c>
      <x:c r="B271" s="18" t="inlineStr">
        <x:is>
          <x:t xml:space="preserve">Sales</x:t>
        </x:is>
      </x:c>
      <x:c r="C271" s="18" t="inlineStr">
        <x:is>
          <x:t xml:space="preserve">Write pilot one-pager (problem, what they get, fee, success criteria)</x:t>
        </x:is>
      </x:c>
      <x:c r="D271" s="18" t="inlineStr">
        <x:is>
          <x:t xml:space="preserve">Sales asset for first conversation.</x:t>
        </x:is>
      </x:c>
      <x:c r="E271" s="31" t="inlineStr">
        <x:is>
          <x:t xml:space="preserve">P0</x:t>
        </x:is>
      </x:c>
      <x:c r="F271" s="39" t="inlineStr">
        <x:is>
          <x:t xml:space="preserve">2. CLAUDE DOES IT</x:t>
        </x:is>
      </x:c>
      <x:c r="G271" s="18" t="inlineStr">
        <x:is>
          <x:t xml:space="preserve">Anand</x:t>
        </x:is>
      </x:c>
      <x:c r="H271" s="18" t="inlineStr">
        <x:is>
          <x:t xml:space="preserve"/>
        </x:is>
      </x:c>
      <x:c r="I271" s="45" t="inlineStr">
        <x:is>
          <x:t xml:space="preserve">Claude (draft)</x:t>
        </x:is>
      </x:c>
      <x:c r="J271" s="52" t="inlineStr">
        <x:is>
          <x:t xml:space="preserve">$0</x:t>
        </x:is>
      </x:c>
      <x:c r="K271" s="82" t="inlineStr">
        <x:is>
          <x:t xml:space="preserve">Pre-Resign</x:t>
        </x:is>
      </x:c>
      <x:c r="L271" s="44" t="inlineStr">
        <x:is>
          <x:t xml:space="preserve">Not started</x:t>
        </x:is>
      </x:c>
      <x:c r="M271" s="18" t="inlineStr">
        <x:is>
          <x:t xml:space="preserve"/>
        </x:is>
      </x:c>
    </x:row>
    <x:row r="272">
      <x:c r="A272" s="18" t="inlineStr">
        <x:is>
          <x:t xml:space="preserve">T253</x:t>
        </x:is>
      </x:c>
      <x:c r="B272" s="18" t="inlineStr">
        <x:is>
          <x:t xml:space="preserve">Sales</x:t>
        </x:is>
      </x:c>
      <x:c r="C272" s="18" t="inlineStr">
        <x:is>
          <x:t xml:space="preserve">Identify 2-3 healthcare-specific value levers SPECIFIC to PHS data environment</x:t>
        </x:is>
      </x:c>
      <x:c r="D272" s="18" t="inlineStr">
        <x:is>
          <x:t xml:space="preserve">Denials? Revenue cycle DSO? Length of stay? Supply chain? Workforce? Pre-pitch research.</x:t>
        </x:is>
      </x:c>
      <x:c r="E272" s="31" t="inlineStr">
        <x:is>
          <x:t xml:space="preserve">P0</x:t>
        </x:is>
      </x:c>
      <x:c r="F272" s="39" t="inlineStr">
        <x:is>
          <x:t xml:space="preserve">2. CLAUDE DOES IT</x:t>
        </x:is>
      </x:c>
      <x:c r="G272" s="18" t="inlineStr">
        <x:is>
          <x:t xml:space="preserve">Anand</x:t>
        </x:is>
      </x:c>
      <x:c r="H272" s="18" t="inlineStr">
        <x:is>
          <x:t xml:space="preserve"/>
        </x:is>
      </x:c>
      <x:c r="I272" s="45" t="inlineStr">
        <x:is>
          <x:t xml:space="preserve">Claude (research) + you</x:t>
        </x:is>
      </x:c>
      <x:c r="J272" s="52" t="inlineStr">
        <x:is>
          <x:t xml:space="preserve">$0</x:t>
        </x:is>
      </x:c>
      <x:c r="K272" s="82" t="inlineStr">
        <x:is>
          <x:t xml:space="preserve">Pre-Resign</x:t>
        </x:is>
      </x:c>
      <x:c r="L272" s="44" t="inlineStr">
        <x:is>
          <x:t xml:space="preserve">Not started</x:t>
        </x:is>
      </x:c>
      <x:c r="M272" s="18" t="inlineStr">
        <x:is>
          <x:t xml:space="preserve"/>
        </x:is>
      </x:c>
    </x:row>
    <x:row r="273">
      <x:c r="A273" s="18" t="inlineStr">
        <x:is>
          <x:t xml:space="preserve">T256</x:t>
        </x:is>
      </x:c>
      <x:c r="B273" s="18" t="inlineStr">
        <x:is>
          <x:t xml:space="preserve">Sales</x:t>
        </x:is>
      </x:c>
      <x:c r="C273" s="18" t="inlineStr">
        <x:is>
          <x:t xml:space="preserve">Pre-pitch: write the CXO justification memo from THEIR perspective</x:t>
        </x:is>
      </x:c>
      <x:c r="D273" s="18" t="inlineStr">
        <x:is>
          <x:t xml:space="preserve">Customize the narrative section for CDAO of PHS. Their voice. Their KPIs. Their CFO. They should feel 'this is what I would write'.</x:t>
        </x:is>
      </x:c>
      <x:c r="E273" s="31" t="inlineStr">
        <x:is>
          <x:t xml:space="preserve">P0</x:t>
        </x:is>
      </x:c>
      <x:c r="F273" s="39" t="inlineStr">
        <x:is>
          <x:t xml:space="preserve">2. CLAUDE DOES IT</x:t>
        </x:is>
      </x:c>
      <x:c r="G273" s="18" t="inlineStr">
        <x:is>
          <x:t xml:space="preserve">Anand</x:t>
        </x:is>
      </x:c>
      <x:c r="H273" s="18" t="inlineStr">
        <x:is>
          <x:t xml:space="preserve"/>
        </x:is>
      </x:c>
      <x:c r="I273" s="45" t="inlineStr">
        <x:is>
          <x:t xml:space="preserve">Claude (draft) + you</x:t>
        </x:is>
      </x:c>
      <x:c r="J273" s="52" t="inlineStr">
        <x:is>
          <x:t xml:space="preserve">$0</x:t>
        </x:is>
      </x:c>
      <x:c r="K273" s="83" t="inlineStr">
        <x:is>
          <x:t xml:space="preserve">Post-Resign</x:t>
        </x:is>
      </x:c>
      <x:c r="L273" s="44" t="inlineStr">
        <x:is>
          <x:t xml:space="preserve">Not started</x:t>
        </x:is>
      </x:c>
      <x:c r="M273" s="18" t="inlineStr">
        <x:is>
          <x:t xml:space="preserve"/>
        </x:is>
      </x:c>
    </x:row>
    <x:row r="274">
      <x:c r="A274" s="18" t="inlineStr">
        <x:is>
          <x:t xml:space="preserve">T257</x:t>
        </x:is>
      </x:c>
      <x:c r="B274" s="18" t="inlineStr">
        <x:is>
          <x:t xml:space="preserve">Sales</x:t>
        </x:is>
      </x:c>
      <x:c r="C274" s="18" t="inlineStr">
        <x:is>
          <x:t xml:space="preserve">Pitch deck: 8-12 slides max, anchored on business case, not product features</x:t>
        </x:is>
      </x:c>
      <x:c r="D274" s="18" t="inlineStr">
        <x:is>
          <x:t xml:space="preserve">Story: Their pain → Identified value ($X) → AbarVa enables ($Y) → Pilot proves it (3 Moves, $5M pipeline) → Year-1 captures it ($10M).</x:t>
        </x:is>
      </x:c>
      <x:c r="E274" s="31" t="inlineStr">
        <x:is>
          <x:t xml:space="preserve">P0</x:t>
        </x:is>
      </x:c>
      <x:c r="F274" s="39" t="inlineStr">
        <x:is>
          <x:t xml:space="preserve">2. CLAUDE DOES IT</x:t>
        </x:is>
      </x:c>
      <x:c r="G274" s="18" t="inlineStr">
        <x:is>
          <x:t xml:space="preserve">Anand</x:t>
        </x:is>
      </x:c>
      <x:c r="H274" s="18" t="inlineStr">
        <x:is>
          <x:t xml:space="preserve"/>
        </x:is>
      </x:c>
      <x:c r="I274" s="45" t="inlineStr">
        <x:is>
          <x:t xml:space="preserve">Claude (draft) + you</x:t>
        </x:is>
      </x:c>
      <x:c r="J274" s="52" t="inlineStr">
        <x:is>
          <x:t xml:space="preserve">$0</x:t>
        </x:is>
      </x:c>
      <x:c r="K274" s="83" t="inlineStr">
        <x:is>
          <x:t xml:space="preserve">Post-Resign</x:t>
        </x:is>
      </x:c>
      <x:c r="L274" s="44" t="inlineStr">
        <x:is>
          <x:t xml:space="preserve">Not started</x:t>
        </x:is>
      </x:c>
      <x:c r="M274" s="18" t="inlineStr">
        <x:is>
          <x:t xml:space="preserve"/>
        </x:is>
      </x:c>
    </x:row>
    <x:row r="275">
      <x:c r="A275" s="18" t="inlineStr">
        <x:is>
          <x:t xml:space="preserve">T260</x:t>
        </x:is>
      </x:c>
      <x:c r="B275" s="18" t="inlineStr">
        <x:is>
          <x:t xml:space="preserve">Sales</x:t>
        </x:is>
      </x:c>
      <x:c r="C275" s="18" t="inlineStr">
        <x:is>
          <x:t xml:space="preserve">PHS: research 10-K + recent press for revenue, payer mix, AMS deal context</x:t>
        </x:is>
      </x:c>
      <x:c r="D275" s="18" t="inlineStr">
        <x:is>
          <x:t xml:space="preserve">Concrete numbers BEFORE pitch. Generic signals consultant; specific signals you understood them.</x:t>
        </x:is>
      </x:c>
      <x:c r="E275" s="31" t="inlineStr">
        <x:is>
          <x:t xml:space="preserve">P0</x:t>
        </x:is>
      </x:c>
      <x:c r="F275" s="39" t="inlineStr">
        <x:is>
          <x:t xml:space="preserve">2. CLAUDE DOES IT</x:t>
        </x:is>
      </x:c>
      <x:c r="G275" s="18" t="inlineStr">
        <x:is>
          <x:t xml:space="preserve">Anand</x:t>
        </x:is>
      </x:c>
      <x:c r="H275" s="18" t="inlineStr">
        <x:is>
          <x:t xml:space="preserve"/>
        </x:is>
      </x:c>
      <x:c r="I275" s="45" t="inlineStr">
        <x:is>
          <x:t xml:space="preserve">Claude (research)</x:t>
        </x:is>
      </x:c>
      <x:c r="J275" s="52" t="inlineStr">
        <x:is>
          <x:t xml:space="preserve">$0</x:t>
        </x:is>
      </x:c>
      <x:c r="K275" s="83" t="inlineStr">
        <x:is>
          <x:t xml:space="preserve">Post-Resign</x:t>
        </x:is>
      </x:c>
      <x:c r="L275" s="44" t="inlineStr">
        <x:is>
          <x:t xml:space="preserve">Not started</x:t>
        </x:is>
      </x:c>
      <x:c r="M275" s="18" t="inlineStr">
        <x:is>
          <x:t xml:space="preserve"/>
        </x:is>
      </x:c>
    </x:row>
    <x:row r="276">
      <x:c r="A276" s="18" t="inlineStr">
        <x:is>
          <x:t xml:space="preserve">T261</x:t>
        </x:is>
      </x:c>
      <x:c r="B276" s="18" t="inlineStr">
        <x:is>
          <x:t xml:space="preserve">Sales</x:t>
        </x:is>
      </x:c>
      <x:c r="C276" s="18" t="inlineStr">
        <x:is>
          <x:t xml:space="preserve">PHS: identify Azure+Databricks partner + position AbarVa as workflow layer ABOVE them</x:t>
        </x:is>
      </x:c>
      <x:c r="D276" s="18" t="inlineStr">
        <x:is>
          <x:t xml:space="preserve">MS Consulting? Accenture? KPMG? Don't compete — complement.</x:t>
        </x:is>
      </x:c>
      <x:c r="E276" s="31" t="inlineStr">
        <x:is>
          <x:t xml:space="preserve">P0</x:t>
        </x:is>
      </x:c>
      <x:c r="F276" s="39" t="inlineStr">
        <x:is>
          <x:t xml:space="preserve">2. CLAUDE DOES IT</x:t>
        </x:is>
      </x:c>
      <x:c r="G276" s="18" t="inlineStr">
        <x:is>
          <x:t xml:space="preserve">Anand</x:t>
        </x:is>
      </x:c>
      <x:c r="H276" s="18" t="inlineStr">
        <x:is>
          <x:t xml:space="preserve"/>
        </x:is>
      </x:c>
      <x:c r="I276" s="45" t="inlineStr">
        <x:is>
          <x:t xml:space="preserve">Claude (research) + you</x:t>
        </x:is>
      </x:c>
      <x:c r="J276" s="52" t="inlineStr">
        <x:is>
          <x:t xml:space="preserve">$0</x:t>
        </x:is>
      </x:c>
      <x:c r="K276" s="82" t="inlineStr">
        <x:is>
          <x:t xml:space="preserve">Pre-Resign</x:t>
        </x:is>
      </x:c>
      <x:c r="L276" s="44" t="inlineStr">
        <x:is>
          <x:t xml:space="preserve">Not started</x:t>
        </x:is>
      </x:c>
      <x:c r="M276" s="18" t="inlineStr">
        <x:is>
          <x:t xml:space="preserve"/>
        </x:is>
      </x:c>
    </x:row>
    <x:row r="277">
      <x:c r="A277" s="18" t="inlineStr">
        <x:is>
          <x:t xml:space="preserve">T263</x:t>
        </x:is>
      </x:c>
      <x:c r="B277" s="18" t="inlineStr">
        <x:is>
          <x:t xml:space="preserve">Sales</x:t>
        </x:is>
      </x:c>
      <x:c r="C277" s="18" t="inlineStr">
        <x:is>
          <x:t xml:space="preserve">PHS: draft 'AI strategy in 90 days' headline narrative (not feature pitch)</x:t>
        </x:is>
      </x:c>
      <x:c r="D277" s="18" t="inlineStr">
        <x:is>
          <x:t xml:space="preserve">#1 board pressure for CDAO. Lead with it. AbarVa = OS for their nascent AI strategy.</x:t>
        </x:is>
      </x:c>
      <x:c r="E277" s="31" t="inlineStr">
        <x:is>
          <x:t xml:space="preserve">P0</x:t>
        </x:is>
      </x:c>
      <x:c r="F277" s="39" t="inlineStr">
        <x:is>
          <x:t xml:space="preserve">2. CLAUDE DOES IT</x:t>
        </x:is>
      </x:c>
      <x:c r="G277" s="18" t="inlineStr">
        <x:is>
          <x:t xml:space="preserve">Anand</x:t>
        </x:is>
      </x:c>
      <x:c r="H277" s="18" t="inlineStr">
        <x:is>
          <x:t xml:space="preserve"/>
        </x:is>
      </x:c>
      <x:c r="I277" s="45" t="inlineStr">
        <x:is>
          <x:t xml:space="preserve">Claude (draft) + you</x:t>
        </x:is>
      </x:c>
      <x:c r="J277" s="52" t="inlineStr">
        <x:is>
          <x:t xml:space="preserve">$0</x:t>
        </x:is>
      </x:c>
      <x:c r="K277" s="83" t="inlineStr">
        <x:is>
          <x:t xml:space="preserve">Post-Resign</x:t>
        </x:is>
      </x:c>
      <x:c r="L277" s="44" t="inlineStr">
        <x:is>
          <x:t xml:space="preserve">Not started</x:t>
        </x:is>
      </x:c>
      <x:c r="M277" s="18" t="inlineStr">
        <x:is>
          <x:t xml:space="preserve"/>
        </x:is>
      </x:c>
    </x:row>
    <x:row r="278">
      <x:c r="A278" s="18" t="inlineStr">
        <x:is>
          <x:t xml:space="preserve">T265</x:t>
        </x:is>
      </x:c>
      <x:c r="B278" s="18" t="inlineStr">
        <x:is>
          <x:t xml:space="preserve">Sales</x:t>
        </x:is>
      </x:c>
      <x:c r="C278" s="18" t="inlineStr">
        <x:is>
          <x:t xml:space="preserve">Delta: map data/AI leadership in org — CDO/CDAO/CAIO/Head of Data?</x:t>
        </x:is>
      </x:c>
      <x:c r="D278" s="18" t="inlineStr">
        <x:is>
          <x:t xml:space="preserve">Pre-call research. LinkedIn + press. Find AI leader path BEFORE CTO call.</x:t>
        </x:is>
      </x:c>
      <x:c r="E278" s="31" t="inlineStr">
        <x:is>
          <x:t xml:space="preserve">P0</x:t>
        </x:is>
      </x:c>
      <x:c r="F278" s="39" t="inlineStr">
        <x:is>
          <x:t xml:space="preserve">2. CLAUDE DOES IT</x:t>
        </x:is>
      </x:c>
      <x:c r="G278" s="18" t="inlineStr">
        <x:is>
          <x:t xml:space="preserve">Anand</x:t>
        </x:is>
      </x:c>
      <x:c r="H278" s="18" t="inlineStr">
        <x:is>
          <x:t xml:space="preserve"/>
        </x:is>
      </x:c>
      <x:c r="I278" s="45" t="inlineStr">
        <x:is>
          <x:t xml:space="preserve">Claude (research)</x:t>
        </x:is>
      </x:c>
      <x:c r="J278" s="52" t="inlineStr">
        <x:is>
          <x:t xml:space="preserve">$0</x:t>
        </x:is>
      </x:c>
      <x:c r="K278" s="82" t="inlineStr">
        <x:is>
          <x:t xml:space="preserve">Pre-Resign</x:t>
        </x:is>
      </x:c>
      <x:c r="L278" s="44" t="inlineStr">
        <x:is>
          <x:t xml:space="preserve">Not started</x:t>
        </x:is>
      </x:c>
      <x:c r="M278" s="18" t="inlineStr">
        <x:is>
          <x:t xml:space="preserve"/>
        </x:is>
      </x:c>
    </x:row>
    <x:row r="279">
      <x:c r="A279" s="18" t="inlineStr">
        <x:is>
          <x:t xml:space="preserve">T266</x:t>
        </x:is>
      </x:c>
      <x:c r="B279" s="18" t="inlineStr">
        <x:is>
          <x:t xml:space="preserve">Sales</x:t>
        </x:is>
      </x:c>
      <x:c r="C279" s="18" t="inlineStr">
        <x:is>
          <x:t xml:space="preserve">Delta: reposition AbarVa as 'modernization program OS' for CTO pitch (NOT AI workflow)</x:t>
        </x:is>
      </x:c>
      <x:c r="D279" s="18" t="inlineStr">
        <x:is>
          <x:t xml:space="preserve">Lead with program execution. AI = enabling tech. See BC - Delta tab Play 1.</x:t>
        </x:is>
      </x:c>
      <x:c r="E279" s="31" t="inlineStr">
        <x:is>
          <x:t xml:space="preserve">P0</x:t>
        </x:is>
      </x:c>
      <x:c r="F279" s="39" t="inlineStr">
        <x:is>
          <x:t xml:space="preserve">2. CLAUDE DOES IT</x:t>
        </x:is>
      </x:c>
      <x:c r="G279" s="18" t="inlineStr">
        <x:is>
          <x:t xml:space="preserve">Anand</x:t>
        </x:is>
      </x:c>
      <x:c r="H279" s="18" t="inlineStr">
        <x:is>
          <x:t xml:space="preserve"/>
        </x:is>
      </x:c>
      <x:c r="I279" s="45" t="inlineStr">
        <x:is>
          <x:t xml:space="preserve">Claude (deck) + you</x:t>
        </x:is>
      </x:c>
      <x:c r="J279" s="52" t="inlineStr">
        <x:is>
          <x:t xml:space="preserve">$0</x:t>
        </x:is>
      </x:c>
      <x:c r="K279" s="83" t="inlineStr">
        <x:is>
          <x:t xml:space="preserve">Post-Resign</x:t>
        </x:is>
      </x:c>
      <x:c r="L279" s="44" t="inlineStr">
        <x:is>
          <x:t xml:space="preserve">Not started</x:t>
        </x:is>
      </x:c>
      <x:c r="M279" s="18" t="inlineStr">
        <x:is>
          <x:t xml:space="preserve"/>
        </x:is>
      </x:c>
    </x:row>
    <x:row r="280">
      <x:c r="A280" s="18" t="inlineStr">
        <x:is>
          <x:t xml:space="preserve">T267</x:t>
        </x:is>
      </x:c>
      <x:c r="B280" s="18" t="inlineStr">
        <x:is>
          <x:t xml:space="preserve">Sales</x:t>
        </x:is>
      </x:c>
      <x:c r="C280" s="18" t="inlineStr">
        <x:is>
          <x:t xml:space="preserve">Delta: design stretch-lane pilot SOW (Lane A: CTO modernization; Lane B: AI on-ramp)</x:t>
        </x:is>
      </x:c>
      <x:c r="D280" s="18" t="inlineStr">
        <x:is>
          <x:t xml:space="preserve">Two-track lets you sell to CTO today, scale to AI leader when they join.</x:t>
        </x:is>
      </x:c>
      <x:c r="E280" s="31" t="inlineStr">
        <x:is>
          <x:t xml:space="preserve">P0</x:t>
        </x:is>
      </x:c>
      <x:c r="F280" s="39" t="inlineStr">
        <x:is>
          <x:t xml:space="preserve">2. CLAUDE DOES IT</x:t>
        </x:is>
      </x:c>
      <x:c r="G280" s="18" t="inlineStr">
        <x:is>
          <x:t xml:space="preserve">Anand</x:t>
        </x:is>
      </x:c>
      <x:c r="H280" s="18" t="inlineStr">
        <x:is>
          <x:t xml:space="preserve"/>
        </x:is>
      </x:c>
      <x:c r="I280" s="45" t="inlineStr">
        <x:is>
          <x:t xml:space="preserve">Claude (draft) + lawyer</x:t>
        </x:is>
      </x:c>
      <x:c r="J280" s="52" t="inlineStr">
        <x:is>
          <x:t xml:space="preserve">$0</x:t>
        </x:is>
      </x:c>
      <x:c r="K280" s="83" t="inlineStr">
        <x:is>
          <x:t xml:space="preserve">Post-Resign</x:t>
        </x:is>
      </x:c>
      <x:c r="L280" s="44" t="inlineStr">
        <x:is>
          <x:t xml:space="preserve">Not started</x:t>
        </x:is>
      </x:c>
      <x:c r="M280" s="18" t="inlineStr">
        <x:is>
          <x:t xml:space="preserve"/>
        </x:is>
      </x:c>
    </x:row>
    <x:row r="281">
      <x:c r="A281" s="18" t="inlineStr">
        <x:is>
          <x:t xml:space="preserve">T273</x:t>
        </x:is>
      </x:c>
      <x:c r="B281" s="18" t="inlineStr">
        <x:is>
          <x:t xml:space="preserve">Sales</x:t>
        </x:is>
      </x:c>
      <x:c r="C281" s="18" t="inlineStr">
        <x:is>
          <x:t xml:space="preserve">Surekha: write 2-page '100-day framework for IT/data/innovation leaders' teaser</x:t>
        </x:is>
      </x:c>
      <x:c r="D281" s="18" t="inlineStr">
        <x:is>
          <x:t xml:space="preserve">Generic enough for reuse with future new-leader prospects. Specific enough to land with her.</x:t>
        </x:is>
      </x:c>
      <x:c r="E281" s="31" t="inlineStr">
        <x:is>
          <x:t xml:space="preserve">P0</x:t>
        </x:is>
      </x:c>
      <x:c r="F281" s="39" t="inlineStr">
        <x:is>
          <x:t xml:space="preserve">2. CLAUDE DOES IT</x:t>
        </x:is>
      </x:c>
      <x:c r="G281" s="18" t="inlineStr">
        <x:is>
          <x:t xml:space="preserve">Anand</x:t>
        </x:is>
      </x:c>
      <x:c r="H281" s="18" t="inlineStr">
        <x:is>
          <x:t xml:space="preserve"/>
        </x:is>
      </x:c>
      <x:c r="I281" s="45" t="inlineStr">
        <x:is>
          <x:t xml:space="preserve">Claude (draft) + you</x:t>
        </x:is>
      </x:c>
      <x:c r="J281" s="52" t="inlineStr">
        <x:is>
          <x:t xml:space="preserve">$0</x:t>
        </x:is>
      </x:c>
      <x:c r="K281" s="82" t="inlineStr">
        <x:is>
          <x:t xml:space="preserve">Pre-Resign</x:t>
        </x:is>
      </x:c>
      <x:c r="L281" s="44" t="inlineStr">
        <x:is>
          <x:t xml:space="preserve">Not started</x:t>
        </x:is>
      </x:c>
      <x:c r="M281" s="18" t="inlineStr">
        <x:is>
          <x:t xml:space="preserve"/>
        </x:is>
      </x:c>
    </x:row>
    <x:row r="282">
      <x:c r="A282" s="18" t="inlineStr">
        <x:is>
          <x:t xml:space="preserve">T274</x:t>
        </x:is>
      </x:c>
      <x:c r="B282" s="18" t="inlineStr">
        <x:is>
          <x:t xml:space="preserve">Sales</x:t>
        </x:is>
      </x:c>
      <x:c r="C282" s="18" t="inlineStr">
        <x:is>
          <x:t xml:space="preserve">Surekha: research Morgan Street Holdings — sector, revenue, recent news, board pressure</x:t>
        </x:is>
      </x:c>
      <x:c r="D282" s="18" t="inlineStr">
        <x:is>
          <x:t xml:space="preserve">Tailor the 100-day pitch to their specific business context. Don't go generic.</x:t>
        </x:is>
      </x:c>
      <x:c r="E282" s="31" t="inlineStr">
        <x:is>
          <x:t xml:space="preserve">P0</x:t>
        </x:is>
      </x:c>
      <x:c r="F282" s="39" t="inlineStr">
        <x:is>
          <x:t xml:space="preserve">2. CLAUDE DOES IT</x:t>
        </x:is>
      </x:c>
      <x:c r="G282" s="18" t="inlineStr">
        <x:is>
          <x:t xml:space="preserve">Anand</x:t>
        </x:is>
      </x:c>
      <x:c r="H282" s="18" t="inlineStr">
        <x:is>
          <x:t xml:space="preserve"/>
        </x:is>
      </x:c>
      <x:c r="I282" s="45" t="inlineStr">
        <x:is>
          <x:t xml:space="preserve">Claude (research)</x:t>
        </x:is>
      </x:c>
      <x:c r="J282" s="52" t="inlineStr">
        <x:is>
          <x:t xml:space="preserve">$0</x:t>
        </x:is>
      </x:c>
      <x:c r="K282" s="83" t="inlineStr">
        <x:is>
          <x:t xml:space="preserve">Post-Resign</x:t>
        </x:is>
      </x:c>
      <x:c r="L282" s="44" t="inlineStr">
        <x:is>
          <x:t xml:space="preserve">Not started</x:t>
        </x:is>
      </x:c>
      <x:c r="M282" s="18" t="inlineStr">
        <x:is>
          <x:t xml:space="preserve"/>
        </x:is>
      </x:c>
    </x:row>
    <x:row r="283">
      <x:c r="A283" s="18" t="inlineStr">
        <x:is>
          <x:t xml:space="preserve">T275</x:t>
        </x:is>
      </x:c>
      <x:c r="B283" s="18" t="inlineStr">
        <x:is>
          <x:t xml:space="preserve">Sales</x:t>
        </x:is>
      </x:c>
      <x:c r="C283" s="18" t="inlineStr">
        <x:is>
          <x:t xml:space="preserve">Surekha: prep candidate Move catalog (3-5 specific Moves for her function)</x:t>
        </x:is>
      </x:c>
      <x:c r="D283" s="18" t="inlineStr">
        <x:is>
          <x:t xml:space="preserve">After discovery call, walk into working session with 'here are 3-5 specific Moves we'd pilot.'</x:t>
        </x:is>
      </x:c>
      <x:c r="E283" s="31" t="inlineStr">
        <x:is>
          <x:t xml:space="preserve">P0</x:t>
        </x:is>
      </x:c>
      <x:c r="F283" s="39" t="inlineStr">
        <x:is>
          <x:t xml:space="preserve">2. CLAUDE DOES IT</x:t>
        </x:is>
      </x:c>
      <x:c r="G283" s="18" t="inlineStr">
        <x:is>
          <x:t xml:space="preserve">Anand</x:t>
        </x:is>
      </x:c>
      <x:c r="H283" s="18" t="inlineStr">
        <x:is>
          <x:t xml:space="preserve"/>
        </x:is>
      </x:c>
      <x:c r="I283" s="45" t="inlineStr">
        <x:is>
          <x:t xml:space="preserve">Claude (draft) + you</x:t>
        </x:is>
      </x:c>
      <x:c r="J283" s="52" t="inlineStr">
        <x:is>
          <x:t xml:space="preserve">$0</x:t>
        </x:is>
      </x:c>
      <x:c r="K283" s="82" t="inlineStr">
        <x:is>
          <x:t xml:space="preserve">Pre-Resign</x:t>
        </x:is>
      </x:c>
      <x:c r="L283" s="44" t="inlineStr">
        <x:is>
          <x:t xml:space="preserve">Not started</x:t>
        </x:is>
      </x:c>
      <x:c r="M283" s="18" t="inlineStr">
        <x:is>
          <x:t xml:space="preserve"/>
        </x:is>
      </x:c>
    </x:row>
    <x:row r="284">
      <x:c r="A284" s="18" t="inlineStr">
        <x:is>
          <x:t xml:space="preserve">T276</x:t>
        </x:is>
      </x:c>
      <x:c r="B284" s="18" t="inlineStr">
        <x:is>
          <x:t xml:space="preserve">Sales</x:t>
        </x:is>
      </x:c>
      <x:c r="C284" s="18" t="inlineStr">
        <x:is>
          <x:t xml:space="preserve">Surekha: build customized pilot SOW with her name on success criteria</x:t>
        </x:is>
      </x:c>
      <x:c r="D284" s="18" t="inlineStr">
        <x:is>
          <x:t xml:space="preserve">Day-30, day-60, day-90 milestones tied to HER first 100 days. Makes saying yes easy.</x:t>
        </x:is>
      </x:c>
      <x:c r="E284" s="31" t="inlineStr">
        <x:is>
          <x:t xml:space="preserve">P0</x:t>
        </x:is>
      </x:c>
      <x:c r="F284" s="39" t="inlineStr">
        <x:is>
          <x:t xml:space="preserve">2. CLAUDE DOES IT</x:t>
        </x:is>
      </x:c>
      <x:c r="G284" s="18" t="inlineStr">
        <x:is>
          <x:t xml:space="preserve">Anand</x:t>
        </x:is>
      </x:c>
      <x:c r="H284" s="18" t="inlineStr">
        <x:is>
          <x:t xml:space="preserve"/>
        </x:is>
      </x:c>
      <x:c r="I284" s="45" t="inlineStr">
        <x:is>
          <x:t xml:space="preserve">Claude (draft) + lawyer</x:t>
        </x:is>
      </x:c>
      <x:c r="J284" s="52" t="inlineStr">
        <x:is>
          <x:t xml:space="preserve">$0</x:t>
        </x:is>
      </x:c>
      <x:c r="K284" s="83" t="inlineStr">
        <x:is>
          <x:t xml:space="preserve">Post-Resign</x:t>
        </x:is>
      </x:c>
      <x:c r="L284" s="44" t="inlineStr">
        <x:is>
          <x:t xml:space="preserve">Not started</x:t>
        </x:is>
      </x:c>
      <x:c r="M284" s="18" t="inlineStr">
        <x:is>
          <x:t xml:space="preserve"/>
        </x:is>
      </x:c>
    </x:row>
    <x:row r="285">
      <x:c r="A285" s="18" t="inlineStr">
        <x:is>
          <x:t xml:space="preserve">T278</x:t>
        </x:is>
      </x:c>
      <x:c r="B285" s="18" t="inlineStr">
        <x:is>
          <x:t xml:space="preserve">Sales</x:t>
        </x:is>
      </x:c>
      <x:c r="C285" s="18" t="inlineStr">
        <x:is>
          <x:t xml:space="preserve">KK: research Delta's recent product/dev investments, vendor mix, modernization status</x:t>
        </x:is>
      </x:c>
      <x:c r="D285" s="18" t="inlineStr">
        <x:is>
          <x:t xml:space="preserve">$3B IT shop — public filings + tech press will surface a lot. Inform Play A vs Play B vs Play C selection.</x:t>
        </x:is>
      </x:c>
      <x:c r="E285" s="31" t="inlineStr">
        <x:is>
          <x:t xml:space="preserve">P0</x:t>
        </x:is>
      </x:c>
      <x:c r="F285" s="39" t="inlineStr">
        <x:is>
          <x:t xml:space="preserve">2. CLAUDE DOES IT</x:t>
        </x:is>
      </x:c>
      <x:c r="G285" s="18" t="inlineStr">
        <x:is>
          <x:t xml:space="preserve">Anand</x:t>
        </x:is>
      </x:c>
      <x:c r="H285" s="18" t="inlineStr">
        <x:is>
          <x:t xml:space="preserve"/>
        </x:is>
      </x:c>
      <x:c r="I285" s="45" t="inlineStr">
        <x:is>
          <x:t xml:space="preserve">Claude (research)</x:t>
        </x:is>
      </x:c>
      <x:c r="J285" s="52" t="inlineStr">
        <x:is>
          <x:t xml:space="preserve">$0</x:t>
        </x:is>
      </x:c>
      <x:c r="K285" s="82" t="inlineStr">
        <x:is>
          <x:t xml:space="preserve">Pre-Resign</x:t>
        </x:is>
      </x:c>
      <x:c r="L285" s="44" t="inlineStr">
        <x:is>
          <x:t xml:space="preserve">Not started</x:t>
        </x:is>
      </x:c>
      <x:c r="M285" s="18" t="inlineStr">
        <x:is>
          <x:t xml:space="preserve"/>
        </x:is>
      </x:c>
    </x:row>
    <x:row r="286">
      <x:c r="A286" s="18" t="inlineStr">
        <x:is>
          <x:t xml:space="preserve">T280</x:t>
        </x:is>
      </x:c>
      <x:c r="B286" s="18" t="inlineStr">
        <x:is>
          <x:t xml:space="preserve">Sales</x:t>
        </x:is>
      </x:c>
      <x:c r="C286" s="18" t="inlineStr">
        <x:is>
          <x:t xml:space="preserve">KK: design Lane A (CTO core) + Lane B (AI-dev measurement) pilot SOW</x:t>
        </x:is>
      </x:c>
      <x:c r="D286" s="18" t="inlineStr">
        <x:is>
          <x:t xml:space="preserve">Two-lane structure tests AbarVa's fit for AI-dev WITHOUT overpromising on methodology.</x:t>
        </x:is>
      </x:c>
      <x:c r="E286" s="31" t="inlineStr">
        <x:is>
          <x:t xml:space="preserve">P0</x:t>
        </x:is>
      </x:c>
      <x:c r="F286" s="39" t="inlineStr">
        <x:is>
          <x:t xml:space="preserve">2. CLAUDE DOES IT</x:t>
        </x:is>
      </x:c>
      <x:c r="G286" s="18" t="inlineStr">
        <x:is>
          <x:t xml:space="preserve">Anand</x:t>
        </x:is>
      </x:c>
      <x:c r="H286" s="18" t="inlineStr">
        <x:is>
          <x:t xml:space="preserve"/>
        </x:is>
      </x:c>
      <x:c r="I286" s="45" t="inlineStr">
        <x:is>
          <x:t xml:space="preserve">Claude (draft) + lawyer</x:t>
        </x:is>
      </x:c>
      <x:c r="J286" s="52" t="inlineStr">
        <x:is>
          <x:t xml:space="preserve">$0</x:t>
        </x:is>
      </x:c>
      <x:c r="K286" s="83" t="inlineStr">
        <x:is>
          <x:t xml:space="preserve">Post-Resign</x:t>
        </x:is>
      </x:c>
      <x:c r="L286" s="44" t="inlineStr">
        <x:is>
          <x:t xml:space="preserve">Not started</x:t>
        </x:is>
      </x:c>
      <x:c r="M286" s="18" t="inlineStr">
        <x:is>
          <x:t xml:space="preserve"/>
        </x:is>
      </x:c>
    </x:row>
    <x:row r="287">
      <x:c r="A287" s="18" t="inlineStr">
        <x:is>
          <x:t xml:space="preserve">T285</x:t>
        </x:is>
      </x:c>
      <x:c r="B287" s="18" t="inlineStr">
        <x:is>
          <x:t xml:space="preserve">Sales</x:t>
        </x:is>
      </x:c>
      <x:c r="C287" s="18" t="inlineStr">
        <x:is>
          <x:t xml:space="preserve">PHS: Day 2-3 — Load PHS-style synthetic healthcare data into their tenant; customize Move catalog</x:t>
        </x:is>
      </x:c>
      <x:c r="D287" s="18" t="inlineStr">
        <x:is>
          <x:t xml:space="preserve">Show them THEIR view, not Apex/Meridian. Use existing fixtures scaled to PHS revenue/size.</x:t>
        </x:is>
      </x:c>
      <x:c r="E287" s="31" t="inlineStr">
        <x:is>
          <x:t xml:space="preserve">P0</x:t>
        </x:is>
      </x:c>
      <x:c r="F287" s="39" t="inlineStr">
        <x:is>
          <x:t xml:space="preserve">2. CLAUDE DOES IT</x:t>
        </x:is>
      </x:c>
      <x:c r="G287" s="18" t="inlineStr">
        <x:is>
          <x:t xml:space="preserve">Anand</x:t>
        </x:is>
      </x:c>
      <x:c r="H287" s="18" t="inlineStr">
        <x:is>
          <x:t xml:space="preserve"/>
        </x:is>
      </x:c>
      <x:c r="I287" s="45" t="inlineStr">
        <x:is>
          <x:t xml:space="preserve">Claude (code+data)</x:t>
        </x:is>
      </x:c>
      <x:c r="J287" s="52" t="inlineStr">
        <x:is>
          <x:t xml:space="preserve">$0</x:t>
        </x:is>
      </x:c>
      <x:c r="K287" s="83" t="inlineStr">
        <x:is>
          <x:t xml:space="preserve">Post-Resign</x:t>
        </x:is>
      </x:c>
      <x:c r="L287" s="44" t="inlineStr">
        <x:is>
          <x:t xml:space="preserve">Not started</x:t>
        </x:is>
      </x:c>
      <x:c r="M287" s="18" t="inlineStr">
        <x:is>
          <x:t xml:space="preserve"/>
        </x:is>
      </x:c>
    </x:row>
    <x:row r="288">
      <x:c r="A288" s="18" t="inlineStr">
        <x:is>
          <x:t xml:space="preserve">T288</x:t>
        </x:is>
      </x:c>
      <x:c r="B288" s="18" t="inlineStr">
        <x:is>
          <x:t xml:space="preserve">Sales</x:t>
        </x:is>
      </x:c>
      <x:c r="C288" s="18" t="inlineStr">
        <x:is>
          <x:t xml:space="preserve">PHS: Day 5-7 — Draft pilot SOW tailored to PHS with success criteria + Source add-on</x:t>
        </x:is>
      </x:c>
      <x:c r="D288" s="18" t="inlineStr">
        <x:is>
          <x:t xml:space="preserve">Customized SOW, not template. Their success criteria, their KPIs.</x:t>
        </x:is>
      </x:c>
      <x:c r="E288" s="31" t="inlineStr">
        <x:is>
          <x:t xml:space="preserve">P0</x:t>
        </x:is>
      </x:c>
      <x:c r="F288" s="39" t="inlineStr">
        <x:is>
          <x:t xml:space="preserve">2. CLAUDE DOES IT</x:t>
        </x:is>
      </x:c>
      <x:c r="G288" s="18" t="inlineStr">
        <x:is>
          <x:t xml:space="preserve">Anand</x:t>
        </x:is>
      </x:c>
      <x:c r="H288" s="18" t="inlineStr">
        <x:is>
          <x:t xml:space="preserve"/>
        </x:is>
      </x:c>
      <x:c r="I288" s="45" t="inlineStr">
        <x:is>
          <x:t xml:space="preserve">Claude (draft) + you</x:t>
        </x:is>
      </x:c>
      <x:c r="J288" s="52" t="inlineStr">
        <x:is>
          <x:t xml:space="preserve">$0</x:t>
        </x:is>
      </x:c>
      <x:c r="K288" s="83" t="inlineStr">
        <x:is>
          <x:t xml:space="preserve">Post-Resign</x:t>
        </x:is>
      </x:c>
      <x:c r="L288" s="44" t="inlineStr">
        <x:is>
          <x:t xml:space="preserve">Not started</x:t>
        </x:is>
      </x:c>
      <x:c r="M288" s="18" t="inlineStr">
        <x:is>
          <x:t xml:space="preserve"/>
        </x:is>
      </x:c>
    </x:row>
    <x:row r="289">
      <x:c r="A289" s="18" t="inlineStr">
        <x:is>
          <x:t xml:space="preserve">T290</x:t>
        </x:is>
      </x:c>
      <x:c r="B289" s="18" t="inlineStr">
        <x:is>
          <x:t xml:space="preserve">Sales</x:t>
        </x:is>
      </x:c>
      <x:c r="C289" s="18" t="inlineStr">
        <x:is>
          <x:t xml:space="preserve">PHS: Day 10-12 — Schedule decision meeting + pre-handle legal/procurement</x:t>
        </x:is>
      </x:c>
      <x:c r="D289" s="18" t="inlineStr">
        <x:is>
          <x:t xml:space="preserve">Bring SOC 2 status, insurance certs, architecture diagram. Reduce friction.</x:t>
        </x:is>
      </x:c>
      <x:c r="E289" s="31" t="inlineStr">
        <x:is>
          <x:t xml:space="preserve">P0</x:t>
        </x:is>
      </x:c>
      <x:c r="F289" s="39" t="inlineStr">
        <x:is>
          <x:t xml:space="preserve">2. CLAUDE DOES IT</x:t>
        </x:is>
      </x:c>
      <x:c r="G289" s="18" t="inlineStr">
        <x:is>
          <x:t xml:space="preserve">Anand</x:t>
        </x:is>
      </x:c>
      <x:c r="H289" s="18" t="inlineStr">
        <x:is>
          <x:t xml:space="preserve"/>
        </x:is>
      </x:c>
      <x:c r="I289" s="45" t="inlineStr">
        <x:is>
          <x:t xml:space="preserve">Claude (prep) + you</x:t>
        </x:is>
      </x:c>
      <x:c r="J289" s="52" t="inlineStr">
        <x:is>
          <x:t xml:space="preserve">$0</x:t>
        </x:is>
      </x:c>
      <x:c r="K289" s="83" t="inlineStr">
        <x:is>
          <x:t xml:space="preserve">Post-Resign</x:t>
        </x:is>
      </x:c>
      <x:c r="L289" s="44" t="inlineStr">
        <x:is>
          <x:t xml:space="preserve">Not started</x:t>
        </x:is>
      </x:c>
      <x:c r="M289" s="18" t="inlineStr">
        <x:is>
          <x:t xml:space="preserve"/>
        </x:is>
      </x:c>
    </x:row>
    <x:row r="290">
      <x:c r="A290" s="18" t="inlineStr">
        <x:is>
          <x:t xml:space="preserve">T294</x:t>
        </x:is>
      </x:c>
      <x:c r="B290" s="18" t="inlineStr">
        <x:is>
          <x:t xml:space="preserve">Sales</x:t>
        </x:is>
      </x:c>
      <x:c r="C290" s="18" t="inlineStr">
        <x:is>
          <x:t xml:space="preserve">KK: Day 3-4 — Pivot or proceed: if no corpus, reposition AbarVa as governance/measurement layer</x:t>
        </x:is>
      </x:c>
      <x:c r="D290" s="18" t="inlineStr">
        <x:is>
          <x:t xml:space="preserve">Honest reframe: 'Copilot/Cursor own methodology. AbarVa is the layer ABOVE — what to do with it, measure it, govern it.'</x:t>
        </x:is>
      </x:c>
      <x:c r="E290" s="31" t="inlineStr">
        <x:is>
          <x:t xml:space="preserve">P0</x:t>
        </x:is>
      </x:c>
      <x:c r="F290" s="39" t="inlineStr">
        <x:is>
          <x:t xml:space="preserve">2. CLAUDE DOES IT</x:t>
        </x:is>
      </x:c>
      <x:c r="G290" s="18" t="inlineStr">
        <x:is>
          <x:t xml:space="preserve">Anand</x:t>
        </x:is>
      </x:c>
      <x:c r="H290" s="18" t="inlineStr">
        <x:is>
          <x:t xml:space="preserve"/>
        </x:is>
      </x:c>
      <x:c r="I290" s="45" t="inlineStr">
        <x:is>
          <x:t xml:space="preserve">Claude (deck) + you</x:t>
        </x:is>
      </x:c>
      <x:c r="J290" s="52" t="inlineStr">
        <x:is>
          <x:t xml:space="preserve">$0</x:t>
        </x:is>
      </x:c>
      <x:c r="K290" s="83" t="inlineStr">
        <x:is>
          <x:t xml:space="preserve">Post-Resign</x:t>
        </x:is>
      </x:c>
      <x:c r="L290" s="44" t="inlineStr">
        <x:is>
          <x:t xml:space="preserve">Not started</x:t>
        </x:is>
      </x:c>
      <x:c r="M290" s="18" t="inlineStr">
        <x:is>
          <x:t xml:space="preserve"/>
        </x:is>
      </x:c>
    </x:row>
    <x:row r="291">
      <x:c r="A291" s="18" t="inlineStr">
        <x:is>
          <x:t xml:space="preserve">T296</x:t>
        </x:is>
      </x:c>
      <x:c r="B291" s="18" t="inlineStr">
        <x:is>
          <x:t xml:space="preserve">Sales</x:t>
        </x:is>
      </x:c>
      <x:c r="C291" s="18" t="inlineStr">
        <x:is>
          <x:t xml:space="preserve">KK: Day 5-7 — If green: draft Lane A + Lane B SOW. If red: define 'what would need to be true'</x:t>
        </x:is>
      </x:c>
      <x:c r="D291" s="18" t="inlineStr">
        <x:is>
          <x:t xml:space="preserve">Don't drag a non-fit. Clean go/no-go preserves relationship for future.</x:t>
        </x:is>
      </x:c>
      <x:c r="E291" s="31" t="inlineStr">
        <x:is>
          <x:t xml:space="preserve">P0</x:t>
        </x:is>
      </x:c>
      <x:c r="F291" s="39" t="inlineStr">
        <x:is>
          <x:t xml:space="preserve">2. CLAUDE DOES IT</x:t>
        </x:is>
      </x:c>
      <x:c r="G291" s="18" t="inlineStr">
        <x:is>
          <x:t xml:space="preserve">Anand</x:t>
        </x:is>
      </x:c>
      <x:c r="H291" s="18" t="inlineStr">
        <x:is>
          <x:t xml:space="preserve"/>
        </x:is>
      </x:c>
      <x:c r="I291" s="45" t="inlineStr">
        <x:is>
          <x:t xml:space="preserve">Claude (draft) + you</x:t>
        </x:is>
      </x:c>
      <x:c r="J291" s="52" t="inlineStr">
        <x:is>
          <x:t xml:space="preserve">$0</x:t>
        </x:is>
      </x:c>
      <x:c r="K291" s="82" t="inlineStr">
        <x:is>
          <x:t xml:space="preserve">Pre-Resign</x:t>
        </x:is>
      </x:c>
      <x:c r="L291" s="44" t="inlineStr">
        <x:is>
          <x:t xml:space="preserve">Not started</x:t>
        </x:is>
      </x:c>
      <x:c r="M291" s="18" t="inlineStr">
        <x:is>
          <x:t xml:space="preserve"/>
        </x:is>
      </x:c>
    </x:row>
    <x:row r="292">
      <x:c r="A292" s="18" t="inlineStr">
        <x:is>
          <x:t xml:space="preserve">T269</x:t>
        </x:is>
      </x:c>
      <x:c r="B292" s="18" t="inlineStr">
        <x:is>
          <x:t xml:space="preserve">Sales</x:t>
        </x:is>
      </x:c>
      <x:c r="C292" s="18" t="inlineStr">
        <x:is>
          <x:t xml:space="preserve">Universal playbook: 'no AI leader ready' play — modernization OS + Source as wedge</x:t>
        </x:is>
      </x:c>
      <x:c r="D292" s="18" t="inlineStr">
        <x:is>
          <x:t xml:space="preserve">Codify multi-buyer pattern beyond Delta. Many F500 don't have dedicated AI leader.</x:t>
        </x:is>
      </x:c>
      <x:c r="E292" s="32" t="inlineStr">
        <x:is>
          <x:t xml:space="preserve">P1</x:t>
        </x:is>
      </x:c>
      <x:c r="F292" s="39" t="inlineStr">
        <x:is>
          <x:t xml:space="preserve">2. CLAUDE DOES IT</x:t>
        </x:is>
      </x:c>
      <x:c r="G292" s="18" t="inlineStr">
        <x:is>
          <x:t xml:space="preserve">Anand</x:t>
        </x:is>
      </x:c>
      <x:c r="H292" s="18" t="inlineStr">
        <x:is>
          <x:t xml:space="preserve"/>
        </x:is>
      </x:c>
      <x:c r="I292" s="45" t="inlineStr">
        <x:is>
          <x:t xml:space="preserve">Claude (draft) + you</x:t>
        </x:is>
      </x:c>
      <x:c r="J292" s="52" t="inlineStr">
        <x:is>
          <x:t xml:space="preserve">$0</x:t>
        </x:is>
      </x:c>
      <x:c r="K292" s="83" t="inlineStr">
        <x:is>
          <x:t xml:space="preserve">Post-Resign</x:t>
        </x:is>
      </x:c>
      <x:c r="L292" s="44" t="inlineStr">
        <x:is>
          <x:t xml:space="preserve">Not started</x:t>
        </x:is>
      </x:c>
      <x:c r="M292" s="18" t="inlineStr">
        <x:is>
          <x:t xml:space="preserve"/>
        </x:is>
      </x:c>
    </x:row>
    <x:row r="293">
      <x:c r="A293" s="18" t="inlineStr">
        <x:is>
          <x:t xml:space="preserve">T277</x:t>
        </x:is>
      </x:c>
      <x:c r="B293" s="18" t="inlineStr">
        <x:is>
          <x:t xml:space="preserve">Sales</x:t>
        </x:is>
      </x:c>
      <x:c r="C293" s="18" t="inlineStr">
        <x:is>
          <x:t xml:space="preserve">Universal: codify 'new leader' play in sales playbook (highest-value archetype)</x:t>
        </x:is>
      </x:c>
      <x:c r="D293" s="18" t="inlineStr">
        <x:is>
          <x:t xml:space="preserve">Surekha-type prospects are AbarVa's strongest fit. Repeat the play with every new-CXO opportunity.</x:t>
        </x:is>
      </x:c>
      <x:c r="E293" s="32" t="inlineStr">
        <x:is>
          <x:t xml:space="preserve">P1</x:t>
        </x:is>
      </x:c>
      <x:c r="F293" s="39" t="inlineStr">
        <x:is>
          <x:t xml:space="preserve">2. CLAUDE DOES IT</x:t>
        </x:is>
      </x:c>
      <x:c r="G293" s="18" t="inlineStr">
        <x:is>
          <x:t xml:space="preserve">Anand</x:t>
        </x:is>
      </x:c>
      <x:c r="H293" s="18" t="inlineStr">
        <x:is>
          <x:t xml:space="preserve"/>
        </x:is>
      </x:c>
      <x:c r="I293" s="45" t="inlineStr">
        <x:is>
          <x:t xml:space="preserve">Claude (draft) + you</x:t>
        </x:is>
      </x:c>
      <x:c r="J293" s="52" t="inlineStr">
        <x:is>
          <x:t xml:space="preserve">$0</x:t>
        </x:is>
      </x:c>
      <x:c r="K293" s="83" t="inlineStr">
        <x:is>
          <x:t xml:space="preserve">Post-Resign</x:t>
        </x:is>
      </x:c>
      <x:c r="L293" s="44" t="inlineStr">
        <x:is>
          <x:t xml:space="preserve">Not started</x:t>
        </x:is>
      </x:c>
      <x:c r="M293" s="18" t="inlineStr">
        <x:is>
          <x:t xml:space="preserve"/>
        </x:is>
      </x:c>
    </x:row>
    <x:row r="294">
      <x:c r="A294" s="18" t="inlineStr">
        <x:is>
          <x:t xml:space="preserve">T301</x:t>
        </x:is>
      </x:c>
      <x:c r="B294" s="18" t="inlineStr">
        <x:is>
          <x:t xml:space="preserve">Sales</x:t>
        </x:is>
      </x:c>
      <x:c r="C294" s="18" t="inlineStr">
        <x:is>
          <x:t xml:space="preserve">Surekha: Week 2-3 — Share 1 thoughtful value piece (industry insight or framework)</x:t>
        </x:is>
      </x:c>
      <x:c r="D294" s="18" t="inlineStr">
        <x:is>
          <x:t xml:space="preserve">Value, not sales. Builds your credibility before she's empowered to buy.</x:t>
        </x:is>
      </x:c>
      <x:c r="E294" s="32" t="inlineStr">
        <x:is>
          <x:t xml:space="preserve">P1</x:t>
        </x:is>
      </x:c>
      <x:c r="F294" s="39" t="inlineStr">
        <x:is>
          <x:t xml:space="preserve">2. CLAUDE DOES IT</x:t>
        </x:is>
      </x:c>
      <x:c r="G294" s="18" t="inlineStr">
        <x:is>
          <x:t xml:space="preserve">Anand</x:t>
        </x:is>
      </x:c>
      <x:c r="H294" s="18" t="inlineStr">
        <x:is>
          <x:t xml:space="preserve"/>
        </x:is>
      </x:c>
      <x:c r="I294" s="45" t="inlineStr">
        <x:is>
          <x:t xml:space="preserve">Claude (content) + you</x:t>
        </x:is>
      </x:c>
      <x:c r="J294" s="52" t="inlineStr">
        <x:is>
          <x:t xml:space="preserve">$0</x:t>
        </x:is>
      </x:c>
      <x:c r="K294" s="83" t="inlineStr">
        <x:is>
          <x:t xml:space="preserve">Post-Resign</x:t>
        </x:is>
      </x:c>
      <x:c r="L294" s="44" t="inlineStr">
        <x:is>
          <x:t xml:space="preserve">Not started</x:t>
        </x:is>
      </x:c>
      <x:c r="M294" s="18" t="inlineStr">
        <x:is>
          <x:t xml:space="preserve"/>
        </x:is>
      </x:c>
    </x:row>
    <x:row r="295">
      <x:c r="A295" s="18" t="inlineStr">
        <x:is>
          <x:t xml:space="preserve">T302</x:t>
        </x:is>
      </x:c>
      <x:c r="B295" s="18" t="inlineStr">
        <x:is>
          <x:t xml:space="preserve">Sales</x:t>
        </x:is>
      </x:c>
      <x:c r="C295" s="18" t="inlineStr">
        <x:is>
          <x:t xml:space="preserve">Surekha: Week 4-5 — Reference a peer success or relevant case</x:t>
        </x:is>
      </x:c>
      <x:c r="D295" s="18" t="inlineStr">
        <x:is>
          <x:t xml:space="preserve">Keep warm. Don't over-touch.</x:t>
        </x:is>
      </x:c>
      <x:c r="E295" s="32" t="inlineStr">
        <x:is>
          <x:t xml:space="preserve">P1</x:t>
        </x:is>
      </x:c>
      <x:c r="F295" s="39" t="inlineStr">
        <x:is>
          <x:t xml:space="preserve">2. CLAUDE DOES IT</x:t>
        </x:is>
      </x:c>
      <x:c r="G295" s="18" t="inlineStr">
        <x:is>
          <x:t xml:space="preserve">Anand</x:t>
        </x:is>
      </x:c>
      <x:c r="H295" s="18" t="inlineStr">
        <x:is>
          <x:t xml:space="preserve"/>
        </x:is>
      </x:c>
      <x:c r="I295" s="45" t="inlineStr">
        <x:is>
          <x:t xml:space="preserve">Claude (content) + you</x:t>
        </x:is>
      </x:c>
      <x:c r="J295" s="52" t="inlineStr">
        <x:is>
          <x:t xml:space="preserve">$0</x:t>
        </x:is>
      </x:c>
      <x:c r="K295" s="83" t="inlineStr">
        <x:is>
          <x:t xml:space="preserve">Post-Resign</x:t>
        </x:is>
      </x:c>
      <x:c r="L295" s="44" t="inlineStr">
        <x:is>
          <x:t xml:space="preserve">Not started</x:t>
        </x:is>
      </x:c>
      <x:c r="M295" s="18" t="inlineStr">
        <x:is>
          <x:t xml:space="preserve"/>
        </x:is>
      </x:c>
    </x:row>
    <x:row r="296">
      <x:c r="A296" s="18" t="inlineStr">
        <x:is>
          <x:t xml:space="preserve">T252</x:t>
        </x:is>
      </x:c>
      <x:c r="B296" s="18" t="inlineStr">
        <x:is>
          <x:t xml:space="preserve">Sales</x:t>
        </x:is>
      </x:c>
      <x:c r="C296" s="18" t="inlineStr">
        <x:is>
          <x:t xml:space="preserve">Build PHS business case (using Business Case sheet template)</x:t>
        </x:is>
      </x:c>
      <x:c r="D296" s="18" t="inlineStr">
        <x:is>
          <x:t xml:space="preserve">Per-prospect: profile, pain/outcome, ROI math, success criteria, CXO narrative. Use Business Case sheet.</x:t>
        </x:is>
      </x:c>
      <x:c r="E296" s="31" t="inlineStr">
        <x:is>
          <x:t xml:space="preserve">P0</x:t>
        </x:is>
      </x:c>
      <x:c r="F296" s="40" t="inlineStr">
        <x:is>
          <x:t xml:space="preserve">3. CLAUDE + YOU</x:t>
        </x:is>
      </x:c>
      <x:c r="G296" s="18" t="inlineStr">
        <x:is>
          <x:t xml:space="preserve">Anand</x:t>
        </x:is>
      </x:c>
      <x:c r="H296" s="18" t="inlineStr">
        <x:is>
          <x:t xml:space="preserve"/>
        </x:is>
      </x:c>
      <x:c r="I296" s="47" t="inlineStr">
        <x:is>
          <x:t xml:space="preserve">Claude + you</x:t>
        </x:is>
      </x:c>
      <x:c r="J296" s="52" t="inlineStr">
        <x:is>
          <x:t xml:space="preserve">$0</x:t>
        </x:is>
      </x:c>
      <x:c r="K296" s="82" t="inlineStr">
        <x:is>
          <x:t xml:space="preserve">Pre-Resign</x:t>
        </x:is>
      </x:c>
      <x:c r="L296" s="44" t="inlineStr">
        <x:is>
          <x:t xml:space="preserve">Not started</x:t>
        </x:is>
      </x:c>
      <x:c r="M296" s="18" t="inlineStr">
        <x:is>
          <x:t xml:space="preserve"/>
        </x:is>
      </x:c>
    </x:row>
    <x:row r="297">
      <x:c r="A297" s="18" t="inlineStr">
        <x:is>
          <x:t xml:space="preserve">T255</x:t>
        </x:is>
      </x:c>
      <x:c r="B297" s="18" t="inlineStr">
        <x:is>
          <x:t xml:space="preserve">Sales</x:t>
        </x:is>
      </x:c>
      <x:c r="C297" s="18" t="inlineStr">
        <x:is>
          <x:t xml:space="preserve">Build customized ROI worksheet for PHS using their actuals</x:t>
        </x:is>
      </x:c>
      <x:c r="D297" s="18" t="inlineStr">
        <x:is>
          <x:t xml:space="preserve">Take Business Case ROI section, plug in PHS revenue/denial-rate/budget. Defendable numbers, not generic.</x:t>
        </x:is>
      </x:c>
      <x:c r="E297" s="31" t="inlineStr">
        <x:is>
          <x:t xml:space="preserve">P0</x:t>
        </x:is>
      </x:c>
      <x:c r="F297" s="40" t="inlineStr">
        <x:is>
          <x:t xml:space="preserve">3. CLAUDE + YOU</x:t>
        </x:is>
      </x:c>
      <x:c r="G297" s="18" t="inlineStr">
        <x:is>
          <x:t xml:space="preserve">Anand</x:t>
        </x:is>
      </x:c>
      <x:c r="H297" s="18" t="inlineStr">
        <x:is>
          <x:t xml:space="preserve"/>
        </x:is>
      </x:c>
      <x:c r="I297" s="47" t="inlineStr">
        <x:is>
          <x:t xml:space="preserve">Claude + you</x:t>
        </x:is>
      </x:c>
      <x:c r="J297" s="52" t="inlineStr">
        <x:is>
          <x:t xml:space="preserve">$0</x:t>
        </x:is>
      </x:c>
      <x:c r="K297" s="82" t="inlineStr">
        <x:is>
          <x:t xml:space="preserve">Pre-Resign</x:t>
        </x:is>
      </x:c>
      <x:c r="L297" s="44" t="inlineStr">
        <x:is>
          <x:t xml:space="preserve">Not started</x:t>
        </x:is>
      </x:c>
      <x:c r="M297" s="18" t="inlineStr">
        <x:is>
          <x:t xml:space="preserve"/>
        </x:is>
      </x:c>
    </x:row>
    <x:row r="298">
      <x:c r="A298" s="18" t="inlineStr">
        <x:is>
          <x:t xml:space="preserve">T258</x:t>
        </x:is>
      </x:c>
      <x:c r="B298" s="18" t="inlineStr">
        <x:is>
          <x:t xml:space="preserve">Sales</x:t>
        </x:is>
      </x:c>
      <x:c r="C298" s="18" t="inlineStr">
        <x:is>
          <x:t xml:space="preserve">Build the same business case for 2 backup prospects (don't bet on one client)</x:t>
        </x:is>
      </x:c>
      <x:c r="D298" s="18" t="inlineStr">
        <x:is>
          <x:t xml:space="preserve">If PHS slips, you need parallel pipeline. Same template, different prospects.</x:t>
        </x:is>
      </x:c>
      <x:c r="E298" s="32" t="inlineStr">
        <x:is>
          <x:t xml:space="preserve">P1</x:t>
        </x:is>
      </x:c>
      <x:c r="F298" s="40" t="inlineStr">
        <x:is>
          <x:t xml:space="preserve">3. CLAUDE + YOU</x:t>
        </x:is>
      </x:c>
      <x:c r="G298" s="18" t="inlineStr">
        <x:is>
          <x:t xml:space="preserve">Anand</x:t>
        </x:is>
      </x:c>
      <x:c r="H298" s="18" t="inlineStr">
        <x:is>
          <x:t xml:space="preserve"/>
        </x:is>
      </x:c>
      <x:c r="I298" s="47" t="inlineStr">
        <x:is>
          <x:t xml:space="preserve">Claude + you</x:t>
        </x:is>
      </x:c>
      <x:c r="J298" s="52" t="inlineStr">
        <x:is>
          <x:t xml:space="preserve">$0</x:t>
        </x:is>
      </x:c>
      <x:c r="K298" s="82" t="inlineStr">
        <x:is>
          <x:t xml:space="preserve">Pre-Resign</x:t>
        </x:is>
      </x:c>
      <x:c r="L298" s="44" t="inlineStr">
        <x:is>
          <x:t xml:space="preserve">Not started</x:t>
        </x:is>
      </x:c>
      <x:c r="M298" s="18" t="inlineStr">
        <x:is>
          <x:t xml:space="preserve"/>
        </x:is>
      </x:c>
    </x:row>
    <x:row r="299">
      <x:c r="A299" s="18" t="inlineStr">
        <x:is>
          <x:t xml:space="preserve">T264</x:t>
        </x:is>
      </x:c>
      <x:c r="B299" s="18" t="inlineStr">
        <x:is>
          <x:t xml:space="preserve">Sales</x:t>
        </x:is>
      </x:c>
      <x:c r="C299" s="18" t="inlineStr">
        <x:is>
          <x:t xml:space="preserve">PHS: design joint pitch (CDAO + IT sourcing colleague) for shared CFO</x:t>
        </x:is>
      </x:c>
      <x:c r="D299" s="18" t="inlineStr">
        <x:is>
          <x:t xml:space="preserve">Combined budget easier than separate. Both leaders win.</x:t>
        </x:is>
      </x:c>
      <x:c r="E299" s="32" t="inlineStr">
        <x:is>
          <x:t xml:space="preserve">P1</x:t>
        </x:is>
      </x:c>
      <x:c r="F299" s="40" t="inlineStr">
        <x:is>
          <x:t xml:space="preserve">3. CLAUDE + YOU</x:t>
        </x:is>
      </x:c>
      <x:c r="G299" s="18" t="inlineStr">
        <x:is>
          <x:t xml:space="preserve">Anand</x:t>
        </x:is>
      </x:c>
      <x:c r="H299" s="18" t="inlineStr">
        <x:is>
          <x:t xml:space="preserve"/>
        </x:is>
      </x:c>
      <x:c r="I299" s="47" t="inlineStr">
        <x:is>
          <x:t xml:space="preserve">Claude + you</x:t>
        </x:is>
      </x:c>
      <x:c r="J299" s="52" t="inlineStr">
        <x:is>
          <x:t xml:space="preserve">$0</x:t>
        </x:is>
      </x:c>
      <x:c r="K299" s="83" t="inlineStr">
        <x:is>
          <x:t xml:space="preserve">Post-Resign</x:t>
        </x:is>
      </x:c>
      <x:c r="L299" s="44" t="inlineStr">
        <x:is>
          <x:t xml:space="preserve">Not started</x:t>
        </x:is>
      </x:c>
      <x:c r="M299" s="18" t="inlineStr">
        <x:is>
          <x:t xml:space="preserve"/>
        </x:is>
      </x:c>
    </x:row>
    <x:row r="300">
      <x:c r="A300" s="18" t="inlineStr">
        <x:is>
          <x:t xml:space="preserve">T063</x:t>
        </x:is>
      </x:c>
      <x:c r="B300" s="18" t="inlineStr">
        <x:is>
          <x:t xml:space="preserve">Sales</x:t>
        </x:is>
      </x:c>
      <x:c r="C300" s="18" t="inlineStr">
        <x:is>
          <x:t xml:space="preserve">Identify and rank top 3 pilot candidates</x:t>
        </x:is>
      </x:c>
      <x:c r="D300" s="18" t="inlineStr">
        <x:is>
          <x:t xml:space="preserve">Who are you actually talking to? Apex/Meridian/FirstCapital or real F500s?</x:t>
        </x:is>
      </x:c>
      <x:c r="E300" s="31" t="inlineStr">
        <x:is>
          <x:t xml:space="preserve">P0</x:t>
        </x:is>
      </x:c>
      <x:c r="F300" s="42" t="inlineStr">
        <x:is>
          <x:t xml:space="preserve">5. EXTERNAL</x:t>
        </x:is>
      </x:c>
      <x:c r="G300" s="18" t="inlineStr">
        <x:is>
          <x:t xml:space="preserve">Anand</x:t>
        </x:is>
      </x:c>
      <x:c r="H300" s="18" t="inlineStr">
        <x:is>
          <x:t xml:space="preserve"/>
        </x:is>
      </x:c>
      <x:c r="I300" s="48" t="inlineStr">
        <x:is>
          <x:t xml:space="preserve">You only</x:t>
        </x:is>
      </x:c>
      <x:c r="J300" s="52" t="inlineStr">
        <x:is>
          <x:t xml:space="preserve">$0</x:t>
        </x:is>
      </x:c>
      <x:c r="K300" s="82" t="inlineStr">
        <x:is>
          <x:t xml:space="preserve">Pre-Resign</x:t>
        </x:is>
      </x:c>
      <x:c r="L300" s="44" t="inlineStr">
        <x:is>
          <x:t xml:space="preserve">Not started</x:t>
        </x:is>
      </x:c>
      <x:c r="M300" s="18" t="inlineStr">
        <x:is>
          <x:t xml:space="preserve"/>
        </x:is>
      </x:c>
    </x:row>
    <x:row r="301">
      <x:c r="A301" s="18" t="inlineStr">
        <x:is>
          <x:t xml:space="preserve">T254</x:t>
        </x:is>
      </x:c>
      <x:c r="B301" s="18" t="inlineStr">
        <x:is>
          <x:t xml:space="preserve">Sales</x:t>
        </x:is>
      </x:c>
      <x:c r="C301" s="18" t="inlineStr">
        <x:is>
          <x:t xml:space="preserve">Discovery call: validate CDAO budget authority + pain priority + AI strategy pressure</x:t>
        </x:is>
      </x:c>
      <x:c r="D301" s="18" t="inlineStr">
        <x:is>
          <x:t xml:space="preserve">30-min call before any proposal. Confirm: 'Can you authorize $300k?' + 'What's your #1 board pressure on AI?' + 'Top 3 levers you care most about?'</x:t>
        </x:is>
      </x:c>
      <x:c r="E301" s="31" t="inlineStr">
        <x:is>
          <x:t xml:space="preserve">P0</x:t>
        </x:is>
      </x:c>
      <x:c r="F301" s="42" t="inlineStr">
        <x:is>
          <x:t xml:space="preserve">5. EXTERNAL</x:t>
        </x:is>
      </x:c>
      <x:c r="G301" s="18" t="inlineStr">
        <x:is>
          <x:t xml:space="preserve">Anand</x:t>
        </x:is>
      </x:c>
      <x:c r="H301" s="18" t="inlineStr">
        <x:is>
          <x:t xml:space="preserve"/>
        </x:is>
      </x:c>
      <x:c r="I301" s="48" t="inlineStr">
        <x:is>
          <x:t xml:space="preserve">You only</x:t>
        </x:is>
      </x:c>
      <x:c r="J301" s="52" t="inlineStr">
        <x:is>
          <x:t xml:space="preserve">$0</x:t>
        </x:is>
      </x:c>
      <x:c r="K301" s="83" t="inlineStr">
        <x:is>
          <x:t xml:space="preserve">Post-Resign</x:t>
        </x:is>
      </x:c>
      <x:c r="L301" s="44" t="inlineStr">
        <x:is>
          <x:t xml:space="preserve">Not started</x:t>
        </x:is>
      </x:c>
      <x:c r="M301" s="18" t="inlineStr">
        <x:is>
          <x:t xml:space="preserve"/>
        </x:is>
      </x:c>
    </x:row>
    <x:row r="302">
      <x:c r="A302" s="18" t="inlineStr">
        <x:is>
          <x:t xml:space="preserve">T262</x:t>
        </x:is>
      </x:c>
      <x:c r="B302" s="18" t="inlineStr">
        <x:is>
          <x:t xml:space="preserve">Sales</x:t>
        </x:is>
      </x:c>
      <x:c r="C302" s="18" t="inlineStr">
        <x:is>
          <x:t xml:space="preserve">PHS: identify IT sourcing colleague + their wave details (what's outsourced, RFP timing)</x:t>
        </x:is>
      </x:c>
      <x:c r="D302" s="18" t="inlineStr">
        <x:is>
          <x:t xml:space="preserve">Source module wedge depends on this. Get name + current pain.</x:t>
        </x:is>
      </x:c>
      <x:c r="E302" s="31" t="inlineStr">
        <x:is>
          <x:t xml:space="preserve">P0</x:t>
        </x:is>
      </x:c>
      <x:c r="F302" s="42" t="inlineStr">
        <x:is>
          <x:t xml:space="preserve">5. EXTERNAL</x:t>
        </x:is>
      </x:c>
      <x:c r="G302" s="18" t="inlineStr">
        <x:is>
          <x:t xml:space="preserve">Anand</x:t>
        </x:is>
      </x:c>
      <x:c r="H302" s="18" t="inlineStr">
        <x:is>
          <x:t xml:space="preserve"/>
        </x:is>
      </x:c>
      <x:c r="I302" s="48" t="inlineStr">
        <x:is>
          <x:t xml:space="preserve">You only (LinkedIn + intro)</x:t>
        </x:is>
      </x:c>
      <x:c r="J302" s="52" t="inlineStr">
        <x:is>
          <x:t xml:space="preserve">$0</x:t>
        </x:is>
      </x:c>
      <x:c r="K302" s="82" t="inlineStr">
        <x:is>
          <x:t xml:space="preserve">Pre-Resign</x:t>
        </x:is>
      </x:c>
      <x:c r="L302" s="44" t="inlineStr">
        <x:is>
          <x:t xml:space="preserve">Not started</x:t>
        </x:is>
      </x:c>
      <x:c r="M302" s="18" t="inlineStr">
        <x:is>
          <x:t xml:space="preserve"/>
        </x:is>
      </x:c>
    </x:row>
    <x:row r="303">
      <x:c r="A303" s="18" t="inlineStr">
        <x:is>
          <x:t xml:space="preserve">T272</x:t>
        </x:is>
      </x:c>
      <x:c r="B303" s="18" t="inlineStr">
        <x:is>
          <x:t xml:space="preserve">Sales</x:t>
        </x:is>
      </x:c>
      <x:c r="C303" s="18" t="inlineStr">
        <x:is>
          <x:t xml:space="preserve">Surekha: NURTURE plan (she joins July 1) — light touches, NOT pitch</x:t>
        </x:is>
      </x:c>
      <x:c r="D303" s="18" t="inlineStr">
        <x:is>
          <x:t xml:space="preserve">She has demo access + joins July 1. Don't over-engage pre-start. Plan: LinkedIn connect now → 1-2 value-add messages over 5 weeks → activate July 7 sprint.</x:t>
        </x:is>
      </x:c>
      <x:c r="E303" s="31" t="inlineStr">
        <x:is>
          <x:t xml:space="preserve">P0</x:t>
        </x:is>
      </x:c>
      <x:c r="F303" s="42" t="inlineStr">
        <x:is>
          <x:t xml:space="preserve">5. EXTERNAL</x:t>
        </x:is>
      </x:c>
      <x:c r="G303" s="18" t="inlineStr">
        <x:is>
          <x:t xml:space="preserve">Anand</x:t>
        </x:is>
      </x:c>
      <x:c r="H303" s="18" t="inlineStr">
        <x:is>
          <x:t xml:space="preserve"/>
        </x:is>
      </x:c>
      <x:c r="I303" s="48" t="inlineStr">
        <x:is>
          <x:t xml:space="preserve">You only (outreach)</x:t>
        </x:is>
      </x:c>
      <x:c r="J303" s="52" t="inlineStr">
        <x:is>
          <x:t xml:space="preserve">$0</x:t>
        </x:is>
      </x:c>
      <x:c r="K303" s="83" t="inlineStr">
        <x:is>
          <x:t xml:space="preserve">Post-Resign</x:t>
        </x:is>
      </x:c>
      <x:c r="L303" s="44" t="inlineStr">
        <x:is>
          <x:t xml:space="preserve">Not started</x:t>
        </x:is>
      </x:c>
      <x:c r="M303" s="18" t="inlineStr">
        <x:is>
          <x:t xml:space="preserve">Sprint activates first week of July, not now</x:t>
        </x:is>
      </x:c>
    </x:row>
    <x:row r="304">
      <x:c r="A304" s="18" t="inlineStr">
        <x:is>
          <x:t xml:space="preserve">T279</x:t>
        </x:is>
      </x:c>
      <x:c r="B304" s="18" t="inlineStr">
        <x:is>
          <x:t xml:space="preserve">Sales</x:t>
        </x:is>
      </x:c>
      <x:c r="C304" s="18" t="inlineStr">
        <x:is>
          <x:t xml:space="preserve">KK: confirm whether 'methodology' or 'governance/measurement' is the primary itch</x:t>
        </x:is>
      </x:c>
      <x:c r="D304" s="18" t="inlineStr">
        <x:is>
          <x:t xml:space="preserve">Discovery call. Question: 'What's the bigger gap for you — knowing HOW to run AI-led dev, or knowing whether it's working?'</x:t>
        </x:is>
      </x:c>
      <x:c r="E304" s="31" t="inlineStr">
        <x:is>
          <x:t xml:space="preserve">P0</x:t>
        </x:is>
      </x:c>
      <x:c r="F304" s="42" t="inlineStr">
        <x:is>
          <x:t xml:space="preserve">5. EXTERNAL</x:t>
        </x:is>
      </x:c>
      <x:c r="G304" s="18" t="inlineStr">
        <x:is>
          <x:t xml:space="preserve">Anand</x:t>
        </x:is>
      </x:c>
      <x:c r="H304" s="18" t="inlineStr">
        <x:is>
          <x:t xml:space="preserve"/>
        </x:is>
      </x:c>
      <x:c r="I304" s="48" t="inlineStr">
        <x:is>
          <x:t xml:space="preserve">You only (discovery call)</x:t>
        </x:is>
      </x:c>
      <x:c r="J304" s="52" t="inlineStr">
        <x:is>
          <x:t xml:space="preserve">$0</x:t>
        </x:is>
      </x:c>
      <x:c r="K304" s="83" t="inlineStr">
        <x:is>
          <x:t xml:space="preserve">Post-Resign</x:t>
        </x:is>
      </x:c>
      <x:c r="L304" s="44" t="inlineStr">
        <x:is>
          <x:t xml:space="preserve">Not started</x:t>
        </x:is>
      </x:c>
      <x:c r="M304" s="18" t="inlineStr">
        <x:is>
          <x:t xml:space="preserve"/>
        </x:is>
      </x:c>
    </x:row>
    <x:row r="305">
      <x:c r="A305" s="18" t="inlineStr">
        <x:is>
          <x:t xml:space="preserve">T284</x:t>
        </x:is>
      </x:c>
      <x:c r="B305" s="18" t="inlineStr">
        <x:is>
          <x:t xml:space="preserve">Sales</x:t>
        </x:is>
      </x:c>
      <x:c r="C305" s="18" t="inlineStr">
        <x:is>
          <x:t xml:space="preserve">PHS: Day 1-2 — Usage debrief call with CDAO (what tried, what worked, what's missing)</x:t>
        </x:is>
      </x:c>
      <x:c r="D305" s="18" t="inlineStr">
        <x:is>
          <x:t xml:space="preserve">Close motion starts with understanding what their product experience has been. Don't re-pitch; build on what they've seen.</x:t>
        </x:is>
      </x:c>
      <x:c r="E305" s="31" t="inlineStr">
        <x:is>
          <x:t xml:space="preserve">P0</x:t>
        </x:is>
      </x:c>
      <x:c r="F305" s="42" t="inlineStr">
        <x:is>
          <x:t xml:space="preserve">5. EXTERNAL</x:t>
        </x:is>
      </x:c>
      <x:c r="G305" s="18" t="inlineStr">
        <x:is>
          <x:t xml:space="preserve">Anand</x:t>
        </x:is>
      </x:c>
      <x:c r="H305" s="18" t="inlineStr">
        <x:is>
          <x:t xml:space="preserve"/>
        </x:is>
      </x:c>
      <x:c r="I305" s="48" t="inlineStr">
        <x:is>
          <x:t xml:space="preserve">You only (discovery call)</x:t>
        </x:is>
      </x:c>
      <x:c r="J305" s="52" t="inlineStr">
        <x:is>
          <x:t xml:space="preserve">$0</x:t>
        </x:is>
      </x:c>
      <x:c r="K305" s="83" t="inlineStr">
        <x:is>
          <x:t xml:space="preserve">Post-Resign</x:t>
        </x:is>
      </x:c>
      <x:c r="L305" s="44" t="inlineStr">
        <x:is>
          <x:t xml:space="preserve">Not started</x:t>
        </x:is>
      </x:c>
      <x:c r="M305" s="18" t="inlineStr">
        <x:is>
          <x:t xml:space="preserve"/>
        </x:is>
      </x:c>
    </x:row>
    <x:row r="306">
      <x:c r="A306" s="18" t="inlineStr">
        <x:is>
          <x:t xml:space="preserve">T286</x:t>
        </x:is>
      </x:c>
      <x:c r="B306" s="18" t="inlineStr">
        <x:is>
          <x:t xml:space="preserve">Sales</x:t>
        </x:is>
      </x:c>
      <x:c r="C306" s="18" t="inlineStr">
        <x:is>
          <x:t xml:space="preserve">PHS: Day 3-4 — Map full decision-maker chain (CDAO auth? CIO/CFO joint? Sourcing colleague?)</x:t>
        </x:is>
      </x:c>
      <x:c r="D306" s="18" t="inlineStr">
        <x:is>
          <x:t xml:space="preserve">Know who signs BEFORE the working session. Avoid surprise blockers.</x:t>
        </x:is>
      </x:c>
      <x:c r="E306" s="31" t="inlineStr">
        <x:is>
          <x:t xml:space="preserve">P0</x:t>
        </x:is>
      </x:c>
      <x:c r="F306" s="42" t="inlineStr">
        <x:is>
          <x:t xml:space="preserve">5. EXTERNAL</x:t>
        </x:is>
      </x:c>
      <x:c r="G306" s="18" t="inlineStr">
        <x:is>
          <x:t xml:space="preserve">Anand</x:t>
        </x:is>
      </x:c>
      <x:c r="H306" s="18" t="inlineStr">
        <x:is>
          <x:t xml:space="preserve"/>
        </x:is>
      </x:c>
      <x:c r="I306" s="48" t="inlineStr">
        <x:is>
          <x:t xml:space="preserve">You only (relationship mapping)</x:t>
        </x:is>
      </x:c>
      <x:c r="J306" s="52" t="inlineStr">
        <x:is>
          <x:t xml:space="preserve">$0</x:t>
        </x:is>
      </x:c>
      <x:c r="K306" s="82" t="inlineStr">
        <x:is>
          <x:t xml:space="preserve">Pre-Resign</x:t>
        </x:is>
      </x:c>
      <x:c r="L306" s="44" t="inlineStr">
        <x:is>
          <x:t xml:space="preserve">Not started</x:t>
        </x:is>
      </x:c>
      <x:c r="M306" s="18" t="inlineStr">
        <x:is>
          <x:t xml:space="preserve"/>
        </x:is>
      </x:c>
    </x:row>
    <x:row r="307">
      <x:c r="A307" s="18" t="inlineStr">
        <x:is>
          <x:t xml:space="preserve">T287</x:t>
        </x:is>
      </x:c>
      <x:c r="B307" s="18" t="inlineStr">
        <x:is>
          <x:t xml:space="preserve">Sales</x:t>
        </x:is>
      </x:c>
      <x:c r="C307" s="18" t="inlineStr">
        <x:is>
          <x:t xml:space="preserve">PHS: Day 4-5 — Joint working session (90 min): 3 candidate Moves + value math + Azure+Databricks fit</x:t>
        </x:is>
      </x:c>
      <x:c r="D307" s="18" t="inlineStr">
        <x:is>
          <x:t xml:space="preserve">Use their data + their decision-makers in the room. Show what their first quarter looks like.</x:t>
        </x:is>
      </x:c>
      <x:c r="E307" s="31" t="inlineStr">
        <x:is>
          <x:t xml:space="preserve">P0</x:t>
        </x:is>
      </x:c>
      <x:c r="F307" s="42" t="inlineStr">
        <x:is>
          <x:t xml:space="preserve">5. EXTERNAL</x:t>
        </x:is>
      </x:c>
      <x:c r="G307" s="18" t="inlineStr">
        <x:is>
          <x:t xml:space="preserve">Anand</x:t>
        </x:is>
      </x:c>
      <x:c r="H307" s="18" t="inlineStr">
        <x:is>
          <x:t xml:space="preserve"/>
        </x:is>
      </x:c>
      <x:c r="I307" s="48" t="inlineStr">
        <x:is>
          <x:t xml:space="preserve">You only (working session)</x:t>
        </x:is>
      </x:c>
      <x:c r="J307" s="52" t="inlineStr">
        <x:is>
          <x:t xml:space="preserve">$0</x:t>
        </x:is>
      </x:c>
      <x:c r="K307" s="83" t="inlineStr">
        <x:is>
          <x:t xml:space="preserve">Post-Resign</x:t>
        </x:is>
      </x:c>
      <x:c r="L307" s="44" t="inlineStr">
        <x:is>
          <x:t xml:space="preserve">Not started</x:t>
        </x:is>
      </x:c>
      <x:c r="M307" s="18" t="inlineStr">
        <x:is>
          <x:t xml:space="preserve"/>
        </x:is>
      </x:c>
    </x:row>
    <x:row r="308">
      <x:c r="A308" s="18" t="inlineStr">
        <x:is>
          <x:t xml:space="preserve">T289</x:t>
        </x:is>
      </x:c>
      <x:c r="B308" s="18" t="inlineStr">
        <x:is>
          <x:t xml:space="preserve">Sales</x:t>
        </x:is>
      </x:c>
      <x:c r="C308" s="18" t="inlineStr">
        <x:is>
          <x:t xml:space="preserve">PHS: Day 7-10 — Iterate SOW with CDAO + sourcing colleague + align commercial terms</x:t>
        </x:is>
      </x:c>
      <x:c r="D308" s="18" t="inlineStr">
        <x:is>
          <x:t xml:space="preserve">$300k pilot + $950k year-1 + Source $35-50k/mo. Founder time 10% at $425/hr.</x:t>
        </x:is>
      </x:c>
      <x:c r="E308" s="31" t="inlineStr">
        <x:is>
          <x:t xml:space="preserve">P0</x:t>
        </x:is>
      </x:c>
      <x:c r="F308" s="42" t="inlineStr">
        <x:is>
          <x:t xml:space="preserve">5. EXTERNAL</x:t>
        </x:is>
      </x:c>
      <x:c r="G308" s="18" t="inlineStr">
        <x:is>
          <x:t xml:space="preserve">Anand</x:t>
        </x:is>
      </x:c>
      <x:c r="H308" s="18" t="inlineStr">
        <x:is>
          <x:t xml:space="preserve"/>
        </x:is>
      </x:c>
      <x:c r="I308" s="48" t="inlineStr">
        <x:is>
          <x:t xml:space="preserve">You only (negotiation)</x:t>
        </x:is>
      </x:c>
      <x:c r="J308" s="52" t="inlineStr">
        <x:is>
          <x:t xml:space="preserve">$0</x:t>
        </x:is>
      </x:c>
      <x:c r="K308" s="83" t="inlineStr">
        <x:is>
          <x:t xml:space="preserve">Post-Resign</x:t>
        </x:is>
      </x:c>
      <x:c r="L308" s="44" t="inlineStr">
        <x:is>
          <x:t xml:space="preserve">Not started</x:t>
        </x:is>
      </x:c>
      <x:c r="M308" s="18" t="inlineStr">
        <x:is>
          <x:t xml:space="preserve"/>
        </x:is>
      </x:c>
    </x:row>
    <x:row r="309">
      <x:c r="A309" s="18" t="inlineStr">
        <x:is>
          <x:t xml:space="preserve">T291</x:t>
        </x:is>
      </x:c>
      <x:c r="B309" s="18" t="inlineStr">
        <x:is>
          <x:t xml:space="preserve">Sales</x:t>
        </x:is>
      </x:c>
      <x:c r="C309" s="18" t="inlineStr">
        <x:is>
          <x:t xml:space="preserve">PHS: Day 12-14 — Verbal alignment + pilot SOW agreed in principle + kickoff scheduled</x:t>
        </x:is>
      </x:c>
      <x:c r="D309" s="18" t="inlineStr">
        <x:is>
          <x:t xml:space="preserve">Target outcome of the 2-week sprint. If not there by day 14, identify the blocker.</x:t>
        </x:is>
      </x:c>
      <x:c r="E309" s="31" t="inlineStr">
        <x:is>
          <x:t xml:space="preserve">P0</x:t>
        </x:is>
      </x:c>
      <x:c r="F309" s="42" t="inlineStr">
        <x:is>
          <x:t xml:space="preserve">5. EXTERNAL</x:t>
        </x:is>
      </x:c>
      <x:c r="G309" s="18" t="inlineStr">
        <x:is>
          <x:t xml:space="preserve">Anand</x:t>
        </x:is>
      </x:c>
      <x:c r="H309" s="18" t="inlineStr">
        <x:is>
          <x:t xml:space="preserve"/>
        </x:is>
      </x:c>
      <x:c r="I309" s="48" t="inlineStr">
        <x:is>
          <x:t xml:space="preserve">You only</x:t>
        </x:is>
      </x:c>
      <x:c r="J309" s="52" t="inlineStr">
        <x:is>
          <x:t xml:space="preserve">$0</x:t>
        </x:is>
      </x:c>
      <x:c r="K309" s="83" t="inlineStr">
        <x:is>
          <x:t xml:space="preserve">Post-Resign</x:t>
        </x:is>
      </x:c>
      <x:c r="L309" s="44" t="inlineStr">
        <x:is>
          <x:t xml:space="preserve">Not started</x:t>
        </x:is>
      </x:c>
      <x:c r="M309" s="18" t="inlineStr">
        <x:is>
          <x:t xml:space="preserve"/>
        </x:is>
      </x:c>
    </x:row>
    <x:row r="310">
      <x:c r="A310" s="18" t="inlineStr">
        <x:is>
          <x:t xml:space="preserve">T292</x:t>
        </x:is>
      </x:c>
      <x:c r="B310" s="18" t="inlineStr">
        <x:is>
          <x:t xml:space="preserve">Sales</x:t>
        </x:is>
      </x:c>
      <x:c r="C310" s="18" t="inlineStr">
        <x:is>
          <x:t xml:space="preserve">KK: Day 1-2 — Usage debrief with KK + team (what tried, did it land for AI-led product dev?)</x:t>
        </x:is>
      </x:c>
      <x:c r="D310" s="18" t="inlineStr">
        <x:is>
          <x:t xml:space="preserve">Critical: did the product fit their intent? Their answer drives the rest of the sprint.</x:t>
        </x:is>
      </x:c>
      <x:c r="E310" s="31" t="inlineStr">
        <x:is>
          <x:t xml:space="preserve">P0</x:t>
        </x:is>
      </x:c>
      <x:c r="F310" s="42" t="inlineStr">
        <x:is>
          <x:t xml:space="preserve">5. EXTERNAL</x:t>
        </x:is>
      </x:c>
      <x:c r="G310" s="18" t="inlineStr">
        <x:is>
          <x:t xml:space="preserve">Anand</x:t>
        </x:is>
      </x:c>
      <x:c r="H310" s="18" t="inlineStr">
        <x:is>
          <x:t xml:space="preserve"/>
        </x:is>
      </x:c>
      <x:c r="I310" s="48" t="inlineStr">
        <x:is>
          <x:t xml:space="preserve">You only (discovery call)</x:t>
        </x:is>
      </x:c>
      <x:c r="J310" s="52" t="inlineStr">
        <x:is>
          <x:t xml:space="preserve">$0</x:t>
        </x:is>
      </x:c>
      <x:c r="K310" s="83" t="inlineStr">
        <x:is>
          <x:t xml:space="preserve">Post-Resign</x:t>
        </x:is>
      </x:c>
      <x:c r="L310" s="44" t="inlineStr">
        <x:is>
          <x:t xml:space="preserve">Not started</x:t>
        </x:is>
      </x:c>
      <x:c r="M310" s="18" t="inlineStr">
        <x:is>
          <x:t xml:space="preserve"/>
        </x:is>
      </x:c>
    </x:row>
    <x:row r="311">
      <x:c r="A311" s="18" t="inlineStr">
        <x:is>
          <x:t xml:space="preserve">T293</x:t>
        </x:is>
      </x:c>
      <x:c r="B311" s="18" t="inlineStr">
        <x:is>
          <x:t xml:space="preserve">Sales</x:t>
        </x:is>
      </x:c>
      <x:c r="C311" s="18" t="inlineStr">
        <x:is>
          <x:t xml:space="preserve">KK: Day 2-3 — STRATEGIC DECISION: build Software Delivery corpus wave? (drives positioning)</x:t>
        </x:is>
      </x:c>
      <x:c r="D311" s="18" t="inlineStr">
        <x:is>
          <x:t xml:space="preserve">MUST decide by day 2-3. Yes = pitch full fit. No = pivot to Play A (governance/measurement) or Play C (Source wedge).</x:t>
        </x:is>
      </x:c>
      <x:c r="E311" s="31" t="inlineStr">
        <x:is>
          <x:t xml:space="preserve">P0</x:t>
        </x:is>
      </x:c>
      <x:c r="F311" s="42" t="inlineStr">
        <x:is>
          <x:t xml:space="preserve">5. EXTERNAL</x:t>
        </x:is>
      </x:c>
      <x:c r="G311" s="18" t="inlineStr">
        <x:is>
          <x:t xml:space="preserve">Anand</x:t>
        </x:is>
      </x:c>
      <x:c r="H311" s="18" t="inlineStr">
        <x:is>
          <x:t xml:space="preserve"/>
        </x:is>
      </x:c>
      <x:c r="I311" s="48" t="inlineStr">
        <x:is>
          <x:t xml:space="preserve">You only (strategic call)</x:t>
        </x:is>
      </x:c>
      <x:c r="J311" s="52" t="inlineStr">
        <x:is>
          <x:t xml:space="preserve">$0</x:t>
        </x:is>
      </x:c>
      <x:c r="K311" s="82" t="inlineStr">
        <x:is>
          <x:t xml:space="preserve">Pre-Resign</x:t>
        </x:is>
      </x:c>
      <x:c r="L311" s="44" t="inlineStr">
        <x:is>
          <x:t xml:space="preserve">Not started</x:t>
        </x:is>
      </x:c>
      <x:c r="M311" s="18" t="inlineStr">
        <x:is>
          <x:t xml:space="preserve"/>
        </x:is>
      </x:c>
    </x:row>
    <x:row r="312">
      <x:c r="A312" s="18" t="inlineStr">
        <x:is>
          <x:t xml:space="preserve">T295</x:t>
        </x:is>
      </x:c>
      <x:c r="B312" s="18" t="inlineStr">
        <x:is>
          <x:t xml:space="preserve">Sales</x:t>
        </x:is>
      </x:c>
      <x:c r="C312" s="18" t="inlineStr">
        <x:is>
          <x:t xml:space="preserve">KK: Day 4-5 — Joint working session — pitch Play A; confirm methodology vs measurement itch</x:t>
        </x:is>
      </x:c>
      <x:c r="D312" s="18" t="inlineStr">
        <x:is>
          <x:t xml:space="preserve">If 'methodology' is primary itch and AbarVa can't scratch it → go/no-go decision becomes clear.</x:t>
        </x:is>
      </x:c>
      <x:c r="E312" s="31" t="inlineStr">
        <x:is>
          <x:t xml:space="preserve">P0</x:t>
        </x:is>
      </x:c>
      <x:c r="F312" s="42" t="inlineStr">
        <x:is>
          <x:t xml:space="preserve">5. EXTERNAL</x:t>
        </x:is>
      </x:c>
      <x:c r="G312" s="18" t="inlineStr">
        <x:is>
          <x:t xml:space="preserve">Anand</x:t>
        </x:is>
      </x:c>
      <x:c r="H312" s="18" t="inlineStr">
        <x:is>
          <x:t xml:space="preserve"/>
        </x:is>
      </x:c>
      <x:c r="I312" s="48" t="inlineStr">
        <x:is>
          <x:t xml:space="preserve">You only (working session)</x:t>
        </x:is>
      </x:c>
      <x:c r="J312" s="52" t="inlineStr">
        <x:is>
          <x:t xml:space="preserve">$0</x:t>
        </x:is>
      </x:c>
      <x:c r="K312" s="83" t="inlineStr">
        <x:is>
          <x:t xml:space="preserve">Post-Resign</x:t>
        </x:is>
      </x:c>
      <x:c r="L312" s="44" t="inlineStr">
        <x:is>
          <x:t xml:space="preserve">Not started</x:t>
        </x:is>
      </x:c>
      <x:c r="M312" s="18" t="inlineStr">
        <x:is>
          <x:t xml:space="preserve"/>
        </x:is>
      </x:c>
    </x:row>
    <x:row r="313">
      <x:c r="A313" s="18" t="inlineStr">
        <x:is>
          <x:t xml:space="preserve">T297</x:t>
        </x:is>
      </x:c>
      <x:c r="B313" s="18" t="inlineStr">
        <x:is>
          <x:t xml:space="preserve">Sales</x:t>
        </x:is>
      </x:c>
      <x:c r="C313" s="18" t="inlineStr">
        <x:is>
          <x:t xml:space="preserve">KK: Day 7-10 — Iterate SOW with Delta-specific value levers ($3B IT, $100s of millions app dev)</x:t>
        </x:is>
      </x:c>
      <x:c r="D313" s="18" t="inlineStr">
        <x:is>
          <x:t xml:space="preserve">Validate value with real Delta numbers. IMS contract data. AWS modernization scope.</x:t>
        </x:is>
      </x:c>
      <x:c r="E313" s="31" t="inlineStr">
        <x:is>
          <x:t xml:space="preserve">P0</x:t>
        </x:is>
      </x:c>
      <x:c r="F313" s="42" t="inlineStr">
        <x:is>
          <x:t xml:space="preserve">5. EXTERNAL</x:t>
        </x:is>
      </x:c>
      <x:c r="G313" s="18" t="inlineStr">
        <x:is>
          <x:t xml:space="preserve">Anand</x:t>
        </x:is>
      </x:c>
      <x:c r="H313" s="18" t="inlineStr">
        <x:is>
          <x:t xml:space="preserve"/>
        </x:is>
      </x:c>
      <x:c r="I313" s="48" t="inlineStr">
        <x:is>
          <x:t xml:space="preserve">You only (negotiation)</x:t>
        </x:is>
      </x:c>
      <x:c r="J313" s="52" t="inlineStr">
        <x:is>
          <x:t xml:space="preserve">$0</x:t>
        </x:is>
      </x:c>
      <x:c r="K313" s="83" t="inlineStr">
        <x:is>
          <x:t xml:space="preserve">Post-Resign</x:t>
        </x:is>
      </x:c>
      <x:c r="L313" s="44" t="inlineStr">
        <x:is>
          <x:t xml:space="preserve">Not started</x:t>
        </x:is>
      </x:c>
      <x:c r="M313" s="18" t="inlineStr">
        <x:is>
          <x:t xml:space="preserve"/>
        </x:is>
      </x:c>
    </x:row>
    <x:row r="314">
      <x:c r="A314" s="18" t="inlineStr">
        <x:is>
          <x:t xml:space="preserve">T298</x:t>
        </x:is>
      </x:c>
      <x:c r="B314" s="18" t="inlineStr">
        <x:is>
          <x:t xml:space="preserve">Sales</x:t>
        </x:is>
      </x:c>
      <x:c r="C314" s="18" t="inlineStr">
        <x:is>
          <x:t xml:space="preserve">KK: Day 10-12 — Schedule decision meeting OR document 'what would need to be true'</x:t>
        </x:is>
      </x:c>
      <x:c r="D314" s="18" t="inlineStr">
        <x:is>
          <x:t xml:space="preserve">Two clean outcomes possible: alignment, or honest no-go with conditions for future revisit.</x:t>
        </x:is>
      </x:c>
      <x:c r="E314" s="31" t="inlineStr">
        <x:is>
          <x:t xml:space="preserve">P0</x:t>
        </x:is>
      </x:c>
      <x:c r="F314" s="42" t="inlineStr">
        <x:is>
          <x:t xml:space="preserve">5. EXTERNAL</x:t>
        </x:is>
      </x:c>
      <x:c r="G314" s="18" t="inlineStr">
        <x:is>
          <x:t xml:space="preserve">Anand</x:t>
        </x:is>
      </x:c>
      <x:c r="H314" s="18" t="inlineStr">
        <x:is>
          <x:t xml:space="preserve"/>
        </x:is>
      </x:c>
      <x:c r="I314" s="48" t="inlineStr">
        <x:is>
          <x:t xml:space="preserve">You only</x:t>
        </x:is>
      </x:c>
      <x:c r="J314" s="52" t="inlineStr">
        <x:is>
          <x:t xml:space="preserve">$0</x:t>
        </x:is>
      </x:c>
      <x:c r="K314" s="83" t="inlineStr">
        <x:is>
          <x:t xml:space="preserve">Post-Resign</x:t>
        </x:is>
      </x:c>
      <x:c r="L314" s="44" t="inlineStr">
        <x:is>
          <x:t xml:space="preserve">Not started</x:t>
        </x:is>
      </x:c>
      <x:c r="M314" s="18" t="inlineStr">
        <x:is>
          <x:t xml:space="preserve"/>
        </x:is>
      </x:c>
    </x:row>
    <x:row r="315">
      <x:c r="A315" s="18" t="inlineStr">
        <x:is>
          <x:t xml:space="preserve">T299</x:t>
        </x:is>
      </x:c>
      <x:c r="B315" s="18" t="inlineStr">
        <x:is>
          <x:t xml:space="preserve">Sales</x:t>
        </x:is>
      </x:c>
      <x:c r="C315" s="18" t="inlineStr">
        <x:is>
          <x:t xml:space="preserve">KK: Day 12-14 — Outcome: signed alignment or clean no-go (don't drag if not fit)</x:t>
        </x:is>
      </x:c>
      <x:c r="D315" s="18" t="inlineStr">
        <x:is>
          <x:t xml:space="preserve">Discipline. KK either closes or moves to nurture. 2 weeks max before reassessing investment.</x:t>
        </x:is>
      </x:c>
      <x:c r="E315" s="31" t="inlineStr">
        <x:is>
          <x:t xml:space="preserve">P0</x:t>
        </x:is>
      </x:c>
      <x:c r="F315" s="42" t="inlineStr">
        <x:is>
          <x:t xml:space="preserve">5. EXTERNAL</x:t>
        </x:is>
      </x:c>
      <x:c r="G315" s="18" t="inlineStr">
        <x:is>
          <x:t xml:space="preserve">Anand</x:t>
        </x:is>
      </x:c>
      <x:c r="H315" s="18" t="inlineStr">
        <x:is>
          <x:t xml:space="preserve"/>
        </x:is>
      </x:c>
      <x:c r="I315" s="48" t="inlineStr">
        <x:is>
          <x:t xml:space="preserve">You only</x:t>
        </x:is>
      </x:c>
      <x:c r="J315" s="52" t="inlineStr">
        <x:is>
          <x:t xml:space="preserve">$0</x:t>
        </x:is>
      </x:c>
      <x:c r="K315" s="83" t="inlineStr">
        <x:is>
          <x:t xml:space="preserve">Post-Resign</x:t>
        </x:is>
      </x:c>
      <x:c r="L315" s="44" t="inlineStr">
        <x:is>
          <x:t xml:space="preserve">Not started</x:t>
        </x:is>
      </x:c>
      <x:c r="M315" s="18" t="inlineStr">
        <x:is>
          <x:t xml:space="preserve"/>
        </x:is>
      </x:c>
    </x:row>
    <x:row r="316">
      <x:c r="A316" s="18" t="inlineStr">
        <x:is>
          <x:t xml:space="preserve">T300</x:t>
        </x:is>
      </x:c>
      <x:c r="B316" s="18" t="inlineStr">
        <x:is>
          <x:t xml:space="preserve">Sales</x:t>
        </x:is>
      </x:c>
      <x:c r="C316" s="18" t="inlineStr">
        <x:is>
          <x:t xml:space="preserve">Surekha: Week 1 — LinkedIn connect with thoughtful note about her new role (NOT pitch)</x:t>
        </x:is>
      </x:c>
      <x:c r="D316" s="18" t="inlineStr">
        <x:is>
          <x:t xml:space="preserve">Light touch. She has access. Don't over-engage pre-start.</x:t>
        </x:is>
      </x:c>
      <x:c r="E316" s="31" t="inlineStr">
        <x:is>
          <x:t xml:space="preserve">P0</x:t>
        </x:is>
      </x:c>
      <x:c r="F316" s="42" t="inlineStr">
        <x:is>
          <x:t xml:space="preserve">5. EXTERNAL</x:t>
        </x:is>
      </x:c>
      <x:c r="G316" s="18" t="inlineStr">
        <x:is>
          <x:t xml:space="preserve">Anand</x:t>
        </x:is>
      </x:c>
      <x:c r="H316" s="18" t="inlineStr">
        <x:is>
          <x:t xml:space="preserve"/>
        </x:is>
      </x:c>
      <x:c r="I316" s="48" t="inlineStr">
        <x:is>
          <x:t xml:space="preserve">You only (LinkedIn)</x:t>
        </x:is>
      </x:c>
      <x:c r="J316" s="52" t="inlineStr">
        <x:is>
          <x:t xml:space="preserve">$0</x:t>
        </x:is>
      </x:c>
      <x:c r="K316" s="83" t="inlineStr">
        <x:is>
          <x:t xml:space="preserve">Post-Resign</x:t>
        </x:is>
      </x:c>
      <x:c r="L316" s="44" t="inlineStr">
        <x:is>
          <x:t xml:space="preserve">Not started</x:t>
        </x:is>
      </x:c>
      <x:c r="M316" s="18" t="inlineStr">
        <x:is>
          <x:t xml:space="preserve"/>
        </x:is>
      </x:c>
    </x:row>
    <x:row r="317">
      <x:c r="A317" s="18" t="inlineStr">
        <x:is>
          <x:t xml:space="preserve">T303</x:t>
        </x:is>
      </x:c>
      <x:c r="B317" s="18" t="inlineStr">
        <x:is>
          <x:t xml:space="preserve">Sales</x:t>
        </x:is>
      </x:c>
      <x:c r="C317" s="18" t="inlineStr">
        <x:is>
          <x:t xml:space="preserve">Surekha: ~July 1 — 'Heard you're starting — 30 min in your first week?'</x:t>
        </x:is>
      </x:c>
      <x:c r="D317" s="18" t="inlineStr">
        <x:is>
          <x:t xml:space="preserve">Time the activation. Not before she's in seat.</x:t>
        </x:is>
      </x:c>
      <x:c r="E317" s="31" t="inlineStr">
        <x:is>
          <x:t xml:space="preserve">P0</x:t>
        </x:is>
      </x:c>
      <x:c r="F317" s="42" t="inlineStr">
        <x:is>
          <x:t xml:space="preserve">5. EXTERNAL</x:t>
        </x:is>
      </x:c>
      <x:c r="G317" s="18" t="inlineStr">
        <x:is>
          <x:t xml:space="preserve">Anand</x:t>
        </x:is>
      </x:c>
      <x:c r="H317" s="18" t="inlineStr">
        <x:is>
          <x:t xml:space="preserve"/>
        </x:is>
      </x:c>
      <x:c r="I317" s="48" t="inlineStr">
        <x:is>
          <x:t xml:space="preserve">You only</x:t>
        </x:is>
      </x:c>
      <x:c r="J317" s="52" t="inlineStr">
        <x:is>
          <x:t xml:space="preserve">$0</x:t>
        </x:is>
      </x:c>
      <x:c r="K317" s="83" t="inlineStr">
        <x:is>
          <x:t xml:space="preserve">Post-Resign</x:t>
        </x:is>
      </x:c>
      <x:c r="L317" s="44" t="inlineStr">
        <x:is>
          <x:t xml:space="preserve">Not started</x:t>
        </x:is>
      </x:c>
      <x:c r="M317" s="18" t="inlineStr">
        <x:is>
          <x:t xml:space="preserve"/>
        </x:is>
      </x:c>
    </x:row>
    <x:row r="318">
      <x:c r="A318" s="18" t="inlineStr">
        <x:is>
          <x:t xml:space="preserve">T304</x:t>
        </x:is>
      </x:c>
      <x:c r="B318" s="18" t="inlineStr">
        <x:is>
          <x:t xml:space="preserve">Sales</x:t>
        </x:is>
      </x:c>
      <x:c r="C318" s="18" t="inlineStr">
        <x:is>
          <x:t xml:space="preserve">Surekha: ~July 7 — Discovery call → working session → pilot SOW sprint</x:t>
        </x:is>
      </x:c>
      <x:c r="D318" s="18" t="inlineStr">
        <x:is>
          <x:t xml:space="preserve">Full close sprint activates only after she's in seat with authority.</x:t>
        </x:is>
      </x:c>
      <x:c r="E318" s="31" t="inlineStr">
        <x:is>
          <x:t xml:space="preserve">P0</x:t>
        </x:is>
      </x:c>
      <x:c r="F318" s="42" t="inlineStr">
        <x:is>
          <x:t xml:space="preserve">5. EXTERNAL</x:t>
        </x:is>
      </x:c>
      <x:c r="G318" s="18" t="inlineStr">
        <x:is>
          <x:t xml:space="preserve">Anand</x:t>
        </x:is>
      </x:c>
      <x:c r="H318" s="18" t="inlineStr">
        <x:is>
          <x:t xml:space="preserve"/>
        </x:is>
      </x:c>
      <x:c r="I318" s="48" t="inlineStr">
        <x:is>
          <x:t xml:space="preserve">You only</x:t>
        </x:is>
      </x:c>
      <x:c r="J318" s="52" t="inlineStr">
        <x:is>
          <x:t xml:space="preserve">$0</x:t>
        </x:is>
      </x:c>
      <x:c r="K318" s="83" t="inlineStr">
        <x:is>
          <x:t xml:space="preserve">Post-Resign</x:t>
        </x:is>
      </x:c>
      <x:c r="L318" s="44" t="inlineStr">
        <x:is>
          <x:t xml:space="preserve">Not started</x:t>
        </x:is>
      </x:c>
      <x:c r="M318" s="18" t="inlineStr">
        <x:is>
          <x:t xml:space="preserve"/>
        </x:is>
      </x:c>
    </x:row>
    <x:row r="319">
      <x:c r="A319" s="18" t="inlineStr">
        <x:is>
          <x:t xml:space="preserve">T065</x:t>
        </x:is>
      </x:c>
      <x:c r="B319" s="18" t="inlineStr">
        <x:is>
          <x:t xml:space="preserve">Sales</x:t>
        </x:is>
      </x:c>
      <x:c r="C319" s="18" t="inlineStr">
        <x:is>
          <x:t xml:space="preserve">Health insurance / benefits decision for founder</x:t>
        </x:is>
      </x:c>
      <x:c r="D319" s="18" t="inlineStr">
        <x:is>
          <x:t xml:space="preserve">Solve before incorporation if company-provided needed.</x:t>
        </x:is>
      </x:c>
      <x:c r="E319" s="32" t="inlineStr">
        <x:is>
          <x:t xml:space="preserve">P1</x:t>
        </x:is>
      </x:c>
      <x:c r="F319" s="42" t="inlineStr">
        <x:is>
          <x:t xml:space="preserve">5. EXTERNAL</x:t>
        </x:is>
      </x:c>
      <x:c r="G319" s="18" t="inlineStr">
        <x:is>
          <x:t xml:space="preserve">Anand</x:t>
        </x:is>
      </x:c>
      <x:c r="H319" s="18" t="inlineStr">
        <x:is>
          <x:t xml:space="preserve">T001</x:t>
        </x:is>
      </x:c>
      <x:c r="I319" s="48" t="inlineStr">
        <x:is>
          <x:t xml:space="preserve">3rd party + you</x:t>
        </x:is>
      </x:c>
      <x:c r="J319" s="51" t="inlineStr">
        <x:is>
          <x:t xml:space="preserve">$500-800/mo (founder)</x:t>
        </x:is>
      </x:c>
      <x:c r="K319" s="83" t="inlineStr">
        <x:is>
          <x:t xml:space="preserve">Post-Resign</x:t>
        </x:is>
      </x:c>
      <x:c r="L319" s="44" t="inlineStr">
        <x:is>
          <x:t xml:space="preserve">Not started</x:t>
        </x:is>
      </x:c>
      <x:c r="M319" s="18" t="inlineStr">
        <x:is>
          <x:t xml:space="preserve"/>
        </x:is>
      </x:c>
    </x:row>
    <x:row r="320">
      <x:c r="A320" s="18" t="inlineStr">
        <x:is>
          <x:t xml:space="preserve">T268</x:t>
        </x:is>
      </x:c>
      <x:c r="B320" s="18" t="inlineStr">
        <x:is>
          <x:t xml:space="preserve">Sales</x:t>
        </x:is>
      </x:c>
      <x:c r="C320" s="18" t="inlineStr">
        <x:is>
          <x:t xml:space="preserve">Delta: scout IMS contract landscape — which renewals coming up? Source entry?</x:t>
        </x:is>
      </x:c>
      <x:c r="D320" s="18" t="inlineStr">
        <x:is>
          <x:t xml:space="preserve">Source wedge depends on renewals. Vendor names + dates.</x:t>
        </x:is>
      </x:c>
      <x:c r="E320" s="32" t="inlineStr">
        <x:is>
          <x:t xml:space="preserve">P1</x:t>
        </x:is>
      </x:c>
      <x:c r="F320" s="42" t="inlineStr">
        <x:is>
          <x:t xml:space="preserve">5. EXTERNAL</x:t>
        </x:is>
      </x:c>
      <x:c r="G320" s="18" t="inlineStr">
        <x:is>
          <x:t xml:space="preserve">Anand</x:t>
        </x:is>
      </x:c>
      <x:c r="H320" s="18" t="inlineStr">
        <x:is>
          <x:t xml:space="preserve"/>
        </x:is>
      </x:c>
      <x:c r="I320" s="48" t="inlineStr">
        <x:is>
          <x:t xml:space="preserve">You only (industry research)</x:t>
        </x:is>
      </x:c>
      <x:c r="J320" s="52" t="inlineStr">
        <x:is>
          <x:t xml:space="preserve">$0</x:t>
        </x:is>
      </x:c>
      <x:c r="K320" s="82" t="inlineStr">
        <x:is>
          <x:t xml:space="preserve">Pre-Resign</x:t>
        </x:is>
      </x:c>
      <x:c r="L320" s="44" t="inlineStr">
        <x:is>
          <x:t xml:space="preserve">Not started</x:t>
        </x:is>
      </x:c>
      <x:c r="M320" s="18" t="inlineStr">
        <x:is>
          <x:t xml:space="preserve"/>
        </x:is>
      </x:c>
    </x:row>
    <x:row r="321">
      <x:c r="A321" s="18" t="inlineStr">
        <x:is>
          <x:t xml:space="preserve">T124</x:t>
        </x:is>
      </x:c>
      <x:c r="B321" s="18" t="inlineStr">
        <x:is>
          <x:t xml:space="preserve">Startup Credits</x:t>
        </x:is>
      </x:c>
      <x:c r="C321" s="18" t="inlineStr">
        <x:is>
          <x:t xml:space="preserve">Apply: Microsoft for Startups Founders Hub</x:t>
        </x:is>
      </x:c>
      <x:c r="D321" s="18" t="inlineStr">
        <x:is>
          <x:t xml:space="preserve">Up to $150k Azure credits over 2yr + free GitHub Enterprise + Copilot + M365. Self-serve, ~30min.</x:t>
        </x:is>
      </x:c>
      <x:c r="E321" s="31" t="inlineStr">
        <x:is>
          <x:t xml:space="preserve">P0</x:t>
        </x:is>
      </x:c>
      <x:c r="F321" s="38" t="inlineStr">
        <x:is>
          <x:t xml:space="preserve">1. QUICK WIN</x:t>
        </x:is>
      </x:c>
      <x:c r="G321" s="18" t="inlineStr">
        <x:is>
          <x:t xml:space="preserve">Anand</x:t>
        </x:is>
      </x:c>
      <x:c r="H321" s="18" t="inlineStr">
        <x:is>
          <x:t xml:space="preserve">T001</x:t>
        </x:is>
      </x:c>
      <x:c r="I321" s="43" t="inlineStr">
        <x:is>
          <x:t xml:space="preserve">Self-serve</x:t>
        </x:is>
      </x:c>
      <x:c r="J321" s="52" t="inlineStr">
        <x:is>
          <x:t xml:space="preserve">$0 (saves ~$150k value)</x:t>
        </x:is>
      </x:c>
      <x:c r="K321" s="82" t="inlineStr">
        <x:is>
          <x:t xml:space="preserve">Pre-Resign</x:t>
        </x:is>
      </x:c>
      <x:c r="L321" s="44" t="inlineStr">
        <x:is>
          <x:t xml:space="preserve">Not started</x:t>
        </x:is>
      </x:c>
      <x:c r="M321" s="18" t="inlineStr">
        <x:is>
          <x:t xml:space="preserve">Apply day-after-incorporation (need EIN)</x:t>
        </x:is>
      </x:c>
    </x:row>
    <x:row r="322">
      <x:c r="A322" s="18" t="inlineStr">
        <x:is>
          <x:t xml:space="preserve">T125</x:t>
        </x:is>
      </x:c>
      <x:c r="B322" s="18" t="inlineStr">
        <x:is>
          <x:t xml:space="preserve">Startup Credits</x:t>
        </x:is>
      </x:c>
      <x:c r="C322" s="18" t="inlineStr">
        <x:is>
          <x:t xml:space="preserve">Apply: Anthropic Startup Program (direct)</x:t>
        </x:is>
      </x:c>
      <x:c r="D322" s="18" t="inlineStr">
        <x:is>
          <x:t xml:space="preserve">API credits + co-marketing path. Apply via anthropic.com/startup. Mention F500 pilot landing.</x:t>
        </x:is>
      </x:c>
      <x:c r="E322" s="31" t="inlineStr">
        <x:is>
          <x:t xml:space="preserve">P0</x:t>
        </x:is>
      </x:c>
      <x:c r="F322" s="38" t="inlineStr">
        <x:is>
          <x:t xml:space="preserve">1. QUICK WIN</x:t>
        </x:is>
      </x:c>
      <x:c r="G322" s="18" t="inlineStr">
        <x:is>
          <x:t xml:space="preserve">Anand</x:t>
        </x:is>
      </x:c>
      <x:c r="H322" s="18" t="inlineStr">
        <x:is>
          <x:t xml:space="preserve">T001</x:t>
        </x:is>
      </x:c>
      <x:c r="I322" s="43" t="inlineStr">
        <x:is>
          <x:t xml:space="preserve">Self-serve + Claude (app)</x:t>
        </x:is>
      </x:c>
      <x:c r="J322" s="52" t="inlineStr">
        <x:is>
          <x:t xml:space="preserve">$0 (saves $10-25k)</x:t>
        </x:is>
      </x:c>
      <x:c r="K322" s="82" t="inlineStr">
        <x:is>
          <x:t xml:space="preserve">Pre-Resign</x:t>
        </x:is>
      </x:c>
      <x:c r="L322" s="44" t="inlineStr">
        <x:is>
          <x:t xml:space="preserve">Not started</x:t>
        </x:is>
      </x:c>
      <x:c r="M322" s="18" t="inlineStr">
        <x:is>
          <x:t xml:space="preserve">Stacks with Azure-routed Claude credits</x:t>
        </x:is>
      </x:c>
    </x:row>
    <x:row r="323">
      <x:c r="A323" s="18" t="inlineStr">
        <x:is>
          <x:t xml:space="preserve">T126</x:t>
        </x:is>
      </x:c>
      <x:c r="B323" s="18" t="inlineStr">
        <x:is>
          <x:t xml:space="preserve">Startup Credits</x:t>
        </x:is>
      </x:c>
      <x:c r="C323" s="18" t="inlineStr">
        <x:is>
          <x:t xml:space="preserve">Enable Claude via Azure AI Foundry (stacks Azure credits with Anthropic)</x:t>
        </x:is>
      </x:c>
      <x:c r="D323" s="18" t="inlineStr">
        <x:is>
          <x:t xml:space="preserve">Claude inference billed against Azure credits = doubles effective LLM headroom.</x:t>
        </x:is>
      </x:c>
      <x:c r="E323" s="31" t="inlineStr">
        <x:is>
          <x:t xml:space="preserve">P0</x:t>
        </x:is>
      </x:c>
      <x:c r="F323" s="38" t="inlineStr">
        <x:is>
          <x:t xml:space="preserve">1. QUICK WIN</x:t>
        </x:is>
      </x:c>
      <x:c r="G323" s="18" t="inlineStr">
        <x:is>
          <x:t xml:space="preserve">Anand</x:t>
        </x:is>
      </x:c>
      <x:c r="H323" s="18" t="inlineStr">
        <x:is>
          <x:t xml:space="preserve">T124</x:t>
        </x:is>
      </x:c>
      <x:c r="I323" s="43" t="inlineStr">
        <x:is>
          <x:t xml:space="preserve">Self-serve (Azure portal)</x:t>
        </x:is>
      </x:c>
      <x:c r="J323" s="52" t="inlineStr">
        <x:is>
          <x:t xml:space="preserve">$0 (consumes Azure credits)</x:t>
        </x:is>
      </x:c>
      <x:c r="K323" s="82" t="inlineStr">
        <x:is>
          <x:t xml:space="preserve">Pre-Resign</x:t>
        </x:is>
      </x:c>
      <x:c r="L323" s="44" t="inlineStr">
        <x:is>
          <x:t xml:space="preserve">Not started</x:t>
        </x:is>
      </x:c>
      <x:c r="M323" s="18" t="inlineStr">
        <x:is>
          <x:t xml:space="preserve">Architecture decision — confirm pricing parity vs direct</x:t>
        </x:is>
      </x:c>
    </x:row>
    <x:row r="324">
      <x:c r="A324" s="18" t="inlineStr">
        <x:is>
          <x:t xml:space="preserve">T127</x:t>
        </x:is>
      </x:c>
      <x:c r="B324" s="18" t="inlineStr">
        <x:is>
          <x:t xml:space="preserve">Startup Credits</x:t>
        </x:is>
      </x:c>
      <x:c r="C324" s="18" t="inlineStr">
        <x:is>
          <x:t xml:space="preserve">Apply: Vercel for Startups</x:t>
        </x:is>
      </x:c>
      <x:c r="D324" s="18" t="inlineStr">
        <x:is>
          <x:t xml:space="preserve">Discounted Pro plan + sometimes credits + dedicated support. vercel.com/startups</x:t>
        </x:is>
      </x:c>
      <x:c r="E324" s="31" t="inlineStr">
        <x:is>
          <x:t xml:space="preserve">P0</x:t>
        </x:is>
      </x:c>
      <x:c r="F324" s="38" t="inlineStr">
        <x:is>
          <x:t xml:space="preserve">1. QUICK WIN</x:t>
        </x:is>
      </x:c>
      <x:c r="G324" s="18" t="inlineStr">
        <x:is>
          <x:t xml:space="preserve">Anand</x:t>
        </x:is>
      </x:c>
      <x:c r="H324" s="18" t="inlineStr">
        <x:is>
          <x:t xml:space="preserve">T001</x:t>
        </x:is>
      </x:c>
      <x:c r="I324" s="43" t="inlineStr">
        <x:is>
          <x:t xml:space="preserve">Self-serve</x:t>
        </x:is>
      </x:c>
      <x:c r="J324" s="52" t="inlineStr">
        <x:is>
          <x:t xml:space="preserve">$0 (saves ~$5k)</x:t>
        </x:is>
      </x:c>
      <x:c r="K324" s="82" t="inlineStr">
        <x:is>
          <x:t xml:space="preserve">Pre-Resign</x:t>
        </x:is>
      </x:c>
      <x:c r="L324" s="44" t="inlineStr">
        <x:is>
          <x:t xml:space="preserve">Not started</x:t>
        </x:is>
      </x:c>
      <x:c r="M324" s="18" t="inlineStr">
        <x:is>
          <x:t xml:space="preserve"/>
        </x:is>
      </x:c>
    </x:row>
    <x:row r="325">
      <x:c r="A325" s="18" t="inlineStr">
        <x:is>
          <x:t xml:space="preserve">T128</x:t>
        </x:is>
      </x:c>
      <x:c r="B325" s="18" t="inlineStr">
        <x:is>
          <x:t xml:space="preserve">Startup Credits</x:t>
        </x:is>
      </x:c>
      <x:c r="C325" s="18" t="inlineStr">
        <x:is>
          <x:t xml:space="preserve">Apply: Clerk for Startups (discounted Enterprise)</x:t>
        </x:is>
      </x:c>
      <x:c r="D325" s="18" t="inlineStr">
        <x:is>
          <x:t xml:space="preserve">SSO/SAML/SCIM is on Pro+. Startup discount = material. Email startups@clerk.com.</x:t>
        </x:is>
      </x:c>
      <x:c r="E325" s="31" t="inlineStr">
        <x:is>
          <x:t xml:space="preserve">P0</x:t>
        </x:is>
      </x:c>
      <x:c r="F325" s="38" t="inlineStr">
        <x:is>
          <x:t xml:space="preserve">1. QUICK WIN</x:t>
        </x:is>
      </x:c>
      <x:c r="G325" s="18" t="inlineStr">
        <x:is>
          <x:t xml:space="preserve">Anand</x:t>
        </x:is>
      </x:c>
      <x:c r="H325" s="18" t="inlineStr">
        <x:is>
          <x:t xml:space="preserve">T001</x:t>
        </x:is>
      </x:c>
      <x:c r="I325" s="43" t="inlineStr">
        <x:is>
          <x:t xml:space="preserve">Self-serve</x:t>
        </x:is>
      </x:c>
      <x:c r="J325" s="52" t="inlineStr">
        <x:is>
          <x:t xml:space="preserve">$0 (saves $5-15k SSO premium)</x:t>
        </x:is>
      </x:c>
      <x:c r="K325" s="82" t="inlineStr">
        <x:is>
          <x:t xml:space="preserve">Pre-Resign</x:t>
        </x:is>
      </x:c>
      <x:c r="L325" s="44" t="inlineStr">
        <x:is>
          <x:t xml:space="preserve">Not started</x:t>
        </x:is>
      </x:c>
      <x:c r="M325" s="18" t="inlineStr">
        <x:is>
          <x:t xml:space="preserve">Required for F500 SSO</x:t>
        </x:is>
      </x:c>
    </x:row>
    <x:row r="326">
      <x:c r="A326" s="18" t="inlineStr">
        <x:is>
          <x:t xml:space="preserve">T132</x:t>
        </x:is>
      </x:c>
      <x:c r="B326" s="18" t="inlineStr">
        <x:is>
          <x:t xml:space="preserve">Startup Credits</x:t>
        </x:is>
      </x:c>
      <x:c r="C326" s="18" t="inlineStr">
        <x:is>
          <x:t xml:space="preserve">Apply: Vanta or Drata startup discount</x:t>
        </x:is>
      </x:c>
      <x:c r="D326" s="18" t="inlineStr">
        <x:is>
          <x:t xml:space="preserve">Ask at sign-up — many SOC 2 platforms have startup pricing.</x:t>
        </x:is>
      </x:c>
      <x:c r="E326" s="31" t="inlineStr">
        <x:is>
          <x:t xml:space="preserve">P0</x:t>
        </x:is>
      </x:c>
      <x:c r="F326" s="38" t="inlineStr">
        <x:is>
          <x:t xml:space="preserve">1. QUICK WIN</x:t>
        </x:is>
      </x:c>
      <x:c r="G326" s="18" t="inlineStr">
        <x:is>
          <x:t xml:space="preserve">Anand</x:t>
        </x:is>
      </x:c>
      <x:c r="H326" s="18" t="inlineStr">
        <x:is>
          <x:t xml:space="preserve">T013</x:t>
        </x:is>
      </x:c>
      <x:c r="I326" s="43" t="inlineStr">
        <x:is>
          <x:t xml:space="preserve">Self-serve (ask at signup)</x:t>
        </x:is>
      </x:c>
      <x:c r="J326" s="51" t="inlineStr">
        <x:is>
          <x:t xml:space="preserve">Reduces SOC 2 by 20-40%</x:t>
        </x:is>
      </x:c>
      <x:c r="K326" s="82" t="inlineStr">
        <x:is>
          <x:t xml:space="preserve">Pre-Resign</x:t>
        </x:is>
      </x:c>
      <x:c r="L326" s="44" t="inlineStr">
        <x:is>
          <x:t xml:space="preserve">Not started</x:t>
        </x:is>
      </x:c>
      <x:c r="M326" s="18" t="inlineStr">
        <x:is>
          <x:t xml:space="preserve">Tie to SOC 2 task</x:t>
        </x:is>
      </x:c>
    </x:row>
    <x:row r="327">
      <x:c r="A327" s="18" t="inlineStr">
        <x:is>
          <x:t xml:space="preserve">T129</x:t>
        </x:is>
      </x:c>
      <x:c r="B327" s="18" t="inlineStr">
        <x:is>
          <x:t xml:space="preserve">Startup Credits</x:t>
        </x:is>
      </x:c>
      <x:c r="C327" s="18" t="inlineStr">
        <x:is>
          <x:t xml:space="preserve">Apply: OpenAI for Startups</x:t>
        </x:is>
      </x:c>
      <x:c r="D327" s="18" t="inlineStr">
        <x:is>
          <x:t xml:space="preserve">API credits — even if Anthropic primary, useful for embeddings/eval/fallback.</x:t>
        </x:is>
      </x:c>
      <x:c r="E327" s="32" t="inlineStr">
        <x:is>
          <x:t xml:space="preserve">P1</x:t>
        </x:is>
      </x:c>
      <x:c r="F327" s="38" t="inlineStr">
        <x:is>
          <x:t xml:space="preserve">1. QUICK WIN</x:t>
        </x:is>
      </x:c>
      <x:c r="G327" s="18" t="inlineStr">
        <x:is>
          <x:t xml:space="preserve">Anand</x:t>
        </x:is>
      </x:c>
      <x:c r="H327" s="18" t="inlineStr">
        <x:is>
          <x:t xml:space="preserve">T001</x:t>
        </x:is>
      </x:c>
      <x:c r="I327" s="43" t="inlineStr">
        <x:is>
          <x:t xml:space="preserve">Self-serve</x:t>
        </x:is>
      </x:c>
      <x:c r="J327" s="52" t="inlineStr">
        <x:is>
          <x:t xml:space="preserve">$0</x:t>
        </x:is>
      </x:c>
      <x:c r="K327" s="82" t="inlineStr">
        <x:is>
          <x:t xml:space="preserve">Pre-Resign</x:t>
        </x:is>
      </x:c>
      <x:c r="L327" s="44" t="inlineStr">
        <x:is>
          <x:t xml:space="preserve">Not started</x:t>
        </x:is>
      </x:c>
      <x:c r="M327" s="18" t="inlineStr">
        <x:is>
          <x:t xml:space="preserve"/>
        </x:is>
      </x:c>
    </x:row>
    <x:row r="328">
      <x:c r="A328" s="18" t="inlineStr">
        <x:is>
          <x:t xml:space="preserve">T130</x:t>
        </x:is>
      </x:c>
      <x:c r="B328" s="18" t="inlineStr">
        <x:is>
          <x:t xml:space="preserve">Startup Credits</x:t>
        </x:is>
      </x:c>
      <x:c r="C328" s="18" t="inlineStr">
        <x:is>
          <x:t xml:space="preserve">Apply: Notion for Startups</x:t>
        </x:is>
      </x:c>
      <x:c r="D328" s="18" t="inlineStr">
        <x:is>
          <x:t xml:space="preserve">Free team plan up to N users + $1k credit. Internal wiki + customer docs.</x:t>
        </x:is>
      </x:c>
      <x:c r="E328" s="32" t="inlineStr">
        <x:is>
          <x:t xml:space="preserve">P1</x:t>
        </x:is>
      </x:c>
      <x:c r="F328" s="38" t="inlineStr">
        <x:is>
          <x:t xml:space="preserve">1. QUICK WIN</x:t>
        </x:is>
      </x:c>
      <x:c r="G328" s="18" t="inlineStr">
        <x:is>
          <x:t xml:space="preserve">Anand</x:t>
        </x:is>
      </x:c>
      <x:c r="H328" s="18" t="inlineStr">
        <x:is>
          <x:t xml:space="preserve">T001</x:t>
        </x:is>
      </x:c>
      <x:c r="I328" s="43" t="inlineStr">
        <x:is>
          <x:t xml:space="preserve">Self-serve</x:t>
        </x:is>
      </x:c>
      <x:c r="J328" s="52" t="inlineStr">
        <x:is>
          <x:t xml:space="preserve">$0</x:t>
        </x:is>
      </x:c>
      <x:c r="K328" s="82" t="inlineStr">
        <x:is>
          <x:t xml:space="preserve">Pre-Resign</x:t>
        </x:is>
      </x:c>
      <x:c r="L328" s="44" t="inlineStr">
        <x:is>
          <x:t xml:space="preserve">Not started</x:t>
        </x:is>
      </x:c>
      <x:c r="M328" s="18" t="inlineStr">
        <x:is>
          <x:t xml:space="preserve"/>
        </x:is>
      </x:c>
    </x:row>
    <x:row r="329">
      <x:c r="A329" s="18" t="inlineStr">
        <x:is>
          <x:t xml:space="preserve">T131</x:t>
        </x:is>
      </x:c>
      <x:c r="B329" s="18" t="inlineStr">
        <x:is>
          <x:t xml:space="preserve">Startup Credits</x:t>
        </x:is>
      </x:c>
      <x:c r="C329" s="18" t="inlineStr">
        <x:is>
          <x:t xml:space="preserve">Apply: HubSpot for Startups (90% off year 1)</x:t>
        </x:is>
      </x:c>
      <x:c r="D329" s="18" t="inlineStr">
        <x:is>
          <x:t xml:space="preserve">When you need CRM — post-pilot signature, before scale.</x:t>
        </x:is>
      </x:c>
      <x:c r="E329" s="49" t="inlineStr">
        <x:is>
          <x:t xml:space="preserve">P2</x:t>
        </x:is>
      </x:c>
      <x:c r="F329" s="38" t="inlineStr">
        <x:is>
          <x:t xml:space="preserve">1. QUICK WIN</x:t>
        </x:is>
      </x:c>
      <x:c r="G329" s="18" t="inlineStr">
        <x:is>
          <x:t xml:space="preserve">Anand</x:t>
        </x:is>
      </x:c>
      <x:c r="H329" s="18" t="inlineStr">
        <x:is>
          <x:t xml:space="preserve">T001</x:t>
        </x:is>
      </x:c>
      <x:c r="I329" s="43" t="inlineStr">
        <x:is>
          <x:t xml:space="preserve">Self-serve</x:t>
        </x:is>
      </x:c>
      <x:c r="J329" s="52" t="inlineStr">
        <x:is>
          <x:t xml:space="preserve">$0 year 1; ~$600/mo yr 2</x:t>
        </x:is>
      </x:c>
      <x:c r="K329" s="82" t="inlineStr">
        <x:is>
          <x:t xml:space="preserve">Pre-Resign</x:t>
        </x:is>
      </x:c>
      <x:c r="L329" s="44" t="inlineStr">
        <x:is>
          <x:t xml:space="preserve">Not started</x:t>
        </x:is>
      </x:c>
      <x:c r="M329" s="18" t="inlineStr">
        <x:is>
          <x:t xml:space="preserve"/>
        </x:is>
      </x:c>
    </x:row>
    <x:row r="330">
      <x:c r="A330" s="18" t="inlineStr">
        <x:is>
          <x:t xml:space="preserve">T135</x:t>
        </x:is>
      </x:c>
      <x:c r="B330" s="18" t="inlineStr">
        <x:is>
          <x:t xml:space="preserve">Startup Credits</x:t>
        </x:is>
      </x:c>
      <x:c r="C330" s="18" t="inlineStr">
        <x:is>
          <x:t xml:space="preserve">Join Microsoft Cloud Partner Program (MCPP) post first customer</x:t>
        </x:is>
      </x:c>
      <x:c r="D330" s="18" t="inlineStr">
        <x:is>
          <x:t xml:space="preserve">Co-sell motion with Microsoft sellers into F500 accounts. Biggest single channel multiplier for Azure-native B2B.</x:t>
        </x:is>
      </x:c>
      <x:c r="E330" s="49" t="inlineStr">
        <x:is>
          <x:t xml:space="preserve">P2</x:t>
        </x:is>
      </x:c>
      <x:c r="F330" s="38" t="inlineStr">
        <x:is>
          <x:t xml:space="preserve">1. QUICK WIN</x:t>
        </x:is>
      </x:c>
      <x:c r="G330" s="18" t="inlineStr">
        <x:is>
          <x:t xml:space="preserve">Anand</x:t>
        </x:is>
      </x:c>
      <x:c r="H330" s="18" t="inlineStr">
        <x:is>
          <x:t xml:space="preserve">T124</x:t>
        </x:is>
      </x:c>
      <x:c r="I330" s="43" t="inlineStr">
        <x:is>
          <x:t xml:space="preserve">Self-serve (later)</x:t>
        </x:is>
      </x:c>
      <x:c r="J330" s="52" t="inlineStr">
        <x:is>
          <x:t xml:space="preserve">$0</x:t>
        </x:is>
      </x:c>
      <x:c r="K330" s="83" t="inlineStr">
        <x:is>
          <x:t xml:space="preserve">Post-Resign</x:t>
        </x:is>
      </x:c>
      <x:c r="L330" s="44" t="inlineStr">
        <x:is>
          <x:t xml:space="preserve">Not started</x:t>
        </x:is>
      </x:c>
      <x:c r="M330" s="18" t="inlineStr">
        <x:is>
          <x:t xml:space="preserve">Apply after first paying customer</x:t>
        </x:is>
      </x:c>
    </x:row>
    <x:row r="331">
      <x:c r="A331" s="18" t="inlineStr">
        <x:is>
          <x:t xml:space="preserve">T133</x:t>
        </x:is>
      </x:c>
      <x:c r="B331" s="18" t="inlineStr">
        <x:is>
          <x:t xml:space="preserve">Startup Credits</x:t>
        </x:is>
      </x:c>
      <x:c r="C331" s="18" t="inlineStr">
        <x:is>
          <x:t xml:space="preserve">Apply: Linear for Startups (6 months free)</x:t>
        </x:is>
      </x:c>
      <x:c r="D331" s="18" t="inlineStr">
        <x:is>
          <x:t xml:space="preserve">If you migrate off GitHub Issues.</x:t>
        </x:is>
      </x:c>
      <x:c r="E331" s="46" t="inlineStr">
        <x:is>
          <x:t xml:space="preserve">P3</x:t>
        </x:is>
      </x:c>
      <x:c r="F331" s="38" t="inlineStr">
        <x:is>
          <x:t xml:space="preserve">1. QUICK WIN</x:t>
        </x:is>
      </x:c>
      <x:c r="G331" s="18" t="inlineStr">
        <x:is>
          <x:t xml:space="preserve">Anand</x:t>
        </x:is>
      </x:c>
      <x:c r="H331" s="18" t="inlineStr">
        <x:is>
          <x:t xml:space="preserve">T001</x:t>
        </x:is>
      </x:c>
      <x:c r="I331" s="43" t="inlineStr">
        <x:is>
          <x:t xml:space="preserve">Self-serve</x:t>
        </x:is>
      </x:c>
      <x:c r="J331" s="52" t="inlineStr">
        <x:is>
          <x:t xml:space="preserve">$0</x:t>
        </x:is>
      </x:c>
      <x:c r="K331" s="82" t="inlineStr">
        <x:is>
          <x:t xml:space="preserve">Pre-Resign</x:t>
        </x:is>
      </x:c>
      <x:c r="L331" s="44" t="inlineStr">
        <x:is>
          <x:t xml:space="preserve">Not started</x:t>
        </x:is>
      </x:c>
      <x:c r="M331" s="18" t="inlineStr">
        <x:is>
          <x:t xml:space="preserve"/>
        </x:is>
      </x:c>
    </x:row>
    <x:row r="332">
      <x:c r="A332" s="18" t="inlineStr">
        <x:is>
          <x:t xml:space="preserve">T136</x:t>
        </x:is>
      </x:c>
      <x:c r="B332" s="18" t="inlineStr">
        <x:is>
          <x:t xml:space="preserve">Startup Credits</x:t>
        </x:is>
      </x:c>
      <x:c r="C332" s="18" t="inlineStr">
        <x:is>
          <x:t xml:space="preserve">Capture all credits/perks in vendor tracker</x:t>
        </x:is>
      </x:c>
      <x:c r="D332" s="18" t="inlineStr">
        <x:is>
          <x:t xml:space="preserve">Single sheet listing each program, value, renewal date, expiry — so credits don't lapse unused.</x:t>
        </x:is>
      </x:c>
      <x:c r="E332" s="32" t="inlineStr">
        <x:is>
          <x:t xml:space="preserve">P1</x:t>
        </x:is>
      </x:c>
      <x:c r="F332" s="39" t="inlineStr">
        <x:is>
          <x:t xml:space="preserve">2. CLAUDE DOES IT</x:t>
        </x:is>
      </x:c>
      <x:c r="G332" s="18" t="inlineStr">
        <x:is>
          <x:t xml:space="preserve">Anand</x:t>
        </x:is>
      </x:c>
      <x:c r="H332" s="18" t="inlineStr">
        <x:is>
          <x:t xml:space="preserve">T124</x:t>
        </x:is>
      </x:c>
      <x:c r="I332" s="45" t="inlineStr">
        <x:is>
          <x:t xml:space="preserve">Claude (sheet)</x:t>
        </x:is>
      </x:c>
      <x:c r="J332" s="52" t="inlineStr">
        <x:is>
          <x:t xml:space="preserve">$0</x:t>
        </x:is>
      </x:c>
      <x:c r="K332" s="83" t="inlineStr">
        <x:is>
          <x:t xml:space="preserve">Post-Resign</x:t>
        </x:is>
      </x:c>
      <x:c r="L332" s="44" t="inlineStr">
        <x:is>
          <x:t xml:space="preserve">Not started</x:t>
        </x:is>
      </x:c>
      <x:c r="M332" s="18" t="inlineStr">
        <x:is>
          <x:t xml:space="preserve">Goes with Operational Readiness vendor mgmt</x:t>
        </x:is>
      </x:c>
    </x:row>
    <x:row r="333">
      <x:c r="A333" s="18" t="inlineStr">
        <x:is>
          <x:t xml:space="preserve">T134</x:t>
        </x:is>
      </x:c>
      <x:c r="B333" s="18" t="inlineStr">
        <x:is>
          <x:t xml:space="preserve">Startup Credits</x:t>
        </x:is>
      </x:c>
      <x:c r="C333" s="18" t="inlineStr">
        <x:is>
          <x:t xml:space="preserve">Publish AbarVa listing on Azure Marketplace</x:t>
        </x:is>
      </x:c>
      <x:c r="D333" s="18" t="inlineStr">
        <x:is>
          <x:t xml:space="preserve">F500 procurement preference — counts toward customer's Azure commitment. Unlocks higher Founders Hub credit tier.</x:t>
        </x:is>
      </x:c>
      <x:c r="E333" s="32" t="inlineStr">
        <x:is>
          <x:t xml:space="preserve">P1</x:t>
        </x:is>
      </x:c>
      <x:c r="F333" s="41" t="inlineStr">
        <x:is>
          <x:t xml:space="preserve">4. CLAUDE + PRO</x:t>
        </x:is>
      </x:c>
      <x:c r="G333" s="18" t="inlineStr">
        <x:is>
          <x:t xml:space="preserve">Anand</x:t>
        </x:is>
      </x:c>
      <x:c r="H333" s="18" t="inlineStr">
        <x:is>
          <x:t xml:space="preserve">T124</x:t>
        </x:is>
      </x:c>
      <x:c r="I333" s="50" t="inlineStr">
        <x:is>
          <x:t xml:space="preserve">Claude + Microsoft partner</x:t>
        </x:is>
      </x:c>
      <x:c r="J333" s="52" t="inlineStr">
        <x:is>
          <x:t xml:space="preserve">$0 (founder time + Microsoft partner)</x:t>
        </x:is>
      </x:c>
      <x:c r="K333" s="83" t="inlineStr">
        <x:is>
          <x:t xml:space="preserve">Post-Resign</x:t>
        </x:is>
      </x:c>
      <x:c r="L333" s="44" t="inlineStr">
        <x:is>
          <x:t xml:space="preserve">Not started</x:t>
        </x:is>
      </x:c>
      <x:c r="M333" s="18" t="inlineStr">
        <x:is>
          <x:t xml:space="preserve">After Microsoft Founders Hub onboarded</x:t>
        </x:is>
      </x:c>
    </x:row>
  </x:sheetData>
  <x:mergeCells>
    <x:mergeCell ref="A2:M2"/>
    <x:mergeCell ref="A1:M1"/>
  </x:mergeCells>
  <x:conditionalFormatting sqref="L5:L533">
    <x:cfRule type="cellIs" dxfId="4" priority="1" operator="equal">
      <x:formula>"Not started"</x:formula>
    </x:cfRule>
    <x:cfRule type="cellIs" dxfId="5" priority="2" operator="equal">
      <x:formula>"In progress"</x:formula>
    </x:cfRule>
    <x:cfRule type="cellIs" dxfId="6" priority="3" operator="equal">
      <x:formula>"Blocked"</x:formula>
    </x:cfRule>
    <x:cfRule type="cellIs" dxfId="7" priority="4" operator="equal">
      <x:formula>"Done"</x:formula>
    </x:cfRule>
  </x:conditionalFormatting>
  <x:conditionalFormatting sqref="A5:M533">
    <x:cfRule type="expression" dxfId="8" priority="5">
      <x:formula>$L5="Done"</x:formula>
    </x:cfRule>
  </x:conditionalFormatting>
  <x:conditionalFormatting sqref="K5:K533">
    <x:cfRule type="cellIs" dxfId="22" priority="6" operator="equal">
      <x:formula>"Pre-Resign"</x:formula>
    </x:cfRule>
    <x:cfRule type="cellIs" dxfId="19" priority="7" operator="equal">
      <x:formula>"At-Resign"</x:formula>
    </x:cfRule>
    <x:cfRule type="cellIs" dxfId="23" priority="8" operator="equal">
      <x:formula>"Post-Resign"</x:formula>
    </x:cfRule>
    <x:cfRule type="cellIs" dxfId="24" priority="9" operator="equal">
      <x:formula>"Anytime"</x:formula>
    </x:cfRule>
  </x:conditionalFormatting>
  <x:dataValidations count="3">
    <x:dataValidation type="list" allowBlank="0" showDropDown="0" showInputMessage="0" showErrorMessage="0" sqref="L5:L533">
      <x:formula1>"Not started,In progress,Blocked,Done"</x:formula1>
    </x:dataValidation>
    <x:dataValidation type="list" allowBlank="0" showDropDown="0" showInputMessage="0" showErrorMessage="0" sqref="E5:E533">
      <x:formula1>"P0,P1,P2,P3"</x:formula1>
    </x:dataValidation>
    <x:dataValidation type="list" allowBlank="0" showDropDown="0" showInputMessage="0" showErrorMessage="0" sqref="K5:K533">
      <x:formula1>"Pre-Resign,At-Resign,Post-Resign,Anytime"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22" customWidth="1"/>
    <x:col min="4" max="4" width="38" customWidth="1"/>
    <x:col min="5" max="5" width="14" customWidth="1"/>
    <x:col min="6" max="6" width="26" customWidth="1"/>
    <x:col min="7" max="7" width="24" customWidth="1"/>
    <x:col min="8" max="8" width="20" customWidth="1"/>
    <x:col min="9" max="9" width="14" customWidth="1"/>
  </x:cols>
  <x:sheetData>
    <x:row r="2">
      <x:c r="B2" s="1" t="inlineStr">
        <x:is>
          <x:t xml:space="preserve">Codex Execution Queue — Hand These Off in Order</x:t>
        </x:is>
      </x:c>
    </x:row>
    <x:row r="3">
      <x:c r="B3" s="2" t="inlineStr">
        <x:is>
          <x:t xml:space="preserve">Wave-by-wave handoff. Each Codex task is scoped, self-contained, Anytime-phase, $0 cost. Copy-paste prompts below directly into Codex.</x:t>
        </x:is>
      </x:c>
    </x:row>
    <x:row r="4">
      <x:c r="B4" s="94" t="inlineStr">
        <x:is>
          <x:t xml:space="preserve">👉 Full autonomous-execution prompts now live at: docs/planning/CODEX_AUTONOMOUS_EXECUTION.md (markdown — better for Codex consumption)</x:t>
        </x:is>
      </x:c>
    </x:row>
    <x:row r="5">
      <x:c r="B5" s="5" t="inlineStr">
        <x:is>
          <x:t xml:space="preserve">Wave Summary</x:t>
        </x:is>
      </x:c>
    </x:row>
    <x:row r="6">
      <x:c r="B6" s="8" t="inlineStr">
        <x:is>
          <x:t xml:space="preserve">Wave</x:t>
        </x:is>
      </x:c>
      <x:c r="C6" s="8" t="inlineStr">
        <x:is>
          <x:t xml:space="preserve">Focus</x:t>
        </x:is>
      </x:c>
      <x:c r="D6" s="8" t="inlineStr">
        <x:is>
          <x:t xml:space="preserve">Tasks</x:t>
        </x:is>
      </x:c>
      <x:c r="E6" s="8" t="inlineStr">
        <x:is>
          <x:t xml:space="preserve">Effort</x:t>
        </x:is>
      </x:c>
      <x:c r="F6" s="8" t="inlineStr">
        <x:is>
          <x:t xml:space="preserve">Deliverables</x:t>
        </x:is>
      </x:c>
      <x:c r="G6" s="8" t="inlineStr">
        <x:is>
          <x:t xml:space="preserve">Acceptance</x:t>
        </x:is>
      </x:c>
      <x:c r="H6" s="8" t="inlineStr">
        <x:is>
          <x:t xml:space="preserve">Dependencies</x:t>
        </x:is>
      </x:c>
      <x:c r="I6" s="8" t="inlineStr">
        <x:is>
          <x:t xml:space="preserve">Status</x:t>
        </x:is>
      </x:c>
    </x:row>
    <x:row r="7">
      <x:c r="B7" s="8" t="inlineStr">
        <x:is>
          <x:t xml:space="preserve">Wave 1</x:t>
        </x:is>
      </x:c>
      <x:c r="C7" s="18" t="inlineStr">
        <x:is>
          <x:t xml:space="preserve">Governance foundation</x:t>
        </x:is>
      </x:c>
      <x:c r="D7" s="18" t="inlineStr">
        <x:is>
          <x:t xml:space="preserve">5 ADRs + GOVERNANCE.md + CODEOWNERS + PR template + pre-commit hooks + Conventional Commits config</x:t>
        </x:is>
      </x:c>
      <x:c r="E7" s="18" t="inlineStr">
        <x:is>
          <x:t xml:space="preserve">1-2 days</x:t>
        </x:is>
      </x:c>
      <x:c r="F7" s="18" t="inlineStr">
        <x:is>
          <x:t xml:space="preserve">Files committed to main; release record per AGENTS.md</x:t>
        </x:is>
      </x:c>
      <x:c r="G7" s="18" t="inlineStr">
        <x:is>
          <x:t xml:space="preserve">PR opens, all 7 deliverables present, tests pass, release record present</x:t>
        </x:is>
      </x:c>
      <x:c r="H7" s="18" t="inlineStr">
        <x:is>
          <x:t xml:space="preserve">None — start here</x:t>
        </x:is>
      </x:c>
      <x:c r="I7" s="18" t="inlineStr">
        <x:is>
          <x:t xml:space="preserve">Not started</x:t>
        </x:is>
      </x:c>
    </x:row>
    <x:row r="8">
      <x:c r="B8" s="8" t="inlineStr">
        <x:is>
          <x:t xml:space="preserve">Wave 2</x:t>
        </x:is>
      </x:c>
      <x:c r="C8" s="18" t="inlineStr">
        <x:is>
          <x:t xml:space="preserve">AI Liability framework</x:t>
        </x:is>
      </x:c>
      <x:c r="D8" s="18" t="inlineStr">
        <x:is>
          <x:t xml:space="preserve">ADR + dependency-cruiser rule + AILabel/ApprovalGate/JustificationField/ConfidenceIndicator/SourceCitation/EditBeforeCommit/DisclaimerFooter components in /src/components/ai-liability/</x:t>
        </x:is>
      </x:c>
      <x:c r="E8" s="18" t="inlineStr">
        <x:is>
          <x:t xml:space="preserve">2-3 days</x:t>
        </x:is>
      </x:c>
      <x:c r="F8" s="18" t="inlineStr">
        <x:is>
          <x:t xml:space="preserve">Architectural invariant codified + reusable React components ready for retrofit waves</x:t>
        </x:is>
      </x:c>
      <x:c r="G8" s="18" t="inlineStr">
        <x:is>
          <x:t xml:space="preserve">Components Storybook-style demo; dep-cruiser rule blocks violations; ADR merged</x:t>
        </x:is>
      </x:c>
      <x:c r="H8" s="18" t="inlineStr">
        <x:is>
          <x:t xml:space="preserve">Wave 1</x:t>
        </x:is>
      </x:c>
      <x:c r="I8" s="18" t="inlineStr">
        <x:is>
          <x:t xml:space="preserve">Not started</x:t>
        </x:is>
      </x:c>
    </x:row>
    <x:row r="9">
      <x:c r="B9" s="8" t="inlineStr">
        <x:is>
          <x:t xml:space="preserve">Wave 3</x:t>
        </x:is>
      </x:c>
      <x:c r="C9" s="18" t="inlineStr">
        <x:is>
          <x:t xml:space="preserve">CI quality gates</x:t>
        </x:is>
      </x:c>
      <x:c r="D9" s="18" t="inlineStr">
        <x:is>
          <x:t xml:space="preserve">GitHub Actions: lint, typecheck, unit, integration, build, gitleaks, dep audit, license-checker, SBOM, bundle-size, Lighthouse CI</x:t>
        </x:is>
      </x:c>
      <x:c r="E9" s="18" t="inlineStr">
        <x:is>
          <x:t xml:space="preserve">1-2 days</x:t>
        </x:is>
      </x:c>
      <x:c r="F9" s="18" t="inlineStr">
        <x:is>
          <x:t xml:space="preserve">.github/workflows/ files; all required-check on main</x:t>
        </x:is>
      </x:c>
      <x:c r="G9" s="18" t="inlineStr">
        <x:is>
          <x:t xml:space="preserve">PR fails on any gate violation; documented in GOVERNANCE.md</x:t>
        </x:is>
      </x:c>
      <x:c r="H9" s="18" t="inlineStr">
        <x:is>
          <x:t xml:space="preserve">Wave 1</x:t>
        </x:is>
      </x:c>
      <x:c r="I9" s="18" t="inlineStr">
        <x:is>
          <x:t xml:space="preserve">Not started</x:t>
        </x:is>
      </x:c>
    </x:row>
    <x:row r="10">
      <x:c r="B10" s="8" t="inlineStr">
        <x:is>
          <x:t xml:space="preserve">Wave 4</x:t>
        </x:is>
      </x:c>
      <x:c r="C10" s="18" t="inlineStr">
        <x:is>
          <x:t xml:space="preserve">Architecture boundaries</x:t>
        </x:is>
      </x:c>
      <x:c r="D10" s="18" t="inlineStr">
        <x:is>
          <x:t xml:space="preserve">/.dependency-cruiser.cjs config encoding: broker boundary, no legacy Supabase, no direct-DB from routes, no hardcoded tenant IDs, no console.log, test-file location</x:t>
        </x:is>
      </x:c>
      <x:c r="E10" s="18" t="inlineStr">
        <x:is>
          <x:t xml:space="preserve">1 day</x:t>
        </x:is>
      </x:c>
      <x:c r="F10" s="18" t="inlineStr">
        <x:is>
          <x:t xml:space="preserve">dep-cruiser validates on every PR; existing violations cataloged</x:t>
        </x:is>
      </x:c>
      <x:c r="G10" s="18" t="inlineStr">
        <x:is>
          <x:t xml:space="preserve">Rules pass on green commits; documented exceptions for legacy</x:t>
        </x:is>
      </x:c>
      <x:c r="H10" s="18" t="inlineStr">
        <x:is>
          <x:t xml:space="preserve">Wave 1, 2</x:t>
        </x:is>
      </x:c>
      <x:c r="I10" s="18" t="inlineStr">
        <x:is>
          <x:t xml:space="preserve">Not started</x:t>
        </x:is>
      </x:c>
    </x:row>
    <x:row r="11">
      <x:c r="B11" s="8" t="inlineStr">
        <x:is>
          <x:t xml:space="preserve">Wave 5</x:t>
        </x:is>
      </x:c>
      <x:c r="C11" s="18" t="inlineStr">
        <x:is>
          <x:t xml:space="preserve">Document parsing pipeline</x:t>
        </x:is>
      </x:c>
      <x:c r="D11" s="18" t="inlineStr">
        <x:is>
          <x:t xml:space="preserve">Azure Doc Intelligence integration + content-hash parse cache + Anthropic prompt caching wiring + small-doc shortcut + supported format matrix</x:t>
        </x:is>
      </x:c>
      <x:c r="E11" s="18" t="inlineStr">
        <x:is>
          <x:t xml:space="preserve">2-3 days</x:t>
        </x:is>
      </x:c>
      <x:c r="F11" s="18" t="inlineStr">
        <x:is>
          <x:t xml:space="preserve">/src/lib/ingestion/* with parse-once-cache-reuse pattern</x:t>
        </x:is>
      </x:c>
      <x:c r="G11" s="18" t="inlineStr">
        <x:is>
          <x:t xml:space="preserve">Upload triggers parse → cache → reuse on re-upload; tests prove no re-parse on hash match</x:t>
        </x:is>
      </x:c>
      <x:c r="H11" s="18" t="inlineStr">
        <x:is>
          <x:t xml:space="preserve">Wave 1, 2</x:t>
        </x:is>
      </x:c>
      <x:c r="I11" s="18" t="inlineStr">
        <x:is>
          <x:t xml:space="preserve">Not started</x:t>
        </x:is>
      </x:c>
    </x:row>
    <x:row r="12">
      <x:c r="B12" s="8" t="inlineStr">
        <x:is>
          <x:t xml:space="preserve">Wave 6</x:t>
        </x:is>
      </x:c>
      <x:c r="C12" s="18" t="inlineStr">
        <x:is>
          <x:t xml:space="preserve">Token meter + admin/ops</x:t>
        </x:is>
      </x:c>
      <x:c r="D12" s="18" t="inlineStr">
        <x:is>
          <x:t xml:space="preserve">Per-tenant LLM usage meter + hard cap enforcement + admin/ops surface (re-index, migrations, backfills)</x:t>
        </x:is>
      </x:c>
      <x:c r="E12" s="18" t="inlineStr">
        <x:is>
          <x:t xml:space="preserve">2-3 days</x:t>
        </x:is>
      </x:c>
      <x:c r="F12" s="18" t="inlineStr">
        <x:is>
          <x:t xml:space="preserve">/src/lib/metering/* + /src/app/(admin)/ops/* (feature-flagged)</x:t>
        </x:is>
      </x:c>
      <x:c r="G12" s="18" t="inlineStr">
        <x:is>
          <x:t xml:space="preserve">Meter visible per tenant; cap triggers; admin actions audit-logged</x:t>
        </x:is>
      </x:c>
      <x:c r="H12" s="18" t="inlineStr">
        <x:is>
          <x:t xml:space="preserve">Wave 1, 2</x:t>
        </x:is>
      </x:c>
      <x:c r="I12" s="18" t="inlineStr">
        <x:is>
          <x:t xml:space="preserve">Not started</x:t>
        </x:is>
      </x:c>
    </x:row>
    <x:row r="13">
      <x:c r="B13" s="8" t="inlineStr">
        <x:is>
          <x:t xml:space="preserve">Wave 7</x:t>
        </x:is>
      </x:c>
      <x:c r="C13" s="18" t="inlineStr">
        <x:is>
          <x:t xml:space="preserve">AI Liability retrofit per module</x:t>
        </x:is>
      </x:c>
      <x:c r="D13" s="18" t="inlineStr">
        <x:is>
          <x:t xml:space="preserve">Apply AI label + citations + confidence + approval gate + justification + evidence bundle to Intelligence, Moves, Source, Tower, Setup</x:t>
        </x:is>
      </x:c>
      <x:c r="E13" s="18" t="inlineStr">
        <x:is>
          <x:t xml:space="preserve">5-7 days</x:t>
        </x:is>
      </x:c>
      <x:c r="F13" s="18" t="inlineStr">
        <x:is>
          <x:t xml:space="preserve">Each module surface uses Wave 2 components; audit catalog 100% complete</x:t>
        </x:is>
      </x:c>
      <x:c r="G13" s="18" t="inlineStr">
        <x:is>
          <x:t xml:space="preserve">E2E test asserts pattern present per surface; retrofit checkpoint passes</x:t>
        </x:is>
      </x:c>
      <x:c r="H13" s="18" t="inlineStr">
        <x:is>
          <x:t xml:space="preserve">Waves 1, 2, 4</x:t>
        </x:is>
      </x:c>
      <x:c r="I13" s="18" t="inlineStr">
        <x:is>
          <x:t xml:space="preserve">Not started</x:t>
        </x:is>
      </x:c>
    </x:row>
    <x:row r="14">
      <x:c r="B14" s="8" t="inlineStr">
        <x:is>
          <x:t xml:space="preserve">Wave 8</x:t>
        </x:is>
      </x:c>
      <x:c r="C14" s="18" t="inlineStr">
        <x:is>
          <x:t xml:space="preserve">Internal Rehearsal scaffolding</x:t>
        </x:is>
      </x:c>
      <x:c r="D14" s="18" t="inlineStr">
        <x:is>
          <x:t xml:space="preserve">FakeClient Azure IaC (Bicep) + Entra dev tenant setup script + synthetic data loader + SAML/SCIM wiring</x:t>
        </x:is>
      </x:c>
      <x:c r="E14" s="18" t="inlineStr">
        <x:is>
          <x:t xml:space="preserve">3-5 days (some manual portal steps)</x:t>
        </x:is>
      </x:c>
      <x:c r="F14" s="18" t="inlineStr">
        <x:is>
          <x:t xml:space="preserve">Reproducible client-tenant deployment in &lt;2 hours</x:t>
        </x:is>
      </x:c>
      <x:c r="G14" s="18" t="inlineStr">
        <x:is>
          <x:t xml:space="preserve">Full FakeClient stand-up rehearsed end-to-end</x:t>
        </x:is>
      </x:c>
      <x:c r="H14" s="18" t="inlineStr">
        <x:is>
          <x:t xml:space="preserve">Waves 5, 6</x:t>
        </x:is>
      </x:c>
      <x:c r="I14" s="18" t="inlineStr">
        <x:is>
          <x:t xml:space="preserve">Not started</x:t>
        </x:is>
      </x:c>
    </x:row>
    <x:row r="15">
      <x:c r="B15" s="8" t="inlineStr">
        <x:is>
          <x:t xml:space="preserve">Wave 9</x:t>
        </x:is>
      </x:c>
      <x:c r="C15" s="18" t="inlineStr">
        <x:is>
          <x:t xml:space="preserve">Pressure + Adversarial test harnesses</x:t>
        </x:is>
      </x:c>
      <x:c r="D15" s="18" t="inlineStr">
        <x:is>
          <x:t xml:space="preserve">k6 load scripts + Claude Agent SDK persona harness + hallucination detection + agent-loop guard + prompt injection suite + chaos hooks</x:t>
        </x:is>
      </x:c>
      <x:c r="E15" s="18" t="inlineStr">
        <x:is>
          <x:t xml:space="preserve">3-5 days</x:t>
        </x:is>
      </x:c>
      <x:c r="F15" s="18" t="inlineStr">
        <x:is>
          <x:t xml:space="preserve">/tests/load + /tests/adversarial test suites runnable in CI</x:t>
        </x:is>
      </x:c>
      <x:c r="G15" s="18" t="inlineStr">
        <x:is>
          <x:t xml:space="preserve">Baseline + stretch + adversarial tests pass; quality dashboard live</x:t>
        </x:is>
      </x:c>
      <x:c r="H15" s="18" t="inlineStr">
        <x:is>
          <x:t xml:space="preserve">Waves 5, 6, 7</x:t>
        </x:is>
      </x:c>
      <x:c r="I15" s="18" t="inlineStr">
        <x:is>
          <x:t xml:space="preserve">Not started</x:t>
        </x:is>
      </x:c>
    </x:row>
    <x:row r="19">
      <x:c r="B19" s="5" t="inlineStr">
        <x:is>
          <x:t xml:space="preserve">📋 Wave 1 Codex Prompts — Copy-Paste Ready</x:t>
        </x:is>
      </x:c>
    </x:row>
    <x:row r="20">
      <x:c r="B20" s="2" t="inlineStr">
        <x:is>
          <x:t xml:space="preserve">Each is self-contained for Codex. Run sequentially or in parallel (no inter-dependencies). All commit per AGENTS.md release discipline.</x:t>
        </x:is>
      </x:c>
    </x:row>
    <x:row r="22">
      <x:c r="B22" s="85" t="inlineStr">
        <x:is>
          <x:t xml:space="preserve">Task 1.1: Write GOVERNANCE.md</x:t>
        </x:is>
      </x:c>
    </x:row>
    <x:row r="23" ht="280" customHeight="1">
      <x:c r="B23" s="86" t="inlineStr">
        <x:is>
          <x:t xml:space="preserve">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x:t>
        </x:is>
      </x:c>
      <x:c r="C23" s="87" t="n"/>
      <x:c r="D23" s="87" t="n"/>
      <x:c r="E23" s="87" t="n"/>
      <x:c r="F23" s="87" t="n"/>
      <x:c r="G23" s="87" t="n"/>
      <x:c r="H23" s="87" t="n"/>
      <x:c r="I23" s="88" t="n"/>
    </x:row>
    <x:row r="24">
      <x:c r="B24" s="89" t="n"/>
      <x:c r="I24" s="90" t="n"/>
    </x:row>
    <x:row r="25">
      <x:c r="B25" s="89" t="n"/>
      <x:c r="I25" s="90" t="n"/>
    </x:row>
    <x:row r="26">
      <x:c r="B26" s="89" t="n"/>
      <x:c r="I26" s="90" t="n"/>
    </x:row>
    <x:row r="27">
      <x:c r="B27" s="89" t="n"/>
      <x:c r="I27" s="90" t="n"/>
    </x:row>
    <x:row r="28">
      <x:c r="B28" s="89" t="n"/>
      <x:c r="I28" s="90" t="n"/>
    </x:row>
    <x:row r="29">
      <x:c r="B29" s="89" t="n"/>
      <x:c r="I29" s="90" t="n"/>
    </x:row>
    <x:row r="30">
      <x:c r="B30" s="89" t="n"/>
      <x:c r="I30" s="90" t="n"/>
    </x:row>
    <x:row r="31">
      <x:c r="B31" s="89" t="n"/>
      <x:c r="I31" s="90" t="n"/>
    </x:row>
    <x:row r="32">
      <x:c r="B32" s="89" t="n"/>
      <x:c r="I32" s="90" t="n"/>
    </x:row>
    <x:row r="33">
      <x:c r="B33" s="91" t="n"/>
      <x:c r="C33" s="92" t="n"/>
      <x:c r="D33" s="92" t="n"/>
      <x:c r="E33" s="92" t="n"/>
      <x:c r="F33" s="92" t="n"/>
      <x:c r="G33" s="92" t="n"/>
      <x:c r="H33" s="92" t="n"/>
      <x:c r="I33" s="93" t="n"/>
    </x:row>
    <x:row r="35">
      <x:c r="B35" s="85" t="inlineStr">
        <x:is>
          <x:t xml:space="preserve">Task 1.2: Set up /docs/architecture/adr/ framework + write 5 foundational ADRs</x:t>
        </x:is>
      </x:c>
    </x:row>
    <x:row r="36" ht="280" customHeight="1">
      <x:c r="B36" s="86" t="inlineStr">
        <x:is>
          <x:t xml:space="preserve">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x:t>
        </x:is>
      </x:c>
      <x:c r="C36" s="87" t="n"/>
      <x:c r="D36" s="87" t="n"/>
      <x:c r="E36" s="87" t="n"/>
      <x:c r="F36" s="87" t="n"/>
      <x:c r="G36" s="87" t="n"/>
      <x:c r="H36" s="87" t="n"/>
      <x:c r="I36" s="88" t="n"/>
    </x:row>
    <x:row r="37">
      <x:c r="B37" s="89" t="n"/>
      <x:c r="I37" s="90" t="n"/>
    </x:row>
    <x:row r="38">
      <x:c r="B38" s="89" t="n"/>
      <x:c r="I38" s="90" t="n"/>
    </x:row>
    <x:row r="39">
      <x:c r="B39" s="89" t="n"/>
      <x:c r="I39" s="90" t="n"/>
    </x:row>
    <x:row r="40">
      <x:c r="B40" s="89" t="n"/>
      <x:c r="I40" s="90" t="n"/>
    </x:row>
    <x:row r="41">
      <x:c r="B41" s="89" t="n"/>
      <x:c r="I41" s="90" t="n"/>
    </x:row>
    <x:row r="42">
      <x:c r="B42" s="89" t="n"/>
      <x:c r="I42" s="90" t="n"/>
    </x:row>
    <x:row r="43">
      <x:c r="B43" s="89" t="n"/>
      <x:c r="I43" s="90" t="n"/>
    </x:row>
    <x:row r="44">
      <x:c r="B44" s="89" t="n"/>
      <x:c r="I44" s="90" t="n"/>
    </x:row>
    <x:row r="45">
      <x:c r="B45" s="89" t="n"/>
      <x:c r="I45" s="90" t="n"/>
    </x:row>
    <x:row r="46">
      <x:c r="B46" s="91" t="n"/>
      <x:c r="C46" s="92" t="n"/>
      <x:c r="D46" s="92" t="n"/>
      <x:c r="E46" s="92" t="n"/>
      <x:c r="F46" s="92" t="n"/>
      <x:c r="G46" s="92" t="n"/>
      <x:c r="H46" s="92" t="n"/>
      <x:c r="I46" s="93" t="n"/>
    </x:row>
    <x:row r="48">
      <x:c r="B48" s="85" t="inlineStr">
        <x:is>
          <x:t xml:space="preserve">Task 1.3: Create /.github/CODEOWNERS</x:t>
        </x:is>
      </x:c>
    </x:row>
    <x:row r="49" ht="280" customHeight="1">
      <x:c r="B49" s="86" t="inlineStr">
        <x:is>
          <x:t xml:space="preserve">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x:t>
        </x:is>
      </x:c>
      <x:c r="C49" s="87" t="n"/>
      <x:c r="D49" s="87" t="n"/>
      <x:c r="E49" s="87" t="n"/>
      <x:c r="F49" s="87" t="n"/>
      <x:c r="G49" s="87" t="n"/>
      <x:c r="H49" s="87" t="n"/>
      <x:c r="I49" s="88" t="n"/>
    </x:row>
    <x:row r="50">
      <x:c r="B50" s="89" t="n"/>
      <x:c r="I50" s="90" t="n"/>
    </x:row>
    <x:row r="51">
      <x:c r="B51" s="89" t="n"/>
      <x:c r="I51" s="90" t="n"/>
    </x:row>
    <x:row r="52">
      <x:c r="B52" s="89" t="n"/>
      <x:c r="I52" s="90" t="n"/>
    </x:row>
    <x:row r="53">
      <x:c r="B53" s="89" t="n"/>
      <x:c r="I53" s="90" t="n"/>
    </x:row>
    <x:row r="54">
      <x:c r="B54" s="89" t="n"/>
      <x:c r="I54" s="90" t="n"/>
    </x:row>
    <x:row r="55">
      <x:c r="B55" s="89" t="n"/>
      <x:c r="I55" s="90" t="n"/>
    </x:row>
    <x:row r="56">
      <x:c r="B56" s="89" t="n"/>
      <x:c r="I56" s="90" t="n"/>
    </x:row>
    <x:row r="57">
      <x:c r="B57" s="89" t="n"/>
      <x:c r="I57" s="90" t="n"/>
    </x:row>
    <x:row r="58">
      <x:c r="B58" s="89" t="n"/>
      <x:c r="I58" s="90" t="n"/>
    </x:row>
    <x:row r="59">
      <x:c r="B59" s="91" t="n"/>
      <x:c r="C59" s="92" t="n"/>
      <x:c r="D59" s="92" t="n"/>
      <x:c r="E59" s="92" t="n"/>
      <x:c r="F59" s="92" t="n"/>
      <x:c r="G59" s="92" t="n"/>
      <x:c r="H59" s="92" t="n"/>
      <x:c r="I59" s="93" t="n"/>
    </x:row>
    <x:row r="61">
      <x:c r="B61" s="85" t="inlineStr">
        <x:is>
          <x:t xml:space="preserve">Task 1.4: Create /.github/PULL_REQUEST_TEMPLATE.md enforcing release-control sections</x:t>
        </x:is>
      </x:c>
    </x:row>
    <x:row r="62" ht="280" customHeight="1">
      <x:c r="B62" s="86" t="inlineStr">
        <x:is>
          <x:t xml:space="preserve">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x:t>
        </x:is>
      </x:c>
      <x:c r="C62" s="87" t="n"/>
      <x:c r="D62" s="87" t="n"/>
      <x:c r="E62" s="87" t="n"/>
      <x:c r="F62" s="87" t="n"/>
      <x:c r="G62" s="87" t="n"/>
      <x:c r="H62" s="87" t="n"/>
      <x:c r="I62" s="88" t="n"/>
    </x:row>
    <x:row r="63">
      <x:c r="B63" s="89" t="n"/>
      <x:c r="I63" s="90" t="n"/>
    </x:row>
    <x:row r="64">
      <x:c r="B64" s="89" t="n"/>
      <x:c r="I64" s="90" t="n"/>
    </x:row>
    <x:row r="65">
      <x:c r="B65" s="89" t="n"/>
      <x:c r="I65" s="90" t="n"/>
    </x:row>
    <x:row r="66">
      <x:c r="B66" s="89" t="n"/>
      <x:c r="I66" s="90" t="n"/>
    </x:row>
    <x:row r="67">
      <x:c r="B67" s="89" t="n"/>
      <x:c r="I67" s="90" t="n"/>
    </x:row>
    <x:row r="68">
      <x:c r="B68" s="89" t="n"/>
      <x:c r="I68" s="90" t="n"/>
    </x:row>
    <x:row r="69">
      <x:c r="B69" s="89" t="n"/>
      <x:c r="I69" s="90" t="n"/>
    </x:row>
    <x:row r="70">
      <x:c r="B70" s="89" t="n"/>
      <x:c r="I70" s="90" t="n"/>
    </x:row>
    <x:row r="71">
      <x:c r="B71" s="89" t="n"/>
      <x:c r="I71" s="90" t="n"/>
    </x:row>
    <x:row r="72">
      <x:c r="B72" s="91" t="n"/>
      <x:c r="C72" s="92" t="n"/>
      <x:c r="D72" s="92" t="n"/>
      <x:c r="E72" s="92" t="n"/>
      <x:c r="F72" s="92" t="n"/>
      <x:c r="G72" s="92" t="n"/>
      <x:c r="H72" s="92" t="n"/>
      <x:c r="I72" s="93" t="n"/>
    </x:row>
    <x:row r="74">
      <x:c r="B74" s="85" t="inlineStr">
        <x:is>
          <x:t xml:space="preserve">Task 1.5: Add pre-commit hooks (husky + lint-staged)</x:t>
        </x:is>
      </x:c>
    </x:row>
    <x:row r="75" ht="280" customHeight="1">
      <x:c r="B75" s="86" t="inlineStr">
        <x:is>
          <x:t xml:space="preserve">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x:t>
        </x:is>
      </x:c>
      <x:c r="C75" s="87" t="n"/>
      <x:c r="D75" s="87" t="n"/>
      <x:c r="E75" s="87" t="n"/>
      <x:c r="F75" s="87" t="n"/>
      <x:c r="G75" s="87" t="n"/>
      <x:c r="H75" s="87" t="n"/>
      <x:c r="I75" s="88" t="n"/>
    </x:row>
    <x:row r="76">
      <x:c r="B76" s="89" t="n"/>
      <x:c r="I76" s="90" t="n"/>
    </x:row>
    <x:row r="77">
      <x:c r="B77" s="89" t="n"/>
      <x:c r="I77" s="90" t="n"/>
    </x:row>
    <x:row r="78">
      <x:c r="B78" s="89" t="n"/>
      <x:c r="I78" s="90" t="n"/>
    </x:row>
    <x:row r="79">
      <x:c r="B79" s="89" t="n"/>
      <x:c r="I79" s="90" t="n"/>
    </x:row>
    <x:row r="80">
      <x:c r="B80" s="89" t="n"/>
      <x:c r="I80" s="90" t="n"/>
    </x:row>
    <x:row r="81">
      <x:c r="B81" s="89" t="n"/>
      <x:c r="I81" s="90" t="n"/>
    </x:row>
    <x:row r="82">
      <x:c r="B82" s="89" t="n"/>
      <x:c r="I82" s="90" t="n"/>
    </x:row>
    <x:row r="83">
      <x:c r="B83" s="89" t="n"/>
      <x:c r="I83" s="90" t="n"/>
    </x:row>
    <x:row r="84">
      <x:c r="B84" s="89" t="n"/>
      <x:c r="I84" s="90" t="n"/>
    </x:row>
    <x:row r="85">
      <x:c r="B85" s="91" t="n"/>
      <x:c r="C85" s="92" t="n"/>
      <x:c r="D85" s="92" t="n"/>
      <x:c r="E85" s="92" t="n"/>
      <x:c r="F85" s="92" t="n"/>
      <x:c r="G85" s="92" t="n"/>
      <x:c r="H85" s="92" t="n"/>
      <x:c r="I85" s="93" t="n"/>
    </x:row>
    <x:row r="87">
      <x:c r="B87" s="85" t="inlineStr">
        <x:is>
          <x:t xml:space="preserve">Task 1.6: Add Conventional Commits enforcement (commitlint)</x:t>
        </x:is>
      </x:c>
    </x:row>
    <x:row r="88" ht="280" customHeight="1">
      <x:c r="B88" s="86" t="inlineStr">
        <x:is>
          <x:t xml:space="preserve">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x:t>
        </x:is>
      </x:c>
      <x:c r="C88" s="87" t="n"/>
      <x:c r="D88" s="87" t="n"/>
      <x:c r="E88" s="87" t="n"/>
      <x:c r="F88" s="87" t="n"/>
      <x:c r="G88" s="87" t="n"/>
      <x:c r="H88" s="87" t="n"/>
      <x:c r="I88" s="88" t="n"/>
    </x:row>
    <x:row r="89">
      <x:c r="B89" s="89" t="n"/>
      <x:c r="I89" s="90" t="n"/>
    </x:row>
    <x:row r="90">
      <x:c r="B90" s="89" t="n"/>
      <x:c r="I90" s="90" t="n"/>
    </x:row>
    <x:row r="91">
      <x:c r="B91" s="89" t="n"/>
      <x:c r="I91" s="90" t="n"/>
    </x:row>
    <x:row r="92">
      <x:c r="B92" s="89" t="n"/>
      <x:c r="I92" s="90" t="n"/>
    </x:row>
    <x:row r="93">
      <x:c r="B93" s="89" t="n"/>
      <x:c r="I93" s="90" t="n"/>
    </x:row>
    <x:row r="94">
      <x:c r="B94" s="89" t="n"/>
      <x:c r="I94" s="90" t="n"/>
    </x:row>
    <x:row r="95">
      <x:c r="B95" s="89" t="n"/>
      <x:c r="I95" s="90" t="n"/>
    </x:row>
    <x:row r="96">
      <x:c r="B96" s="89" t="n"/>
      <x:c r="I96" s="90" t="n"/>
    </x:row>
    <x:row r="97">
      <x:c r="B97" s="89" t="n"/>
      <x:c r="I97" s="90" t="n"/>
    </x:row>
    <x:row r="98">
      <x:c r="B98" s="91" t="n"/>
      <x:c r="C98" s="92" t="n"/>
      <x:c r="D98" s="92" t="n"/>
      <x:c r="E98" s="92" t="n"/>
      <x:c r="F98" s="92" t="n"/>
      <x:c r="G98" s="92" t="n"/>
      <x:c r="H98" s="92" t="n"/>
      <x:c r="I98" s="93" t="n"/>
    </x:row>
    <x:row r="100">
      <x:c r="B100" s="85" t="inlineStr">
        <x:is>
          <x:t xml:space="preserve">Task 1.7: Generate .cursor/rules and .github/copilot-instructions.md from AGENTS.md</x:t>
        </x:is>
      </x:c>
    </x:row>
    <x:row r="101" ht="280" customHeight="1">
      <x:c r="B101" s="86" t="inlineStr">
        <x:is>
          <x:t xml:space="preserve">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x:t>
        </x:is>
      </x:c>
      <x:c r="C101" s="87" t="n"/>
      <x:c r="D101" s="87" t="n"/>
      <x:c r="E101" s="87" t="n"/>
      <x:c r="F101" s="87" t="n"/>
      <x:c r="G101" s="87" t="n"/>
      <x:c r="H101" s="87" t="n"/>
      <x:c r="I101" s="88" t="n"/>
    </x:row>
    <x:row r="102">
      <x:c r="B102" s="89" t="n"/>
      <x:c r="I102" s="90" t="n"/>
    </x:row>
    <x:row r="103">
      <x:c r="B103" s="89" t="n"/>
      <x:c r="I103" s="90" t="n"/>
    </x:row>
    <x:row r="104">
      <x:c r="B104" s="89" t="n"/>
      <x:c r="I104" s="90" t="n"/>
    </x:row>
    <x:row r="105">
      <x:c r="B105" s="89" t="n"/>
      <x:c r="I105" s="90" t="n"/>
    </x:row>
    <x:row r="106">
      <x:c r="B106" s="89" t="n"/>
      <x:c r="I106" s="90" t="n"/>
    </x:row>
    <x:row r="107">
      <x:c r="B107" s="89" t="n"/>
      <x:c r="I107" s="90" t="n"/>
    </x:row>
    <x:row r="108">
      <x:c r="B108" s="89" t="n"/>
      <x:c r="I108" s="90" t="n"/>
    </x:row>
    <x:row r="109">
      <x:c r="B109" s="89" t="n"/>
      <x:c r="I109" s="90" t="n"/>
    </x:row>
    <x:row r="110">
      <x:c r="B110" s="89" t="n"/>
      <x:c r="I110" s="90" t="n"/>
    </x:row>
    <x:row r="111">
      <x:c r="B111" s="91" t="n"/>
      <x:c r="C111" s="92" t="n"/>
      <x:c r="D111" s="92" t="n"/>
      <x:c r="E111" s="92" t="n"/>
      <x:c r="F111" s="92" t="n"/>
      <x:c r="G111" s="92" t="n"/>
      <x:c r="H111" s="92" t="n"/>
      <x:c r="I111" s="93" t="n"/>
    </x:row>
  </x:sheetData>
  <x:mergeCells>
    <x:mergeCell ref="B74:I74"/>
    <x:mergeCell ref="B75:I85"/>
    <x:mergeCell ref="B48:I48"/>
    <x:mergeCell ref="B100:I100"/>
    <x:mergeCell ref="B87:I87"/>
    <x:mergeCell ref="B88:I98"/>
    <x:mergeCell ref="B20:I20"/>
    <x:mergeCell ref="B101:I111"/>
    <x:mergeCell ref="B19:I19"/>
    <x:mergeCell ref="B5:I5"/>
    <x:mergeCell ref="B22:I22"/>
    <x:mergeCell ref="B23:I33"/>
    <x:mergeCell ref="B61:I61"/>
    <x:mergeCell ref="B49:I59"/>
    <x:mergeCell ref="B62:I72"/>
    <x:mergeCell ref="B35:I35"/>
    <x:mergeCell ref="B4:I4"/>
    <x:mergeCell ref="B36:I4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 customWidth="1"/>
    <x:col min="2" max="2" width="40" customWidth="1"/>
    <x:col min="3" max="3" width="45" customWidth="1"/>
    <x:col min="4" max="4" width="50" customWidth="1"/>
    <x:col min="5" max="5" width="30" customWidth="1"/>
  </x:cols>
  <x:sheetData>
    <x:row r="2">
      <x:c r="B2" s="1" t="inlineStr">
        <x:is>
          <x:t xml:space="preserve">Engineering Governance Framework — Embedded in Repo</x:t>
        </x:is>
      </x:c>
    </x:row>
    <x:row r="3">
      <x:c r="B3" s="2" t="inlineStr">
        <x:is>
          <x:t xml:space="preserve">What lives where in the repo so coding standards survive any tool (Claude, Cursor, Copilot, humans) and any team size.</x:t>
        </x:is>
      </x:c>
    </x:row>
    <x:row r="5">
      <x:c r="B5" s="5" t="inlineStr">
        <x:is>
          <x:t xml:space="preserve">1. Repo Structure (what to put where)</x:t>
        </x:is>
      </x:c>
    </x:row>
    <x:row r="6">
      <x:c r="B6" s="8" t="inlineStr">
        <x:is>
          <x:t xml:space="preserve">Path</x:t>
        </x:is>
      </x:c>
      <x:c r="C6" s="8" t="inlineStr">
        <x:is>
          <x:t xml:space="preserve">What it is</x:t>
        </x:is>
      </x:c>
      <x:c r="D6" s="8" t="inlineStr">
        <x:is>
          <x:t xml:space="preserve">Why it matters</x:t>
        </x:is>
      </x:c>
    </x:row>
    <x:row r="7">
      <x:c r="B7" s="18" t="inlineStr">
        <x:is>
          <x:t xml:space="preserve">/AGENTS.md</x:t>
        </x:is>
      </x:c>
      <x:c r="C7" s="18" t="inlineStr">
        <x:is>
          <x:t xml:space="preserve">Single source of truth — coding rules, conventions, release discipline</x:t>
        </x:is>
      </x:c>
      <x:c r="D7" s="18" t="inlineStr">
        <x:is>
          <x:t xml:space="preserve">All AI tools read this; humans read this; CLAUDE.md just imports it</x:t>
        </x:is>
      </x:c>
    </x:row>
    <x:row r="8">
      <x:c r="B8" s="18" t="inlineStr">
        <x:is>
          <x:t xml:space="preserve">/CLAUDE.md → AGENTS.md</x:t>
        </x:is>
      </x:c>
      <x:c r="C8" s="18" t="inlineStr">
        <x:is>
          <x:t xml:space="preserve">Claude Code instructions</x:t>
        </x:is>
      </x:c>
      <x:c r="D8" s="18" t="inlineStr">
        <x:is>
          <x:t xml:space="preserve">Already in place — keep this thin</x:t>
        </x:is>
      </x:c>
    </x:row>
    <x:row r="9">
      <x:c r="B9" s="18" t="inlineStr">
        <x:is>
          <x:t xml:space="preserve">/.cursor/rules</x:t>
        </x:is>
      </x:c>
      <x:c r="C9" s="18" t="inlineStr">
        <x:is>
          <x:t xml:space="preserve">Cursor instructions (generated from AGENTS.md)</x:t>
        </x:is>
      </x:c>
      <x:c r="D9" s="18" t="inlineStr">
        <x:is>
          <x:t xml:space="preserve">Cursor users get the same rules</x:t>
        </x:is>
      </x:c>
    </x:row>
    <x:row r="10">
      <x:c r="B10" s="18" t="inlineStr">
        <x:is>
          <x:t xml:space="preserve">/.github/copilot-instructions.md</x:t>
        </x:is>
      </x:c>
      <x:c r="C10" s="18" t="inlineStr">
        <x:is>
          <x:t xml:space="preserve">GitHub Copilot instructions (generated from AGENTS.md)</x:t>
        </x:is>
      </x:c>
      <x:c r="D10" s="18" t="inlineStr">
        <x:is>
          <x:t xml:space="preserve">Copilot users get the same rules</x:t>
        </x:is>
      </x:c>
    </x:row>
    <x:row r="11">
      <x:c r="B11" s="18" t="inlineStr">
        <x:is>
          <x:t xml:space="preserve">/GOVERNANCE.md</x:t>
        </x:is>
      </x:c>
      <x:c r="C11" s="18" t="inlineStr">
        <x:is>
          <x:t xml:space="preserve">1-page index: where standards live, how to find what</x:t>
        </x:is>
      </x:c>
      <x:c r="D11" s="18" t="inlineStr">
        <x:is>
          <x:t xml:space="preserve">Day-1 read for any new engineer</x:t>
        </x:is>
      </x:c>
    </x:row>
    <x:row r="12">
      <x:c r="B12" s="18" t="inlineStr">
        <x:is>
          <x:t xml:space="preserve">/CONTRIBUTING.md</x:t>
        </x:is>
      </x:c>
      <x:c r="C12" s="18" t="inlineStr">
        <x:is>
          <x:t xml:space="preserve">PR workflow, dev env setup, troubleshooting</x:t>
        </x:is>
      </x:c>
      <x:c r="D12" s="18" t="inlineStr">
        <x:is>
          <x:t xml:space="preserve">Public-facing if repo ever opens</x:t>
        </x:is>
      </x:c>
    </x:row>
    <x:row r="13">
      <x:c r="B13" s="18" t="inlineStr">
        <x:is>
          <x:t xml:space="preserve">/SECURITY.md</x:t>
        </x:is>
      </x:c>
      <x:c r="C13" s="18" t="inlineStr">
        <x:is>
          <x:t xml:space="preserve">Vulnerability disclosure policy</x:t>
        </x:is>
      </x:c>
      <x:c r="D13" s="18" t="inlineStr">
        <x:is>
          <x:t xml:space="preserve">Required for any GitHub repo with security implications</x:t>
        </x:is>
      </x:c>
    </x:row>
    <x:row r="14">
      <x:c r="B14" s="18" t="inlineStr">
        <x:is>
          <x:t xml:space="preserve">/CODE_OF_CONDUCT.md</x:t>
        </x:is>
      </x:c>
      <x:c r="C14" s="18" t="inlineStr">
        <x:is>
          <x:t xml:space="preserve">Behavior expectations</x:t>
        </x:is>
      </x:c>
      <x:c r="D14" s="18" t="inlineStr">
        <x:is>
          <x:t xml:space="preserve">Cheap, signals professionalism</x:t>
        </x:is>
      </x:c>
    </x:row>
    <x:row r="15">
      <x:c r="B15" s="18" t="inlineStr">
        <x:is>
          <x:t xml:space="preserve">/.github/CODEOWNERS</x:t>
        </x:is>
      </x:c>
      <x:c r="C15" s="18" t="inlineStr">
        <x:is>
          <x:t xml:space="preserve">Who must approve changes to which paths</x:t>
        </x:is>
      </x:c>
      <x:c r="D15" s="18" t="inlineStr">
        <x:is>
          <x:t xml:space="preserve">Auth/migrations/broker = anand-only; rest = anyone qualified</x:t>
        </x:is>
      </x:c>
    </x:row>
    <x:row r="16">
      <x:c r="B16" s="18" t="inlineStr">
        <x:is>
          <x:t xml:space="preserve">/.github/PULL_REQUEST_TEMPLATE.md</x:t>
        </x:is>
      </x:c>
      <x:c r="C16" s="18" t="inlineStr">
        <x:is>
          <x:t xml:space="preserve">Required PR sections (Lane/Layer/Clients/QA/Rollout/Rollback)</x:t>
        </x:is>
      </x:c>
      <x:c r="D16" s="18" t="inlineStr">
        <x:is>
          <x:t xml:space="preserve">AGENTS.md mandates this — enforce in template</x:t>
        </x:is>
      </x:c>
    </x:row>
    <x:row r="17">
      <x:c r="B17" s="18" t="inlineStr">
        <x:is>
          <x:t xml:space="preserve">/.github/workflows/</x:t>
        </x:is>
      </x:c>
      <x:c r="C17" s="18" t="inlineStr">
        <x:is>
          <x:t xml:space="preserve">CI workflows — lint, test, build, security, bundle, ADR, release-check</x:t>
        </x:is>
      </x:c>
      <x:c r="D17" s="18" t="inlineStr">
        <x:is>
          <x:t xml:space="preserve">Required checks gate merge</x:t>
        </x:is>
      </x:c>
    </x:row>
    <x:row r="18">
      <x:c r="B18" s="18" t="inlineStr">
        <x:is>
          <x:t xml:space="preserve">/.husky/</x:t>
        </x:is>
      </x:c>
      <x:c r="C18" s="18" t="inlineStr">
        <x:is>
          <x:t xml:space="preserve">Pre-commit and pre-push hooks</x:t>
        </x:is>
      </x:c>
      <x:c r="D18" s="18" t="inlineStr">
        <x:is>
          <x:t xml:space="preserve">Lint/format/typecheck staged files before commit</x:t>
        </x:is>
      </x:c>
    </x:row>
    <x:row r="19">
      <x:c r="B19" s="18" t="inlineStr">
        <x:is>
          <x:t xml:space="preserve">/docs/architecture/adr/</x:t>
        </x:is>
      </x:c>
      <x:c r="C19" s="18" t="inlineStr">
        <x:is>
          <x:t xml:space="preserve">Numbered Architecture Decision Records</x:t>
        </x:is>
      </x:c>
      <x:c r="D19" s="18" t="inlineStr">
        <x:is>
          <x:t xml:space="preserve">Every material decision = ADR; ADR-XXXX-decision-title.md</x:t>
        </x:is>
      </x:c>
    </x:row>
    <x:row r="20">
      <x:c r="B20" s="18" t="inlineStr">
        <x:is>
          <x:t xml:space="preserve">/docs/architecture/boundaries.md</x:t>
        </x:is>
      </x:c>
      <x:c r="C20" s="18" t="inlineStr">
        <x:is>
          <x:t xml:space="preserve">Module boundary rules (forbidden imports)</x:t>
        </x:is>
      </x:c>
      <x:c r="D20" s="18" t="inlineStr">
        <x:is>
          <x:t xml:space="preserve">Encoded into dependency-cruiser config below</x:t>
        </x:is>
      </x:c>
    </x:row>
    <x:row r="21">
      <x:c r="B21" s="18" t="inlineStr">
        <x:is>
          <x:t xml:space="preserve">/docs/architecture/specialist-catalog.md</x:t>
        </x:is>
      </x:c>
      <x:c r="C21" s="18" t="inlineStr">
        <x:is>
          <x:t xml:space="preserve">Catalog of agent specialists with function names + scope</x:t>
        </x:is>
      </x:c>
      <x:c r="D21" s="18" t="inlineStr">
        <x:is>
          <x:t xml:space="preserve">Per project_sentinel_orchestrator memory</x:t>
        </x:is>
      </x:c>
    </x:row>
    <x:row r="22">
      <x:c r="B22" s="18" t="inlineStr">
        <x:is>
          <x:t xml:space="preserve">/docs/runbooks/</x:t>
        </x:is>
      </x:c>
      <x:c r="C22" s="18" t="inlineStr">
        <x:is>
          <x:t xml:space="preserve">Incident response, rollback, DB migration, on-call, onboarding</x:t>
        </x:is>
      </x:c>
      <x:c r="D22" s="18" t="inlineStr">
        <x:is>
          <x:t xml:space="preserve">Living docs; quarterly tabletop tests</x:t>
        </x:is>
      </x:c>
    </x:row>
    <x:row r="23">
      <x:c r="B23" s="18" t="inlineStr">
        <x:is>
          <x:t xml:space="preserve">/docs/releases/records/</x:t>
        </x:is>
      </x:c>
      <x:c r="C23" s="18" t="inlineStr">
        <x:is>
          <x:t xml:space="preserve">Per-release records (already enforced by npm run release:check)</x:t>
        </x:is>
      </x:c>
      <x:c r="D23" s="18" t="inlineStr">
        <x:is>
          <x:t xml:space="preserve">AGENTS.md mandates; CI enforces</x:t>
        </x:is>
      </x:c>
    </x:row>
    <x:row r="24">
      <x:c r="B24" s="18" t="inlineStr">
        <x:is>
          <x:t xml:space="preserve">/docs/releases/templates/</x:t>
        </x:is>
      </x:c>
      <x:c r="C24" s="18" t="inlineStr">
        <x:is>
          <x:t xml:space="preserve">Release record template</x:t>
        </x:is>
      </x:c>
      <x:c r="D24" s="18" t="inlineStr">
        <x:is>
          <x:t xml:space="preserve">Already exists</x:t>
        </x:is>
      </x:c>
    </x:row>
    <x:row r="25">
      <x:c r="B25" s="18" t="inlineStr">
        <x:is>
          <x:t xml:space="preserve">/docs/governance/</x:t>
        </x:is>
      </x:c>
      <x:c r="C25" s="18" t="inlineStr">
        <x:is>
          <x:t xml:space="preserve">Coding/testing/security/dependency standards (each topic = own doc)</x:t>
        </x:is>
      </x:c>
      <x:c r="D25" s="18" t="inlineStr">
        <x:is>
          <x:t xml:space="preserve">Linked from GOVERNANCE.md</x:t>
        </x:is>
      </x:c>
    </x:row>
    <x:row r="26">
      <x:c r="B26" s="18" t="inlineStr">
        <x:is>
          <x:t xml:space="preserve">/scripts/scaffold/</x:t>
        </x:is>
      </x:c>
      <x:c r="C26" s="18" t="inlineStr">
        <x:is>
          <x:t xml:space="preserve">scaffold:route, scaffold:component, scaffold:migration, scaffold:adr</x:t>
        </x:is>
      </x:c>
      <x:c r="D26" s="18" t="inlineStr">
        <x:is>
          <x:t xml:space="preserve">AI tools use these = consistency by construction</x:t>
        </x:is>
      </x:c>
    </x:row>
    <x:row r="27">
      <x:c r="B27" s="18" t="inlineStr">
        <x:is>
          <x:t xml:space="preserve">/scripts/governance/</x:t>
        </x:is>
      </x:c>
      <x:c r="C27" s="18" t="inlineStr">
        <x:is>
          <x:t xml:space="preserve">check-boundaries, check-test-coverage, check-release-records</x:t>
        </x:is>
      </x:c>
      <x:c r="D27" s="18" t="inlineStr">
        <x:is>
          <x:t xml:space="preserve">Run in CI; can run locally</x:t>
        </x:is>
      </x:c>
    </x:row>
    <x:row r="28">
      <x:c r="B28" s="18" t="inlineStr">
        <x:is>
          <x:t xml:space="preserve">/.dependency-cruiser.cjs</x:t>
        </x:is>
      </x:c>
      <x:c r="C28" s="18" t="inlineStr">
        <x:is>
          <x:t xml:space="preserve">Module boundary enforcement config</x:t>
        </x:is>
      </x:c>
      <x:c r="D28" s="18" t="inlineStr">
        <x:is>
          <x:t xml:space="preserve">Encodes broker-boundary, no-direct-db, no-supabase rules</x:t>
        </x:is>
      </x:c>
    </x:row>
    <x:row r="29">
      <x:c r="B29" s="18" t="inlineStr">
        <x:is>
          <x:t xml:space="preserve">/eslint.config.mjs</x:t>
        </x:is>
      </x:c>
      <x:c r="C29" s="18" t="inlineStr">
        <x:is>
          <x:t xml:space="preserve">Already exists — ESLint 9 flat config</x:t>
        </x:is>
      </x:c>
      <x:c r="D29" s="18" t="inlineStr">
        <x:is>
          <x:t xml:space="preserve"/>
        </x:is>
      </x:c>
    </x:row>
    <x:row r="30">
      <x:c r="B30" s="18" t="inlineStr">
        <x:is>
          <x:t xml:space="preserve">/.prettierrc</x:t>
        </x:is>
      </x:c>
      <x:c r="C30" s="18" t="inlineStr">
        <x:is>
          <x:t xml:space="preserve">Formatting rules</x:t>
        </x:is>
      </x:c>
      <x:c r="D30" s="18" t="inlineStr">
        <x:is>
          <x:t xml:space="preserve">Pre-commit auto-fixes</x:t>
        </x:is>
      </x:c>
    </x:row>
    <x:row r="31">
      <x:c r="B31" s="18" t="inlineStr">
        <x:is>
          <x:t xml:space="preserve">/commitlint.config.js</x:t>
        </x:is>
      </x:c>
      <x:c r="C31" s="18" t="inlineStr">
        <x:is>
          <x:t xml:space="preserve">Conventional Commits enforcement</x:t>
        </x:is>
      </x:c>
      <x:c r="D31" s="18" t="inlineStr">
        <x:is>
          <x:t xml:space="preserve">feat:/fix:/chore:/refactor:/docs:/test:/perf:</x:t>
        </x:is>
      </x:c>
    </x:row>
    <x:row r="32">
      <x:c r="B32" s="18" t="inlineStr">
        <x:is>
          <x:t xml:space="preserve">/.changeset/</x:t>
        </x:is>
      </x:c>
      <x:c r="C32" s="18" t="inlineStr">
        <x:is>
          <x:t xml:space="preserve">Changesets for changelog generation (optional)</x:t>
        </x:is>
      </x:c>
      <x:c r="D32" s="18" t="inlineStr">
        <x:is>
          <x:t xml:space="preserve">Auto-generate changelog from PRs</x:t>
        </x:is>
      </x:c>
    </x:row>
    <x:row r="35">
      <x:c r="B35" s="5" t="inlineStr">
        <x:is>
          <x:t xml:space="preserve">2. Required CI Gates (must pass to merge)</x:t>
        </x:is>
      </x:c>
    </x:row>
    <x:row r="36">
      <x:c r="B36" s="8" t="inlineStr">
        <x:is>
          <x:t xml:space="preserve">Gate</x:t>
        </x:is>
      </x:c>
      <x:c r="C36" s="8" t="inlineStr">
        <x:is>
          <x:t xml:space="preserve">Tool</x:t>
        </x:is>
      </x:c>
      <x:c r="D36" s="8" t="inlineStr">
        <x:is>
          <x:t xml:space="preserve">Failure mode</x:t>
        </x:is>
      </x:c>
      <x:c r="E36" s="8" t="inlineStr">
        <x:is>
          <x:t xml:space="preserve">Priority</x:t>
        </x:is>
      </x:c>
    </x:row>
    <x:row r="37">
      <x:c r="B37" s="18" t="inlineStr">
        <x:is>
          <x:t xml:space="preserve">Lint</x:t>
        </x:is>
      </x:c>
      <x:c r="C37" s="18" t="inlineStr">
        <x:is>
          <x:t xml:space="preserve">ESLint 9 (eslint.config.mjs)</x:t>
        </x:is>
      </x:c>
      <x:c r="D37" s="18" t="inlineStr">
        <x:is>
          <x:t xml:space="preserve">Style or rule violation</x:t>
        </x:is>
      </x:c>
      <x:c r="E37" s="31" t="inlineStr">
        <x:is>
          <x:t xml:space="preserve">P0</x:t>
        </x:is>
      </x:c>
    </x:row>
    <x:row r="38">
      <x:c r="B38" s="18" t="inlineStr">
        <x:is>
          <x:t xml:space="preserve">Type check</x:t>
        </x:is>
      </x:c>
      <x:c r="C38" s="18" t="inlineStr">
        <x:is>
          <x:t xml:space="preserve">tsc --noEmit (strict mode)</x:t>
        </x:is>
      </x:c>
      <x:c r="D38" s="18" t="inlineStr">
        <x:is>
          <x:t xml:space="preserve">Type error</x:t>
        </x:is>
      </x:c>
      <x:c r="E38" s="31" t="inlineStr">
        <x:is>
          <x:t xml:space="preserve">P0</x:t>
        </x:is>
      </x:c>
    </x:row>
    <x:row r="39">
      <x:c r="B39" s="18" t="inlineStr">
        <x:is>
          <x:t xml:space="preserve">Unit tests</x:t>
        </x:is>
      </x:c>
      <x:c r="C39" s="18" t="inlineStr">
        <x:is>
          <x:t xml:space="preserve">Jest/Vitest (npm run test:nav, test:behaviors)</x:t>
        </x:is>
      </x:c>
      <x:c r="D39" s="18" t="inlineStr">
        <x:is>
          <x:t xml:space="preserve">Test failure</x:t>
        </x:is>
      </x:c>
      <x:c r="E39" s="31" t="inlineStr">
        <x:is>
          <x:t xml:space="preserve">P0</x:t>
        </x:is>
      </x:c>
    </x:row>
    <x:row r="40">
      <x:c r="B40" s="18" t="inlineStr">
        <x:is>
          <x:t xml:space="preserve">Integration tests</x:t>
        </x:is>
      </x:c>
      <x:c r="C40" s="18" t="inlineStr">
        <x:is>
          <x:t xml:space="preserve">Jest (npm run test:integration)</x:t>
        </x:is>
      </x:c>
      <x:c r="D40" s="18" t="inlineStr">
        <x:is>
          <x:t xml:space="preserve">Test failure</x:t>
        </x:is>
      </x:c>
      <x:c r="E40" s="31" t="inlineStr">
        <x:is>
          <x:t xml:space="preserve">P0</x:t>
        </x:is>
      </x:c>
    </x:row>
    <x:row r="41">
      <x:c r="B41" s="18" t="inlineStr">
        <x:is>
          <x:t xml:space="preserve">E2E smoke</x:t>
        </x:is>
      </x:c>
      <x:c r="C41" s="18" t="inlineStr">
        <x:is>
          <x:t xml:space="preserve">Playwright (subset, headless)</x:t>
        </x:is>
      </x:c>
      <x:c r="D41" s="18" t="inlineStr">
        <x:is>
          <x:t xml:space="preserve">Critical-path break</x:t>
        </x:is>
      </x:c>
      <x:c r="E41" s="32" t="inlineStr">
        <x:is>
          <x:t xml:space="preserve">P1</x:t>
        </x:is>
      </x:c>
    </x:row>
    <x:row r="42">
      <x:c r="B42" s="18" t="inlineStr">
        <x:is>
          <x:t xml:space="preserve">Build</x:t>
        </x:is>
      </x:c>
      <x:c r="C42" s="18" t="inlineStr">
        <x:is>
          <x:t xml:space="preserve">next build</x:t>
        </x:is>
      </x:c>
      <x:c r="D42" s="18" t="inlineStr">
        <x:is>
          <x:t xml:space="preserve">Build error</x:t>
        </x:is>
      </x:c>
      <x:c r="E42" s="31" t="inlineStr">
        <x:is>
          <x:t xml:space="preserve">P0</x:t>
        </x:is>
      </x:c>
    </x:row>
    <x:row r="43">
      <x:c r="B43" s="18" t="inlineStr">
        <x:is>
          <x:t xml:space="preserve">Bundle size budget</x:t>
        </x:is>
      </x:c>
      <x:c r="C43" s="18" t="inlineStr">
        <x:is>
          <x:t xml:space="preserve">@next/bundle-analyzer + size-limit</x:t>
        </x:is>
      </x:c>
      <x:c r="D43" s="18" t="inlineStr">
        <x:is>
          <x:t xml:space="preserve">Route exceeds budget</x:t>
        </x:is>
      </x:c>
      <x:c r="E43" s="32" t="inlineStr">
        <x:is>
          <x:t xml:space="preserve">P1</x:t>
        </x:is>
      </x:c>
    </x:row>
    <x:row r="44">
      <x:c r="B44" s="18" t="inlineStr">
        <x:is>
          <x:t xml:space="preserve">Lighthouse CI</x:t>
        </x:is>
      </x:c>
      <x:c r="C44" s="18" t="inlineStr">
        <x:is>
          <x:t xml:space="preserve">lighthouse-ci action</x:t>
        </x:is>
      </x:c>
      <x:c r="D44" s="18" t="inlineStr">
        <x:is>
          <x:t xml:space="preserve">Core Web Vitals regression</x:t>
        </x:is>
      </x:c>
      <x:c r="E44" s="32" t="inlineStr">
        <x:is>
          <x:t xml:space="preserve">P1</x:t>
        </x:is>
      </x:c>
    </x:row>
    <x:row r="45">
      <x:c r="B45" s="18" t="inlineStr">
        <x:is>
          <x:t xml:space="preserve">Secret scan</x:t>
        </x:is>
      </x:c>
      <x:c r="C45" s="18" t="inlineStr">
        <x:is>
          <x:t xml:space="preserve">gitleaks</x:t>
        </x:is>
      </x:c>
      <x:c r="D45" s="18" t="inlineStr">
        <x:is>
          <x:t xml:space="preserve">Secret committed</x:t>
        </x:is>
      </x:c>
      <x:c r="E45" s="31" t="inlineStr">
        <x:is>
          <x:t xml:space="preserve">P0</x:t>
        </x:is>
      </x:c>
    </x:row>
    <x:row r="46">
      <x:c r="B46" s="18" t="inlineStr">
        <x:is>
          <x:t xml:space="preserve">Dependency vulnerabilities</x:t>
        </x:is>
      </x:c>
      <x:c r="C46" s="18" t="inlineStr">
        <x:is>
          <x:t xml:space="preserve">npm audit + Snyk/Dependabot</x:t>
        </x:is>
      </x:c>
      <x:c r="D46" s="18" t="inlineStr">
        <x:is>
          <x:t xml:space="preserve">Critical/high vuln</x:t>
        </x:is>
      </x:c>
      <x:c r="E46" s="31" t="inlineStr">
        <x:is>
          <x:t xml:space="preserve">P0</x:t>
        </x:is>
      </x:c>
    </x:row>
    <x:row r="47">
      <x:c r="B47" s="18" t="inlineStr">
        <x:is>
          <x:t xml:space="preserve">License compliance</x:t>
        </x:is>
      </x:c>
      <x:c r="C47" s="18" t="inlineStr">
        <x:is>
          <x:t xml:space="preserve">license-checker (allowlist MIT/Apache/BSD/ISC)</x:t>
        </x:is>
      </x:c>
      <x:c r="D47" s="18" t="inlineStr">
        <x:is>
          <x:t xml:space="preserve">Forbidden license</x:t>
        </x:is>
      </x:c>
      <x:c r="E47" s="32" t="inlineStr">
        <x:is>
          <x:t xml:space="preserve">P1</x:t>
        </x:is>
      </x:c>
    </x:row>
    <x:row r="48">
      <x:c r="B48" s="18" t="inlineStr">
        <x:is>
          <x:t xml:space="preserve">SBOM generation</x:t>
        </x:is>
      </x:c>
      <x:c r="C48" s="18" t="inlineStr">
        <x:is>
          <x:t xml:space="preserve">CycloneDX</x:t>
        </x:is>
      </x:c>
      <x:c r="D48" s="18" t="inlineStr">
        <x:is>
          <x:t xml:space="preserve">Generation failure</x:t>
        </x:is>
      </x:c>
      <x:c r="E48" s="32" t="inlineStr">
        <x:is>
          <x:t xml:space="preserve">P1</x:t>
        </x:is>
      </x:c>
    </x:row>
    <x:row r="49">
      <x:c r="B49" s="18" t="inlineStr">
        <x:is>
          <x:t xml:space="preserve">Architecture boundaries</x:t>
        </x:is>
      </x:c>
      <x:c r="C49" s="18" t="inlineStr">
        <x:is>
          <x:t xml:space="preserve">dependency-cruiser (--validate)</x:t>
        </x:is>
      </x:c>
      <x:c r="D49" s="18" t="inlineStr">
        <x:is>
          <x:t xml:space="preserve">Forbidden import</x:t>
        </x:is>
      </x:c>
      <x:c r="E49" s="31" t="inlineStr">
        <x:is>
          <x:t xml:space="preserve">P0</x:t>
        </x:is>
      </x:c>
    </x:row>
    <x:row r="50">
      <x:c r="B50" s="18" t="inlineStr">
        <x:is>
          <x:t xml:space="preserve">Coverage threshold</x:t>
        </x:is>
      </x:c>
      <x:c r="C50" s="18" t="inlineStr">
        <x:is>
          <x:t xml:space="preserve">Vitest --coverage (70% global, 90% critical)</x:t>
        </x:is>
      </x:c>
      <x:c r="D50" s="18" t="inlineStr">
        <x:is>
          <x:t xml:space="preserve">Below floor</x:t>
        </x:is>
      </x:c>
      <x:c r="E50" s="32" t="inlineStr">
        <x:is>
          <x:t xml:space="preserve">P1</x:t>
        </x:is>
      </x:c>
    </x:row>
    <x:row r="51">
      <x:c r="B51" s="18" t="inlineStr">
        <x:is>
          <x:t xml:space="preserve">Accessibility</x:t>
        </x:is>
      </x:c>
      <x:c r="C51" s="18" t="inlineStr">
        <x:is>
          <x:t xml:space="preserve">axe-core via jest-axe / Playwright</x:t>
        </x:is>
      </x:c>
      <x:c r="D51" s="18" t="inlineStr">
        <x:is>
          <x:t xml:space="preserve">WCAG 2.1 AA violation</x:t>
        </x:is>
      </x:c>
      <x:c r="E51" s="32" t="inlineStr">
        <x:is>
          <x:t xml:space="preserve">P1</x:t>
        </x:is>
      </x:c>
    </x:row>
    <x:row r="52">
      <x:c r="B52" s="18" t="inlineStr">
        <x:is>
          <x:t xml:space="preserve">ADR check</x:t>
        </x:is>
      </x:c>
      <x:c r="C52" s="18" t="inlineStr">
        <x:is>
          <x:t xml:space="preserve">Custom: any change in /src/lib/auth/, /src/lib/broker/, /migrations/ requires new ADR</x:t>
        </x:is>
      </x:c>
      <x:c r="D52" s="18" t="inlineStr">
        <x:is>
          <x:t xml:space="preserve">Missing ADR</x:t>
        </x:is>
      </x:c>
      <x:c r="E52" s="32" t="inlineStr">
        <x:is>
          <x:t xml:space="preserve">P1</x:t>
        </x:is>
      </x:c>
    </x:row>
    <x:row r="53">
      <x:c r="B53" s="18" t="inlineStr">
        <x:is>
          <x:t xml:space="preserve">Release record check</x:t>
        </x:is>
      </x:c>
      <x:c r="C53" s="18" t="inlineStr">
        <x:is>
          <x:t xml:space="preserve">npm run release:check (already exists)</x:t>
        </x:is>
      </x:c>
      <x:c r="D53" s="18" t="inlineStr">
        <x:is>
          <x:t xml:space="preserve">Missing release record for release-relevant change</x:t>
        </x:is>
      </x:c>
      <x:c r="E53" s="31" t="inlineStr">
        <x:is>
          <x:t xml:space="preserve">P0</x:t>
        </x:is>
      </x:c>
    </x:row>
    <x:row r="54">
      <x:c r="B54" s="18" t="inlineStr">
        <x:is>
          <x:t xml:space="preserve">Migration drift check</x:t>
        </x:is>
      </x:c>
      <x:c r="C54" s="18" t="inlineStr">
        <x:is>
          <x:t xml:space="preserve">Already exists; move from warn to fail</x:t>
        </x:is>
      </x:c>
      <x:c r="D54" s="18" t="inlineStr">
        <x:is>
          <x:t xml:space="preserve">Schema drift</x:t>
        </x:is>
      </x:c>
      <x:c r="E54" s="32" t="inlineStr">
        <x:is>
          <x:t xml:space="preserve">P1</x:t>
        </x:is>
      </x:c>
    </x:row>
    <x:row r="55">
      <x:c r="B55" s="18" t="inlineStr">
        <x:is>
          <x:t xml:space="preserve">PR template completeness</x:t>
        </x:is>
      </x:c>
      <x:c r="C55" s="18" t="inlineStr">
        <x:is>
          <x:t xml:space="preserve">GitHub Action — required sections filled</x:t>
        </x:is>
      </x:c>
      <x:c r="D55" s="18" t="inlineStr">
        <x:is>
          <x:t xml:space="preserve">Blank sections</x:t>
        </x:is>
      </x:c>
      <x:c r="E55" s="32" t="inlineStr">
        <x:is>
          <x:t xml:space="preserve">P1</x:t>
        </x:is>
      </x:c>
    </x:row>
    <x:row r="58">
      <x:c r="B58" s="5" t="inlineStr">
        <x:is>
          <x:t xml:space="preserve">3. Architecture Boundary Rules (encode in .dependency-cruiser.cjs)</x:t>
        </x:is>
      </x:c>
    </x:row>
    <x:row r="59">
      <x:c r="B59" s="8" t="inlineStr">
        <x:is>
          <x:t xml:space="preserve">Rule</x:t>
        </x:is>
      </x:c>
      <x:c r="C59" s="8" t="inlineStr">
        <x:is>
          <x:t xml:space="preserve">Forbidden</x:t>
        </x:is>
      </x:c>
      <x:c r="D59" s="8" t="inlineStr">
        <x:is>
          <x:t xml:space="preserve">Allowed</x:t>
        </x:is>
      </x:c>
      <x:c r="E59" s="8" t="inlineStr">
        <x:is>
          <x:t xml:space="preserve">Why</x:t>
        </x:is>
      </x:c>
    </x:row>
    <x:row r="60">
      <x:c r="B60" s="18" t="inlineStr">
        <x:is>
          <x:t xml:space="preserve">Broker boundary</x:t>
        </x:is>
      </x:c>
      <x:c r="C60" s="18" t="inlineStr">
        <x:is>
          <x:t xml:space="preserve">App tier imports broker internals / EnterpriseDataRoom / vector / graph directly</x:t>
        </x:is>
      </x:c>
      <x:c r="D60" s="18" t="inlineStr">
        <x:is>
          <x:t xml:space="preserve">App tier → AgentContextBroker contract only</x:t>
        </x:is>
      </x:c>
      <x:c r="E60" s="18" t="inlineStr">
        <x:is>
          <x:t xml:space="preserve">feedback_broker_boundary memory; isolation foundation</x:t>
        </x:is>
      </x:c>
    </x:row>
    <x:row r="61">
      <x:c r="B61" s="18" t="inlineStr">
        <x:is>
          <x:t xml:space="preserve">No legacy Supabase</x:t>
        </x:is>
      </x:c>
      <x:c r="C61" s="18" t="inlineStr">
        <x:is>
          <x:t xml:space="preserve">New code imports @supabase/* directly</x:t>
        </x:is>
      </x:c>
      <x:c r="D61" s="18" t="inlineStr">
        <x:is>
          <x:t xml:space="preserve">Compatibility shims in /src/lib/compat only</x:t>
        </x:is>
      </x:c>
      <x:c r="E61" s="18" t="inlineStr">
        <x:is>
          <x:t xml:space="preserve">Migration to Azure/Postgres data plane</x:t>
        </x:is>
      </x:c>
    </x:row>
    <x:row r="62">
      <x:c r="B62" s="18" t="inlineStr">
        <x:is>
          <x:t xml:space="preserve">Routes don't touch DB</x:t>
        </x:is>
      </x:c>
      <x:c r="C62" s="18" t="inlineStr">
        <x:is>
          <x:t xml:space="preserve">Pages/route handlers import DB driver directly</x:t>
        </x:is>
      </x:c>
      <x:c r="D62" s="18" t="inlineStr">
        <x:is>
          <x:t xml:space="preserve">Routes → service layer → broker</x:t>
        </x:is>
      </x:c>
      <x:c r="E62" s="18" t="inlineStr">
        <x:is>
          <x:t xml:space="preserve">Testability + isolation</x:t>
        </x:is>
      </x:c>
    </x:row>
    <x:row r="63">
      <x:c r="B63" s="18" t="inlineStr">
        <x:is>
          <x:t xml:space="preserve">UI doesn't import server-only</x:t>
        </x:is>
      </x:c>
      <x:c r="C63" s="18" t="inlineStr">
        <x:is>
          <x:t xml:space="preserve">Client components import server-only utilities</x:t>
        </x:is>
      </x:c>
      <x:c r="D63" s="18" t="inlineStr">
        <x:is>
          <x:t xml:space="preserve">Server components only</x:t>
        </x:is>
      </x:c>
      <x:c r="E63" s="18" t="inlineStr">
        <x:is>
          <x:t xml:space="preserve">Next.js boundary</x:t>
        </x:is>
      </x:c>
    </x:row>
    <x:row r="64">
      <x:c r="B64" s="18" t="inlineStr">
        <x:is>
          <x:t xml:space="preserve">Migrations are forward-only</x:t>
        </x:is>
      </x:c>
      <x:c r="C64" s="18" t="inlineStr">
        <x:is>
          <x:t xml:space="preserve">DELETE/DROP statements without IF EXISTS + rollback companion</x:t>
        </x:is>
      </x:c>
      <x:c r="D64" s="18" t="inlineStr">
        <x:is>
          <x:t xml:space="preserve">Reversible migrations with up/down</x:t>
        </x:is>
      </x:c>
      <x:c r="E64" s="18" t="inlineStr">
        <x:is>
          <x:t xml:space="preserve">Prod safety</x:t>
        </x:is>
      </x:c>
    </x:row>
    <x:row r="65">
      <x:c r="B65" s="18" t="inlineStr">
        <x:is>
          <x:t xml:space="preserve">Hardcoded tenant IDs forbidden</x:t>
        </x:is>
      </x:c>
      <x:c r="C65" s="18" t="inlineStr">
        <x:is>
          <x:t xml:space="preserve">String literal tenant IDs in /src</x:t>
        </x:is>
      </x:c>
      <x:c r="D65" s="18" t="inlineStr">
        <x:is>
          <x:t xml:space="preserve">Tenant ID from session context only</x:t>
        </x:is>
      </x:c>
      <x:c r="E65" s="18" t="inlineStr">
        <x:is>
          <x:t xml:space="preserve">Multi-tenancy</x:t>
        </x:is>
      </x:c>
    </x:row>
    <x:row r="66">
      <x:c r="B66" s="18" t="inlineStr">
        <x:is>
          <x:t xml:space="preserve">Console.log forbidden in /src</x:t>
        </x:is>
      </x:c>
      <x:c r="C66" s="18" t="inlineStr">
        <x:is>
          <x:t xml:space="preserve">console.log/debug in committed code</x:t>
        </x:is>
      </x:c>
      <x:c r="D66" s="18" t="inlineStr">
        <x:is>
          <x:t xml:space="preserve">Structured logger via logger.ts</x:t>
        </x:is>
      </x:c>
      <x:c r="E66" s="18" t="inlineStr">
        <x:is>
          <x:t xml:space="preserve">Audit trail + log hygiene</x:t>
        </x:is>
      </x:c>
    </x:row>
    <x:row r="67">
      <x:c r="B67" s="18" t="inlineStr">
        <x:is>
          <x:t xml:space="preserve">Test files mirror source</x:t>
        </x:is>
      </x:c>
      <x:c r="C67" s="18" t="inlineStr">
        <x:is>
          <x:t xml:space="preserve">Test files in random locations</x:t>
        </x:is>
      </x:c>
      <x:c r="D67" s="18" t="inlineStr">
        <x:is>
          <x:t xml:space="preserve">*.test.ts next to source OR /tests/**</x:t>
        </x:is>
      </x:c>
      <x:c r="E67" s="18" t="inlineStr">
        <x:is>
          <x:t xml:space="preserve">Discoverability</x:t>
        </x:is>
      </x:c>
    </x:row>
    <x:row r="70">
      <x:c r="B70" s="5" t="inlineStr">
        <x:is>
          <x:t xml:space="preserve">4. AI Tool Governance (one source, many readers)</x:t>
        </x:is>
      </x:c>
    </x:row>
    <x:row r="71">
      <x:c r="B71" s="8" t="inlineStr">
        <x:is>
          <x:t xml:space="preserve">Tool</x:t>
        </x:is>
      </x:c>
      <x:c r="C71" s="8" t="inlineStr">
        <x:is>
          <x:t xml:space="preserve">Reads from</x:t>
        </x:is>
      </x:c>
      <x:c r="D71" s="8" t="inlineStr">
        <x:is>
          <x:t xml:space="preserve">How synced</x:t>
        </x:is>
      </x:c>
      <x:c r="E71" s="8" t="inlineStr">
        <x:is>
          <x:t xml:space="preserve"/>
        </x:is>
      </x:c>
    </x:row>
    <x:row r="72">
      <x:c r="B72" s="18" t="inlineStr">
        <x:is>
          <x:t xml:space="preserve">Claude Code</x:t>
        </x:is>
      </x:c>
      <x:c r="C72" s="18" t="inlineStr">
        <x:is>
          <x:t xml:space="preserve">/CLAUDE.md (imports AGENTS.md)</x:t>
        </x:is>
      </x:c>
      <x:c r="D72" s="18" t="inlineStr">
        <x:is>
          <x:t xml:space="preserve">Manual reference — auto via @AGENTS.md</x:t>
        </x:is>
      </x:c>
      <x:c r="E72" s="18" t="inlineStr">
        <x:is>
          <x:t xml:space="preserve"/>
        </x:is>
      </x:c>
    </x:row>
    <x:row r="73">
      <x:c r="B73" s="18" t="inlineStr">
        <x:is>
          <x:t xml:space="preserve">OpenAI Codex / GitHub Codex</x:t>
        </x:is>
      </x:c>
      <x:c r="C73" s="18" t="inlineStr">
        <x:is>
          <x:t xml:space="preserve">/AGENTS.md (native)</x:t>
        </x:is>
      </x:c>
      <x:c r="D73" s="18" t="inlineStr">
        <x:is>
          <x:t xml:space="preserve">Native — no sync needed</x:t>
        </x:is>
      </x:c>
      <x:c r="E73" s="18" t="inlineStr">
        <x:is>
          <x:t xml:space="preserve"/>
        </x:is>
      </x:c>
    </x:row>
    <x:row r="74">
      <x:c r="B74" s="18" t="inlineStr">
        <x:is>
          <x:t xml:space="preserve">Cursor</x:t>
        </x:is>
      </x:c>
      <x:c r="C74" s="18" t="inlineStr">
        <x:is>
          <x:t xml:space="preserve">/.cursor/rules</x:t>
        </x:is>
      </x:c>
      <x:c r="D74" s="18" t="inlineStr">
        <x:is>
          <x:t xml:space="preserve">Generated from AGENTS.md by /scripts/governance/sync-ai-rules.ts</x:t>
        </x:is>
      </x:c>
      <x:c r="E74" s="18" t="inlineStr">
        <x:is>
          <x:t xml:space="preserve"/>
        </x:is>
      </x:c>
    </x:row>
    <x:row r="75">
      <x:c r="B75" s="18" t="inlineStr">
        <x:is>
          <x:t xml:space="preserve">GitHub Copilot</x:t>
        </x:is>
      </x:c>
      <x:c r="C75" s="18" t="inlineStr">
        <x:is>
          <x:t xml:space="preserve">/.github/copilot-instructions.md</x:t>
        </x:is>
      </x:c>
      <x:c r="D75" s="18" t="inlineStr">
        <x:is>
          <x:t xml:space="preserve">Generated from AGENTS.md by sync script</x:t>
        </x:is>
      </x:c>
      <x:c r="E75" s="18" t="inlineStr">
        <x:is>
          <x:t xml:space="preserve"/>
        </x:is>
      </x:c>
    </x:row>
    <x:row r="76">
      <x:c r="B76" s="18" t="inlineStr">
        <x:is>
          <x:t xml:space="preserve">Aider, Continue, etc.</x:t>
        </x:is>
      </x:c>
      <x:c r="C76" s="18" t="inlineStr">
        <x:is>
          <x:t xml:space="preserve">Read .ai-rules or AGENTS.md</x:t>
        </x:is>
      </x:c>
      <x:c r="D76" s="18" t="inlineStr">
        <x:is>
          <x:t xml:space="preserve">Native or symlinked</x:t>
        </x:is>
      </x:c>
      <x:c r="E76" s="18" t="inlineStr">
        <x:is>
          <x:t xml:space="preserve"/>
        </x:is>
      </x:c>
    </x:row>
    <x:row r="77">
      <x:c r="B77" s="18" t="inlineStr">
        <x:is>
          <x:t xml:space="preserve">CI / pre-commit</x:t>
        </x:is>
      </x:c>
      <x:c r="C77" s="18" t="inlineStr">
        <x:is>
          <x:t xml:space="preserve">ESLint + dependency-cruiser + custom checks</x:t>
        </x:is>
      </x:c>
      <x:c r="D77" s="18" t="inlineStr">
        <x:is>
          <x:t xml:space="preserve">Enforces what AGENTS.md describes — last line of defense</x:t>
        </x:is>
      </x:c>
      <x:c r="E77" s="18" t="inlineStr">
        <x:is>
          <x:t xml:space="preserve"/>
        </x:is>
      </x:c>
    </x:row>
    <x:row r="80">
      <x:c r="B80" s="5" t="inlineStr">
        <x:is>
          <x:t xml:space="preserve">5. Implementation Sequence (do in this order)</x:t>
        </x:is>
      </x:c>
    </x:row>
    <x:row r="81">
      <x:c r="B81" s="26" t="inlineStr">
        <x:is>
          <x:t xml:space="preserve">Wave 1 — Foundation (week 1)</x:t>
        </x:is>
      </x:c>
      <x:c r="C81" s="18" t="inlineStr">
        <x:is>
          <x:t xml:space="preserve">GOVERNANCE.md + CODEOWNERS + branch protection + PR template + pre-commit hooks + secret scan</x:t>
        </x:is>
      </x:c>
      <x:c r="D81" s="33" t="inlineStr">
        <x:is>
          <x:t xml:space="preserve">Cheapest to retrofit</x:t>
        </x:is>
      </x:c>
      <x:c r="E81" s="35" t="n"/>
    </x:row>
    <x:row r="82">
      <x:c r="B82" s="26" t="inlineStr">
        <x:is>
          <x:t xml:space="preserve">Wave 2 — ADR + boundaries (week 2)</x:t>
        </x:is>
      </x:c>
      <x:c r="C82" s="18" t="inlineStr">
        <x:is>
          <x:t xml:space="preserve">First 5 ADRs + dependency-cruiser config + boundary rules + scaffold scripts</x:t>
        </x:is>
      </x:c>
      <x:c r="D82" s="33" t="inlineStr">
        <x:is>
          <x:t xml:space="preserve">Encodes existing decisions</x:t>
        </x:is>
      </x:c>
      <x:c r="E82" s="35" t="n"/>
    </x:row>
    <x:row r="83">
      <x:c r="B83" s="26" t="inlineStr">
        <x:is>
          <x:t xml:space="preserve">Wave 3 — CI gates (week 3)</x:t>
        </x:is>
      </x:c>
      <x:c r="C83" s="18" t="inlineStr">
        <x:is>
          <x:t xml:space="preserve">All required checks wired to required-status-check policy</x:t>
        </x:is>
      </x:c>
      <x:c r="D83" s="33" t="inlineStr">
        <x:is>
          <x:t xml:space="preserve">Locks in quality floor</x:t>
        </x:is>
      </x:c>
      <x:c r="E83" s="35" t="n"/>
    </x:row>
    <x:row r="84">
      <x:c r="B84" s="26" t="inlineStr">
        <x:is>
          <x:t xml:space="preserve">Wave 4 — Polish (week 4+)</x:t>
        </x:is>
      </x:c>
      <x:c r="C84" s="18" t="inlineStr">
        <x:is>
          <x:t xml:space="preserve">Lighthouse CI, bundle budgets, axe-core, SBOM, DORA dashboard</x:t>
        </x:is>
      </x:c>
      <x:c r="D84" s="33" t="inlineStr">
        <x:is>
          <x:t xml:space="preserve">Continuous improvement</x:t>
        </x:is>
      </x:c>
      <x:c r="E84" s="35" t="n"/>
    </x:row>
  </x:sheetData>
  <x:mergeCells>
    <x:mergeCell ref="D83:E83"/>
    <x:mergeCell ref="B35:E35"/>
    <x:mergeCell ref="D82:E82"/>
    <x:mergeCell ref="B58:E58"/>
    <x:mergeCell ref="B70:E70"/>
    <x:mergeCell ref="D81:E81"/>
    <x:mergeCell ref="D84:E84"/>
    <x:mergeCell ref="B5:E5"/>
    <x:mergeCell ref="B80:E8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 customWidth="1"/>
    <x:col min="2" max="2" width="48" customWidth="1"/>
    <x:col min="3" max="3" width="18" customWidth="1"/>
    <x:col min="4" max="4" width="55" customWidth="1"/>
  </x:cols>
  <x:sheetData>
    <x:row r="2">
      <x:c r="B2" s="1" t="inlineStr">
        <x:is>
          <x:t xml:space="preserve">Pilot + Year-1 Pricing Model</x:t>
        </x:is>
      </x:c>
    </x:row>
    <x:row r="3">
      <x:c r="B3" s="2" t="inlineStr">
        <x:is>
          <x:t xml:space="preserve">Blue cells = inputs you can change. Black = formulas. Update to model scenarios.</x:t>
        </x:is>
      </x:c>
    </x:row>
    <x:row r="5">
      <x:c r="B5" s="5" t="inlineStr">
        <x:is>
          <x:t xml:space="preserve">Inputs</x:t>
        </x:is>
      </x:c>
    </x:row>
    <x:row r="6">
      <x:c r="B6" s="6" t="inlineStr">
        <x:is>
          <x:t xml:space="preserve">Pilot fee (one-time, 90 days)</x:t>
        </x:is>
      </x:c>
      <x:c r="C6" s="19" t="n">
        <x:v>300000</x:v>
      </x:c>
      <x:c r="D6" s="20" t="inlineStr">
        <x:is>
          <x:t xml:space="preserve">Setup + 90 days dedicated</x:t>
        </x:is>
      </x:c>
    </x:row>
    <x:row r="7">
      <x:c r="B7" s="6" t="inlineStr">
        <x:is>
          <x:t xml:space="preserve">Year-1 monthly platform fee (target $950k ACV)</x:t>
        </x:is>
      </x:c>
      <x:c r="C7" s="19" t="n">
        <x:v>79167</x:v>
      </x:c>
      <x:c r="D7" s="20" t="inlineStr">
        <x:is>
          <x:t xml:space="preserve">Base SaaS</x:t>
        </x:is>
      </x:c>
    </x:row>
    <x:row r="8">
      <x:c r="B8" s="6" t="inlineStr">
        <x:is>
          <x:t xml:space="preserve">Source module add-on (monthly)</x:t>
        </x:is>
      </x:c>
      <x:c r="C8" s="19" t="n">
        <x:v>40000</x:v>
      </x:c>
      <x:c r="D8" s="20" t="inlineStr">
        <x:is>
          <x:t xml:space="preserve">Procurement loves separate line</x:t>
        </x:is>
      </x:c>
    </x:row>
    <x:row r="9">
      <x:c r="B9" s="6" t="inlineStr">
        <x:is>
          <x:t xml:space="preserve">Users included in base tier</x:t>
        </x:is>
      </x:c>
      <x:c r="C9" s="21" t="n">
        <x:v>25</x:v>
      </x:c>
      <x:c r="D9" s="20" t="inlineStr">
        <x:is>
          <x:t xml:space="preserve">Recommend tiers not per-user</x:t>
        </x:is>
      </x:c>
    </x:row>
    <x:row r="10">
      <x:c r="B10" s="6" t="inlineStr">
        <x:is>
          <x:t xml:space="preserve">Additional user tier 26-100 (monthly)</x:t>
        </x:is>
      </x:c>
      <x:c r="C10" s="19" t="n">
        <x:v>15000</x:v>
      </x:c>
      <x:c r="D10" s="20" t="inlineStr">
        <x:is>
          <x:t xml:space="preserve">Flat add-on, not per-user</x:t>
        </x:is>
      </x:c>
    </x:row>
    <x:row r="11">
      <x:c r="B11" s="6" t="inlineStr">
        <x:is>
          <x:t xml:space="preserve">Token fair-use cap (M tokens/month)</x:t>
        </x:is>
      </x:c>
      <x:c r="C11" s="21" t="n">
        <x:v>50</x:v>
      </x:c>
      <x:c r="D11" s="20" t="inlineStr">
        <x:is>
          <x:t xml:space="preserve">Sized at 3-4x expected</x:t>
        </x:is>
      </x:c>
    </x:row>
    <x:row r="12">
      <x:c r="B12" s="6" t="inlineStr">
        <x:is>
          <x:t xml:space="preserve">Token overage rate ($/M tokens, +20% margin)</x:t>
        </x:is>
      </x:c>
      <x:c r="C12" s="22" t="n">
        <x:v>18</x:v>
      </x:c>
      <x:c r="D12" s="20" t="inlineStr">
        <x:is>
          <x:t xml:space="preserve">Pass-through at cost +20%</x:t>
        </x:is>
      </x:c>
    </x:row>
    <x:row r="13">
      <x:c r="B13" s="6" t="inlineStr">
        <x:is>
          <x:t xml:space="preserve">Founder hourly rate (premium, anchors change-order rate)</x:t>
        </x:is>
      </x:c>
      <x:c r="C13" s="19" t="n">
        <x:v>425</x:v>
      </x:c>
      <x:c r="D13" s="20" t="inlineStr">
        <x:is>
          <x:t xml:space="preserve">Included gift + change-order rate</x:t>
        </x:is>
      </x:c>
    </x:row>
    <x:row r="14">
      <x:c r="B14" s="6" t="inlineStr">
        <x:is>
          <x:t xml:space="preserve">Founder hours/month included free (~10% of contract value)</x:t>
        </x:is>
      </x:c>
      <x:c r="C14" s="21" t="n">
        <x:v>19</x:v>
      </x:c>
      <x:c r="D14" s="20" t="inlineStr">
        <x:is>
          <x:t xml:space="preserve">15% gift @ ~80hr/mo engagement</x:t>
        </x:is>
      </x:c>
    </x:row>
    <x:row r="15">
      <x:c r="B15" s="6" t="inlineStr">
        <x:is>
          <x:t xml:space="preserve">Annual pre-pay discount %</x:t>
        </x:is>
      </x:c>
      <x:c r="C15" s="23" t="n">
        <x:v>0.075</x:v>
      </x:c>
      <x:c r="D15" s="20" t="inlineStr">
        <x:is>
          <x:t xml:space="preserve">5-10% recommended</x:t>
        </x:is>
      </x:c>
    </x:row>
    <x:row r="16">
      <x:c r="B16" s="6" t="inlineStr">
        <x:is>
          <x:t xml:space="preserve">Annual escalator %</x:t>
        </x:is>
      </x:c>
      <x:c r="C16" s="23" t="n">
        <x:v>0.05</x:v>
      </x:c>
      <x:c r="D16" s="20" t="inlineStr">
        <x:is>
          <x:t xml:space="preserve">CPI+3% or 5% flat</x:t>
        </x:is>
      </x:c>
    </x:row>
    <x:row r="18">
      <x:c r="B18" s="5" t="inlineStr">
        <x:is>
          <x:t xml:space="preserve">Pilot Economics (90 days)</x:t>
        </x:is>
      </x:c>
    </x:row>
    <x:row r="19">
      <x:c r="B19" s="6" t="inlineStr">
        <x:is>
          <x:t xml:space="preserve">Pilot fee (collected)</x:t>
        </x:is>
      </x:c>
      <x:c r="C19" s="24" t="n">
        <x:f>C6</x:f>
        <x:v>300000</x:v>
      </x:c>
    </x:row>
    <x:row r="20">
      <x:c r="B20" s="6" t="inlineStr">
        <x:is>
          <x:t xml:space="preserve">Founder time included (90 days × hrs × rate)</x:t>
        </x:is>
      </x:c>
      <x:c r="C20" s="24" t="n">
        <x:f>C14*3*C13</x:f>
        <x:v>24225</x:v>
      </x:c>
    </x:row>
    <x:row r="21">
      <x:c r="B21" s="6" t="inlineStr">
        <x:is>
          <x:t xml:space="preserve">Founder time as % of pilot fee</x:t>
        </x:is>
      </x:c>
      <x:c r="C21" s="25" t="n">
        <x:f>C20/C19</x:f>
        <x:v>0.08075</x:v>
      </x:c>
    </x:row>
    <x:row r="22">
      <x:c r="B22" s="6" t="inlineStr">
        <x:is>
          <x:t xml:space="preserve">Implied effective pilot revenue</x:t>
        </x:is>
      </x:c>
      <x:c r="C22" s="24" t="n">
        <x:f>C19-C20</x:f>
        <x:v>275775</x:v>
      </x:c>
    </x:row>
    <x:row r="25">
      <x:c r="B25" s="5" t="inlineStr">
        <x:is>
          <x:t xml:space="preserve">Year-1 ARR Build (base case, no overage)</x:t>
        </x:is>
      </x:c>
    </x:row>
    <x:row r="26">
      <x:c r="B26" s="6" t="inlineStr">
        <x:is>
          <x:t xml:space="preserve">Platform monthly</x:t>
        </x:is>
      </x:c>
      <x:c r="C26" s="24" t="n">
        <x:f>C7</x:f>
        <x:v>79167</x:v>
      </x:c>
    </x:row>
    <x:row r="27">
      <x:c r="B27" s="6" t="inlineStr">
        <x:is>
          <x:t xml:space="preserve">Source add-on monthly</x:t>
        </x:is>
      </x:c>
      <x:c r="C27" s="24" t="n">
        <x:f>C8</x:f>
        <x:v>40000</x:v>
      </x:c>
    </x:row>
    <x:row r="28">
      <x:c r="B28" s="6" t="inlineStr">
        <x:is>
          <x:t xml:space="preserve">Total monthly (base tier)</x:t>
        </x:is>
      </x:c>
      <x:c r="C28" s="24" t="n">
        <x:f>C26+C27</x:f>
        <x:v>119167</x:v>
      </x:c>
    </x:row>
    <x:row r="29">
      <x:c r="B29" s="6" t="inlineStr">
        <x:is>
          <x:t xml:space="preserve">Annual contract value (ACV)</x:t>
        </x:is>
      </x:c>
      <x:c r="C29" s="24" t="n">
        <x:f>C28*12</x:f>
        <x:v>1430004</x:v>
      </x:c>
    </x:row>
    <x:row r="30">
      <x:c r="B30" s="6" t="inlineStr">
        <x:is>
          <x:t xml:space="preserve">Annual pre-pay (with discount)</x:t>
        </x:is>
      </x:c>
      <x:c r="C30" s="24" t="n">
        <x:f>C29*(1-C15)</x:f>
        <x:v>1322753.7</x:v>
      </x:c>
    </x:row>
    <x:row r="31">
      <x:c r="B31" s="6" t="inlineStr">
        <x:is>
          <x:t xml:space="preserve">Pre-pay savings to client</x:t>
        </x:is>
      </x:c>
      <x:c r="C31" s="24" t="n">
        <x:f>C29-C30</x:f>
        <x:v>107250.30000000005</x:v>
      </x:c>
    </x:row>
    <x:row r="32">
      <x:c r="B32" s="6" t="inlineStr">
        <x:is>
          <x:t xml:space="preserve">Year-2 ACV (with escalator)</x:t>
        </x:is>
      </x:c>
      <x:c r="C32" s="24" t="n">
        <x:f>C29*(1+C16)</x:f>
        <x:v>1501504.2</x:v>
      </x:c>
    </x:row>
    <x:row r="35">
      <x:c r="B35" s="5" t="inlineStr">
        <x:is>
          <x:t xml:space="preserve">Total Deal Value (Pilot + Year-1)</x:t>
        </x:is>
      </x:c>
    </x:row>
    <x:row r="36">
      <x:c r="B36" s="26" t="inlineStr">
        <x:is>
          <x:t xml:space="preserve">Pilot fee</x:t>
        </x:is>
      </x:c>
      <x:c r="C36" s="27" t="n">
        <x:f>C6</x:f>
        <x:v>300000</x:v>
      </x:c>
    </x:row>
    <x:row r="37">
      <x:c r="B37" s="26" t="inlineStr">
        <x:is>
          <x:t xml:space="preserve">Year-1 ACV</x:t>
        </x:is>
      </x:c>
      <x:c r="C37" s="27" t="n">
        <x:f>C29</x:f>
        <x:v>1430004</x:v>
      </x:c>
    </x:row>
    <x:row r="38">
      <x:c r="B38" s="26" t="inlineStr">
        <x:is>
          <x:t xml:space="preserve">TOTAL 15-month deal value</x:t>
        </x:is>
      </x:c>
      <x:c r="C38" s="27" t="n">
        <x:f>C36+C37</x:f>
        <x:v>1730004</x:v>
      </x:c>
    </x:row>
    <x:row r="39">
      <x:c r="B39" s="26" t="inlineStr">
        <x:is>
          <x:t xml:space="preserve">If client pre-pays year-1</x:t>
        </x:is>
      </x:c>
      <x:c r="C39" s="27" t="n">
        <x:f>C36+C30</x:f>
        <x:v>1622753.7</x:v>
      </x:c>
    </x:row>
    <x:row r="42">
      <x:c r="B42" s="5" t="inlineStr">
        <x:is>
          <x:t xml:space="preserve">Token Overage Example (cap protection)</x:t>
        </x:is>
      </x:c>
    </x:row>
    <x:row r="43">
      <x:c r="B43" s="6" t="inlineStr">
        <x:is>
          <x:t xml:space="preserve">Assumed monthly usage (M tokens)</x:t>
        </x:is>
      </x:c>
      <x:c r="C43" s="21" t="n">
        <x:v>75</x:v>
      </x:c>
    </x:row>
    <x:row r="44">
      <x:c r="B44" s="6" t="inlineStr">
        <x:is>
          <x:t xml:space="preserve">Tokens in cap (free)</x:t>
        </x:is>
      </x:c>
      <x:c r="C44" s="28" t="n">
        <x:f>MIN(C43,C11)</x:f>
        <x:v>50</x:v>
      </x:c>
    </x:row>
    <x:row r="45">
      <x:c r="B45" s="6" t="inlineStr">
        <x:is>
          <x:t xml:space="preserve">Overage tokens</x:t>
        </x:is>
      </x:c>
      <x:c r="C45" s="28" t="n">
        <x:f>MAX(0,C43-C11)</x:f>
        <x:v>25</x:v>
      </x:c>
    </x:row>
    <x:row r="46">
      <x:c r="B46" s="6" t="inlineStr">
        <x:is>
          <x:t xml:space="preserve">Monthly overage charge</x:t>
        </x:is>
      </x:c>
      <x:c r="C46" s="24" t="n">
        <x:f>C45*C12</x:f>
        <x:v>450</x:v>
      </x:c>
    </x:row>
    <x:row r="47">
      <x:c r="B47" s="6" t="inlineStr">
        <x:is>
          <x:t xml:space="preserve">Annual overage charge</x:t>
        </x:is>
      </x:c>
      <x:c r="C47" s="24" t="n">
        <x:f>C46*12</x:f>
        <x:v>5400</x:v>
      </x:c>
    </x:row>
  </x:sheetData>
  <x:mergeCells>
    <x:mergeCell ref="B42:D42"/>
    <x:mergeCell ref="B5:D5"/>
    <x:mergeCell ref="B35:D35"/>
    <x:mergeCell ref="B18:D18"/>
    <x:mergeCell ref="B25:D2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 customWidth="1"/>
    <x:col min="2" max="2" width="42" customWidth="1"/>
    <x:col min="3" max="3" width="12" customWidth="1"/>
    <x:col min="4" max="4" width="16" customWidth="1"/>
    <x:col min="5" max="5" width="18" customWidth="1"/>
    <x:col min="6" max="6" width="18" customWidth="1"/>
    <x:col min="7" max="7" width="18" customWidth="1"/>
    <x:col min="8" max="8" width="18" customWidth="1"/>
    <x:col min="9" max="9" width="18" customWidth="1"/>
    <x:col min="10" max="10" width="40" customWidth="1"/>
  </x:cols>
  <x:sheetData>
    <x:row r="2">
      <x:c r="B2" s="1" t="inlineStr">
        <x:is>
          <x:t xml:space="preserve">AbarVa Cost Model — Pilot + Year 1 + Year 2</x:t>
        </x:is>
      </x:c>
    </x:row>
    <x:row r="3">
      <x:c r="B3" s="2" t="inlineStr">
        <x:is>
          <x:t xml:space="preserve">All-in technology + operating cost. Blue cells = inputs. Compares With Credits vs Without Credits.</x:t>
        </x:is>
      </x:c>
    </x:row>
    <x:row r="5">
      <x:c r="B5" s="5" t="inlineStr">
        <x:is>
          <x:t xml:space="preserve">Assumptions</x:t>
        </x:is>
      </x:c>
    </x:row>
    <x:row r="6">
      <x:c r="B6" s="6" t="inlineStr">
        <x:is>
          <x:t xml:space="preserve">Pilot duration (months)</x:t>
        </x:is>
      </x:c>
      <x:c r="C6" s="53" t="n">
        <x:v>3</x:v>
      </x:c>
    </x:row>
    <x:row r="7">
      <x:c r="B7" s="6" t="inlineStr">
        <x:is>
          <x:t xml:space="preserve">Max users in pilot</x:t>
        </x:is>
      </x:c>
      <x:c r="C7" s="53" t="n">
        <x:v>10</x:v>
      </x:c>
    </x:row>
    <x:row r="8">
      <x:c r="B8" s="6" t="inlineStr">
        <x:is>
          <x:t xml:space="preserve">Max users year-1</x:t>
        </x:is>
      </x:c>
      <x:c r="C8" s="53" t="n">
        <x:v>50</x:v>
      </x:c>
    </x:row>
    <x:row r="9">
      <x:c r="B9" s="6" t="inlineStr">
        <x:is>
          <x:t xml:space="preserve">Tokens per user per month (M)</x:t>
        </x:is>
      </x:c>
      <x:c r="C9" s="53" t="n">
        <x:v>5</x:v>
      </x:c>
    </x:row>
    <x:row r="10">
      <x:c r="B10" s="6" t="inlineStr">
        <x:is>
          <x:t xml:space="preserve">Cost per M tokens (blended Sonnet $)</x:t>
        </x:is>
      </x:c>
      <x:c r="C10" s="54" t="n">
        <x:v>9</x:v>
      </x:c>
    </x:row>
    <x:row r="11">
      <x:c r="B11" s="6" t="inlineStr">
        <x:is>
          <x:t xml:space="preserve">Founders Hub Azure credit value yr1 ($)</x:t>
        </x:is>
      </x:c>
      <x:c r="C11" s="55" t="n">
        <x:v>75000</x:v>
      </x:c>
    </x:row>
    <x:row r="12">
      <x:c r="B12" s="6" t="inlineStr">
        <x:is>
          <x:t xml:space="preserve">Anthropic startup credit value ($)</x:t>
        </x:is>
      </x:c>
      <x:c r="C12" s="55" t="n">
        <x:v>15000</x:v>
      </x:c>
    </x:row>
    <x:row r="13">
      <x:c r="B13" s="6" t="inlineStr">
        <x:is>
          <x:t xml:space="preserve">Vanta startup discount %</x:t>
        </x:is>
      </x:c>
      <x:c r="C13" s="56" t="n">
        <x:v>0.3</x:v>
      </x:c>
    </x:row>
    <x:row r="16">
      <x:c r="B16" s="5" t="inlineStr">
        <x:is>
          <x:t xml:space="preserve">Cost Line Items</x:t>
        </x:is>
      </x:c>
    </x:row>
    <x:row r="17">
      <x:c r="B17" s="8" t="inlineStr">
        <x:is>
          <x:t xml:space="preserve">Item</x:t>
        </x:is>
      </x:c>
      <x:c r="C17" s="8" t="inlineStr">
        <x:is>
          <x:t xml:space="preserve">Cadence</x:t>
        </x:is>
      </x:c>
      <x:c r="D17" s="8" t="inlineStr">
        <x:is>
          <x:t xml:space="preserve">Unit Cost</x:t>
        </x:is>
      </x:c>
      <x:c r="E17" s="8" t="inlineStr">
        <x:is>
          <x:t xml:space="preserve">Pilot (90d) w/ credits</x:t>
        </x:is>
      </x:c>
      <x:c r="F17" s="8" t="inlineStr">
        <x:is>
          <x:t xml:space="preserve">Pilot (90d) no credits</x:t>
        </x:is>
      </x:c>
      <x:c r="G17" s="8" t="inlineStr">
        <x:is>
          <x:t xml:space="preserve">Yr-1 w/ credits</x:t>
        </x:is>
      </x:c>
      <x:c r="H17" s="8" t="inlineStr">
        <x:is>
          <x:t xml:space="preserve">Yr-1 no credits</x:t>
        </x:is>
      </x:c>
      <x:c r="I17" s="8" t="inlineStr">
        <x:is>
          <x:t xml:space="preserve">Yr-2 (credits expired)</x:t>
        </x:is>
      </x:c>
      <x:c r="J17" s="8" t="inlineStr">
        <x:is>
          <x:t xml:space="preserve">Notes</x:t>
        </x:is>
      </x:c>
    </x:row>
    <x:row r="18">
      <x:c r="B18" s="18" t="inlineStr">
        <x:is>
          <x:t xml:space="preserve">Incorporation (Stripe Atlas)</x:t>
        </x:is>
      </x:c>
      <x:c r="C18" s="18" t="inlineStr">
        <x:is>
          <x:t xml:space="preserve">one-time</x:t>
        </x:is>
      </x:c>
      <x:c r="D18" s="18" t="inlineStr">
        <x:is>
          <x:t xml:space="preserve">$500</x:t>
        </x:is>
      </x:c>
      <x:c r="E18" s="57" t="n">
        <x:v>500</x:v>
      </x:c>
      <x:c r="F18" s="57" t="n">
        <x:v>500</x:v>
      </x:c>
      <x:c r="G18" s="57" t="n">
        <x:v>0</x:v>
      </x:c>
      <x:c r="H18" s="57" t="n">
        <x:v>0</x:v>
      </x:c>
      <x:c r="I18" s="57" t="n">
        <x:v>0</x:v>
      </x:c>
      <x:c r="J18" s="33" t="inlineStr">
        <x:is>
          <x:t xml:space="preserve">Paid in setup, not recurring</x:t>
        </x:is>
      </x:c>
    </x:row>
    <x:row r="19">
      <x:c r="B19" s="18" t="inlineStr">
        <x:is>
          <x:t xml:space="preserve">Foreign qualification (home state)</x:t>
        </x:is>
      </x:c>
      <x:c r="C19" s="18" t="inlineStr">
        <x:is>
          <x:t xml:space="preserve">one-time</x:t>
        </x:is>
      </x:c>
      <x:c r="D19" s="18" t="inlineStr">
        <x:is>
          <x:t xml:space="preserve">$200</x:t>
        </x:is>
      </x:c>
      <x:c r="E19" s="57" t="n">
        <x:v>200</x:v>
      </x:c>
      <x:c r="F19" s="57" t="n">
        <x:v>200</x:v>
      </x:c>
      <x:c r="G19" s="57" t="n">
        <x:v>0</x:v>
      </x:c>
      <x:c r="H19" s="57" t="n">
        <x:v>0</x:v>
      </x:c>
      <x:c r="I19" s="57" t="n">
        <x:v>0</x:v>
      </x:c>
      <x:c r="J19" s="33" t="inlineStr">
        <x:is>
          <x:t xml:space="preserve"/>
        </x:is>
      </x:c>
    </x:row>
    <x:row r="20">
      <x:c r="B20" s="18" t="inlineStr">
        <x:is>
          <x:t xml:space="preserve">Founder IP assignment doc</x:t>
        </x:is>
      </x:c>
      <x:c r="C20" s="18" t="inlineStr">
        <x:is>
          <x:t xml:space="preserve">one-time</x:t>
        </x:is>
      </x:c>
      <x:c r="D20" s="18" t="inlineStr">
        <x:is>
          <x:t xml:space="preserve">$500</x:t>
        </x:is>
      </x:c>
      <x:c r="E20" s="57" t="n">
        <x:v>500</x:v>
      </x:c>
      <x:c r="F20" s="57" t="n">
        <x:v>500</x:v>
      </x:c>
      <x:c r="G20" s="57" t="n">
        <x:v>0</x:v>
      </x:c>
      <x:c r="H20" s="57" t="n">
        <x:v>0</x:v>
      </x:c>
      <x:c r="I20" s="57" t="n">
        <x:v>0</x:v>
      </x:c>
      <x:c r="J20" s="33" t="inlineStr">
        <x:is>
          <x:t xml:space="preserve">Lawyer time</x:t>
        </x:is>
      </x:c>
    </x:row>
    <x:row r="21">
      <x:c r="B21" s="18" t="inlineStr">
        <x:is>
          <x:t xml:space="preserve">Domains (3-4)</x:t>
        </x:is>
      </x:c>
      <x:c r="C21" s="18" t="inlineStr">
        <x:is>
          <x:t xml:space="preserve">annual</x:t>
        </x:is>
      </x:c>
      <x:c r="D21" s="18" t="inlineStr">
        <x:is>
          <x:t xml:space="preserve">$50</x:t>
        </x:is>
      </x:c>
      <x:c r="E21" s="57" t="n">
        <x:v>50</x:v>
      </x:c>
      <x:c r="F21" s="57" t="n">
        <x:v>50</x:v>
      </x:c>
      <x:c r="G21" s="57" t="n">
        <x:v>50</x:v>
      </x:c>
      <x:c r="H21" s="57" t="n">
        <x:v>50</x:v>
      </x:c>
      <x:c r="I21" s="57" t="n">
        <x:v>50</x:v>
      </x:c>
      <x:c r="J21" s="33" t="inlineStr">
        <x:is>
          <x:t xml:space="preserve">Namecheap</x:t>
        </x:is>
      </x:c>
    </x:row>
    <x:row r="22">
      <x:c r="B22" s="18" t="inlineStr">
        <x:is>
          <x:t xml:space="preserve">Trademark AbarVa + 1 mark</x:t>
        </x:is>
      </x:c>
      <x:c r="C22" s="18" t="inlineStr">
        <x:is>
          <x:t xml:space="preserve">one-time</x:t>
        </x:is>
      </x:c>
      <x:c r="D22" s="18" t="inlineStr">
        <x:is>
          <x:t xml:space="preserve">$700</x:t>
        </x:is>
      </x:c>
      <x:c r="E22" s="57" t="n">
        <x:v>700</x:v>
      </x:c>
      <x:c r="F22" s="57" t="n">
        <x:v>700</x:v>
      </x:c>
      <x:c r="G22" s="57" t="n">
        <x:v>0</x:v>
      </x:c>
      <x:c r="H22" s="57" t="n">
        <x:v>0</x:v>
      </x:c>
      <x:c r="I22" s="57" t="n">
        <x:v>0</x:v>
      </x:c>
      <x:c r="J22" s="33" t="inlineStr">
        <x:is>
          <x:t xml:space="preserve"/>
        </x:is>
      </x:c>
    </x:row>
    <x:row r="23">
      <x:c r="B23" s="18" t="inlineStr">
        <x:is>
          <x:t xml:space="preserve">Copyright register corpus</x:t>
        </x:is>
      </x:c>
      <x:c r="C23" s="18" t="inlineStr">
        <x:is>
          <x:t xml:space="preserve">annual</x:t>
        </x:is>
      </x:c>
      <x:c r="D23" s="18" t="inlineStr">
        <x:is>
          <x:t xml:space="preserve">$65</x:t>
        </x:is>
      </x:c>
      <x:c r="E23" s="57" t="n">
        <x:v>65</x:v>
      </x:c>
      <x:c r="F23" s="57" t="n">
        <x:v>65</x:v>
      </x:c>
      <x:c r="G23" s="57" t="n">
        <x:v>65</x:v>
      </x:c>
      <x:c r="H23" s="57" t="n">
        <x:v>65</x:v>
      </x:c>
      <x:c r="I23" s="57" t="n">
        <x:v>65</x:v>
      </x:c>
      <x:c r="J23" s="33" t="inlineStr">
        <x:is>
          <x:t xml:space="preserve"/>
        </x:is>
      </x:c>
    </x:row>
    <x:row r="24">
      <x:c r="B24" s="18" t="inlineStr">
        <x:is>
          <x:t xml:space="preserve">Azure compute (per-client + dev)</x:t>
        </x:is>
      </x:c>
      <x:c r="C24" s="18" t="inlineStr">
        <x:is>
          <x:t xml:space="preserve">monthly</x:t>
        </x:is>
      </x:c>
      <x:c r="D24" s="18" t="inlineStr">
        <x:is>
          <x:t xml:space="preserve">~$2,500/mo</x:t>
        </x:is>
      </x:c>
      <x:c r="E24" s="57" t="n">
        <x:f>0</x:f>
        <x:v>0</x:v>
      </x:c>
      <x:c r="F24" s="57" t="n">
        <x:f>2500*3</x:f>
        <x:v>7500</x:v>
      </x:c>
      <x:c r="G24" s="57" t="n">
        <x:f>0</x:f>
        <x:v>0</x:v>
      </x:c>
      <x:c r="H24" s="57" t="n">
        <x:f>2500*12</x:f>
        <x:v>30000</x:v>
      </x:c>
      <x:c r="I24" s="57" t="n">
        <x:f>2500*12</x:f>
        <x:v>30000</x:v>
      </x:c>
      <x:c r="J24" s="33" t="inlineStr">
        <x:is>
          <x:t xml:space="preserve">$75k/yr; covered by Founders Hub yr1-2</x:t>
        </x:is>
      </x:c>
    </x:row>
    <x:row r="25">
      <x:c r="B25" s="18" t="inlineStr">
        <x:is>
          <x:t xml:space="preserve">Vercel hosting (Pro)</x:t>
        </x:is>
      </x:c>
      <x:c r="C25" s="18" t="inlineStr">
        <x:is>
          <x:t xml:space="preserve">monthly</x:t>
        </x:is>
      </x:c>
      <x:c r="D25" s="18" t="inlineStr">
        <x:is>
          <x:t xml:space="preserve">$20/seat</x:t>
        </x:is>
      </x:c>
      <x:c r="E25" s="57" t="n">
        <x:f>0</x:f>
        <x:v>0</x:v>
      </x:c>
      <x:c r="F25" s="57" t="n">
        <x:f>20*3*3</x:f>
        <x:v>180</x:v>
      </x:c>
      <x:c r="G25" s="57" t="n">
        <x:f>0</x:f>
        <x:v>0</x:v>
      </x:c>
      <x:c r="H25" s="57" t="n">
        <x:f>20*5*12</x:f>
        <x:v>1200</x:v>
      </x:c>
      <x:c r="I25" s="57" t="n">
        <x:f>20*5*12</x:f>
        <x:v>1200</x:v>
      </x:c>
      <x:c r="J25" s="33" t="inlineStr">
        <x:is>
          <x:t xml:space="preserve">Startup discount → $0 yr1; ~$100-300/mo retail</x:t>
        </x:is>
      </x:c>
    </x:row>
    <x:row r="26">
      <x:c r="B26" s="18" t="inlineStr">
        <x:is>
          <x:t xml:space="preserve">Clerk auth (Pro for pilot, Enterprise yr1)</x:t>
        </x:is>
      </x:c>
      <x:c r="C26" s="18" t="inlineStr">
        <x:is>
          <x:t xml:space="preserve">monthly</x:t>
        </x:is>
      </x:c>
      <x:c r="D26" s="18" t="inlineStr">
        <x:is>
          <x:t xml:space="preserve">tiered</x:t>
        </x:is>
      </x:c>
      <x:c r="E26" s="57" t="n">
        <x:f>0</x:f>
        <x:v>0</x:v>
      </x:c>
      <x:c r="F26" s="57" t="n">
        <x:f>50*3</x:f>
        <x:v>150</x:v>
      </x:c>
      <x:c r="G26" s="57" t="n">
        <x:f>0</x:f>
        <x:v>0</x:v>
      </x:c>
      <x:c r="H26" s="57" t="n">
        <x:f>400*12</x:f>
        <x:v>4800</x:v>
      </x:c>
      <x:c r="I26" s="57" t="n">
        <x:f>600*12</x:f>
        <x:v>7200</x:v>
      </x:c>
      <x:c r="J26" s="33" t="inlineStr">
        <x:is>
          <x:t xml:space="preserve">Pilot 10u Pro ~$50; Yr1 50u Enterprise SSO ~$400-600; startup discount applies</x:t>
        </x:is>
      </x:c>
    </x:row>
    <x:row r="27">
      <x:c r="B27" s="18" t="inlineStr">
        <x:is>
          <x:t xml:space="preserve">Anthropic Claude (LLM)</x:t>
        </x:is>
      </x:c>
      <x:c r="C27" s="18" t="inlineStr">
        <x:is>
          <x:t xml:space="preserve">monthly</x:t>
        </x:is>
      </x:c>
      <x:c r="D27" s="18" t="inlineStr">
        <x:is>
          <x:t xml:space="preserve">usage</x:t>
        </x:is>
      </x:c>
      <x:c r="E27" s="57" t="n">
        <x:f>0</x:f>
        <x:v>0</x:v>
      </x:c>
      <x:c r="F27" s="57" t="n">
        <x:f>C7*C9*C10*C6</x:f>
        <x:v>1350</x:v>
      </x:c>
      <x:c r="G27" s="57" t="n">
        <x:f>0</x:f>
        <x:v>0</x:v>
      </x:c>
      <x:c r="H27" s="57" t="n">
        <x:f>C8*C9*C10*12</x:f>
        <x:v>27000</x:v>
      </x:c>
      <x:c r="I27" s="57" t="n">
        <x:f>C8*C9*C10*12</x:f>
        <x:v>27000</x:v>
      </x:c>
      <x:c r="J27" s="33" t="inlineStr">
        <x:is>
          <x:t xml:space="preserve">Covered by Azure-routed credits + direct credits</x:t>
        </x:is>
      </x:c>
    </x:row>
    <x:row r="28">
      <x:c r="B28" s="18" t="inlineStr">
        <x:is>
          <x:t xml:space="preserve">OpenAI (embeddings/eval)</x:t>
        </x:is>
      </x:c>
      <x:c r="C28" s="18" t="inlineStr">
        <x:is>
          <x:t xml:space="preserve">monthly</x:t>
        </x:is>
      </x:c>
      <x:c r="D28" s="18" t="inlineStr">
        <x:is>
          <x:t xml:space="preserve">$100/mo</x:t>
        </x:is>
      </x:c>
      <x:c r="E28" s="57" t="n">
        <x:f>0</x:f>
        <x:v>0</x:v>
      </x:c>
      <x:c r="F28" s="57" t="n">
        <x:f>100*3</x:f>
        <x:v>300</x:v>
      </x:c>
      <x:c r="G28" s="57" t="n">
        <x:f>0</x:f>
        <x:v>0</x:v>
      </x:c>
      <x:c r="H28" s="57" t="n">
        <x:f>100*12</x:f>
        <x:v>1200</x:v>
      </x:c>
      <x:c r="I28" s="57" t="n">
        <x:f>100*12</x:f>
        <x:v>1200</x:v>
      </x:c>
      <x:c r="J28" s="33" t="inlineStr">
        <x:is>
          <x:t xml:space="preserve">Light use; startup credits cover</x:t>
        </x:is>
      </x:c>
    </x:row>
    <x:row r="29">
      <x:c r="B29" s="18" t="inlineStr">
        <x:is>
          <x:t xml:space="preserve">Status page (instatus)</x:t>
        </x:is>
      </x:c>
      <x:c r="C29" s="18" t="inlineStr">
        <x:is>
          <x:t xml:space="preserve">monthly</x:t>
        </x:is>
      </x:c>
      <x:c r="D29" s="18" t="inlineStr">
        <x:is>
          <x:t xml:space="preserve">$40/mo</x:t>
        </x:is>
      </x:c>
      <x:c r="E29" s="57" t="n">
        <x:v>120</x:v>
      </x:c>
      <x:c r="F29" s="57" t="n">
        <x:v>120</x:v>
      </x:c>
      <x:c r="G29" s="57" t="n">
        <x:v>480</x:v>
      </x:c>
      <x:c r="H29" s="57" t="n">
        <x:v>480</x:v>
      </x:c>
      <x:c r="I29" s="57" t="n">
        <x:v>480</x:v>
      </x:c>
      <x:c r="J29" s="33" t="inlineStr">
        <x:is>
          <x:t xml:space="preserve">$40 × 3 / × 12</x:t>
        </x:is>
      </x:c>
    </x:row>
    <x:row r="30">
      <x:c r="B30" s="18" t="inlineStr">
        <x:is>
          <x:t xml:space="preserve">PostHog analytics</x:t>
        </x:is>
      </x:c>
      <x:c r="C30" s="18" t="inlineStr">
        <x:is>
          <x:t xml:space="preserve">monthly</x:t>
        </x:is>
      </x:c>
      <x:c r="D30" s="18" t="inlineStr">
        <x:is>
          <x:t xml:space="preserve">$0-$50</x:t>
        </x:is>
      </x:c>
      <x:c r="E30" s="57" t="n">
        <x:v>0</x:v>
      </x:c>
      <x:c r="F30" s="57" t="n">
        <x:v>50</x:v>
      </x:c>
      <x:c r="G30" s="57" t="n">
        <x:v>0</x:v>
      </x:c>
      <x:c r="H30" s="57" t="n">
        <x:v>600</x:v>
      </x:c>
      <x:c r="I30" s="57" t="n">
        <x:v>600</x:v>
      </x:c>
      <x:c r="J30" s="33" t="inlineStr">
        <x:is>
          <x:t xml:space="preserve">Free up to 1M events</x:t>
        </x:is>
      </x:c>
    </x:row>
    <x:row r="31">
      <x:c r="B31" s="18" t="inlineStr">
        <x:is>
          <x:t xml:space="preserve">Resend email</x:t>
        </x:is>
      </x:c>
      <x:c r="C31" s="18" t="inlineStr">
        <x:is>
          <x:t xml:space="preserve">monthly</x:t>
        </x:is>
      </x:c>
      <x:c r="D31" s="18" t="inlineStr">
        <x:is>
          <x:t xml:space="preserve">$20/mo</x:t>
        </x:is>
      </x:c>
      <x:c r="E31" s="57" t="n">
        <x:v>60</x:v>
      </x:c>
      <x:c r="F31" s="57" t="n">
        <x:v>60</x:v>
      </x:c>
      <x:c r="G31" s="57" t="n">
        <x:v>240</x:v>
      </x:c>
      <x:c r="H31" s="57" t="n">
        <x:v>240</x:v>
      </x:c>
      <x:c r="I31" s="57" t="n">
        <x:v>240</x:v>
      </x:c>
      <x:c r="J31" s="33" t="inlineStr">
        <x:is>
          <x:t xml:space="preserve"/>
        </x:is>
      </x:c>
    </x:row>
    <x:row r="32">
      <x:c r="B32" s="18" t="inlineStr">
        <x:is>
          <x:t xml:space="preserve">Notion / wiki</x:t>
        </x:is>
      </x:c>
      <x:c r="C32" s="18" t="inlineStr">
        <x:is>
          <x:t xml:space="preserve">monthly</x:t>
        </x:is>
      </x:c>
      <x:c r="D32" s="18" t="inlineStr">
        <x:is>
          <x:t xml:space="preserve">$8/user</x:t>
        </x:is>
      </x:c>
      <x:c r="E32" s="57" t="n">
        <x:v>0</x:v>
      </x:c>
      <x:c r="F32" s="57" t="n">
        <x:f>8*3*3</x:f>
        <x:v>72</x:v>
      </x:c>
      <x:c r="G32" s="57" t="n">
        <x:v>0</x:v>
      </x:c>
      <x:c r="H32" s="57" t="n">
        <x:f>8*5*12</x:f>
        <x:v>480</x:v>
      </x:c>
      <x:c r="I32" s="57" t="n">
        <x:f>8*5*12</x:f>
        <x:v>480</x:v>
      </x:c>
      <x:c r="J32" s="33" t="inlineStr">
        <x:is>
          <x:t xml:space="preserve">Startup tier $0 yr1</x:t>
        </x:is>
      </x:c>
    </x:row>
    <x:row r="33">
      <x:c r="B33" s="18" t="inlineStr">
        <x:is>
          <x:t xml:space="preserve">SOC 2 platform (Vanta/Drata)</x:t>
        </x:is>
      </x:c>
      <x:c r="C33" s="18" t="inlineStr">
        <x:is>
          <x:t xml:space="preserve">annual</x:t>
        </x:is>
      </x:c>
      <x:c r="D33" s="18" t="inlineStr">
        <x:is>
          <x:t xml:space="preserve">$15-25k/yr</x:t>
        </x:is>
      </x:c>
      <x:c r="E33" s="57" t="n">
        <x:f>20000*0.7*0.25</x:f>
        <x:v>3500</x:v>
      </x:c>
      <x:c r="F33" s="57" t="n">
        <x:f>20000*0.25</x:f>
        <x:v>5000</x:v>
      </x:c>
      <x:c r="G33" s="57" t="n">
        <x:f>20000*(1-C13)</x:f>
        <x:v>14000</x:v>
      </x:c>
      <x:c r="H33" s="57" t="n">
        <x:f>20000</x:f>
        <x:v>20000</x:v>
      </x:c>
      <x:c r="I33" s="57" t="n">
        <x:f>20000</x:f>
        <x:v>20000</x:v>
      </x:c>
      <x:c r="J33" s="33" t="inlineStr">
        <x:is>
          <x:t xml:space="preserve">Pilot = 1 quarter share; startup discount</x:t>
        </x:is>
      </x:c>
    </x:row>
    <x:row r="34">
      <x:c r="B34" s="18" t="inlineStr">
        <x:is>
          <x:t xml:space="preserve">SOC 2 auditor</x:t>
        </x:is>
      </x:c>
      <x:c r="C34" s="18" t="inlineStr">
        <x:is>
          <x:t xml:space="preserve">annual</x:t>
        </x:is>
      </x:c>
      <x:c r="D34" s="18" t="inlineStr">
        <x:is>
          <x:t xml:space="preserve">$10-20k/yr</x:t>
        </x:is>
      </x:c>
      <x:c r="E34" s="57" t="n">
        <x:v>0</x:v>
      </x:c>
      <x:c r="F34" s="57" t="n">
        <x:v>0</x:v>
      </x:c>
      <x:c r="G34" s="57" t="n">
        <x:v>15000</x:v>
      </x:c>
      <x:c r="H34" s="57" t="n">
        <x:v>15000</x:v>
      </x:c>
      <x:c r="I34" s="57" t="n">
        <x:v>15000</x:v>
      </x:c>
      <x:c r="J34" s="33" t="inlineStr">
        <x:is>
          <x:t xml:space="preserve">Type 1 yr1; Type 2 ongoing</x:t>
        </x:is>
      </x:c>
    </x:row>
    <x:row r="35">
      <x:c r="B35" s="18" t="inlineStr">
        <x:is>
          <x:t xml:space="preserve">External pen test</x:t>
        </x:is>
      </x:c>
      <x:c r="C35" s="18" t="inlineStr">
        <x:is>
          <x:t xml:space="preserve">annual</x:t>
        </x:is>
      </x:c>
      <x:c r="D35" s="18" t="inlineStr">
        <x:is>
          <x:t xml:space="preserve">$10k</x:t>
        </x:is>
      </x:c>
      <x:c r="E35" s="57" t="n">
        <x:f>10000</x:f>
        <x:v>10000</x:v>
      </x:c>
      <x:c r="F35" s="57" t="n">
        <x:f>10000</x:f>
        <x:v>10000</x:v>
      </x:c>
      <x:c r="G35" s="57" t="n">
        <x:f>10000</x:f>
        <x:v>10000</x:v>
      </x:c>
      <x:c r="H35" s="57" t="n">
        <x:f>10000</x:f>
        <x:v>10000</x:v>
      </x:c>
      <x:c r="I35" s="57" t="n">
        <x:f>10000</x:f>
        <x:v>10000</x:v>
      </x:c>
      <x:c r="J35" s="33" t="inlineStr">
        <x:is>
          <x:t xml:space="preserve">On FakeClient for pilot; on prod after</x:t>
        </x:is>
      </x:c>
    </x:row>
    <x:row r="36">
      <x:c r="B36" s="18" t="inlineStr">
        <x:is>
          <x:t xml:space="preserve">Insurance (cyber + E&amp;O + GL)</x:t>
        </x:is>
      </x:c>
      <x:c r="C36" s="18" t="inlineStr">
        <x:is>
          <x:t xml:space="preserve">annual</x:t>
        </x:is>
      </x:c>
      <x:c r="D36" s="18" t="inlineStr">
        <x:is>
          <x:t xml:space="preserve">$5k/yr</x:t>
        </x:is>
      </x:c>
      <x:c r="E36" s="57" t="n">
        <x:f>5000*0.25</x:f>
        <x:v>1250</x:v>
      </x:c>
      <x:c r="F36" s="57" t="n">
        <x:f>5000*0.25</x:f>
        <x:v>1250</x:v>
      </x:c>
      <x:c r="G36" s="57" t="n">
        <x:v>5000</x:v>
      </x:c>
      <x:c r="H36" s="57" t="n">
        <x:v>5000</x:v>
      </x:c>
      <x:c r="I36" s="57" t="n">
        <x:v>5000</x:v>
      </x:c>
      <x:c r="J36" s="33" t="inlineStr">
        <x:is>
          <x:t xml:space="preserve">Pilot prorated</x:t>
        </x:is>
      </x:c>
    </x:row>
    <x:row r="37">
      <x:c r="B37" s="18" t="inlineStr">
        <x:is>
          <x:t xml:space="preserve">Bookkeeping (Pilot/Bench)</x:t>
        </x:is>
      </x:c>
      <x:c r="C37" s="18" t="inlineStr">
        <x:is>
          <x:t xml:space="preserve">monthly</x:t>
        </x:is>
      </x:c>
      <x:c r="D37" s="18" t="inlineStr">
        <x:is>
          <x:t xml:space="preserve">$450/mo</x:t>
        </x:is>
      </x:c>
      <x:c r="E37" s="57" t="n">
        <x:v>1350</x:v>
      </x:c>
      <x:c r="F37" s="57" t="n">
        <x:v>1350</x:v>
      </x:c>
      <x:c r="G37" s="57" t="n">
        <x:v>5400</x:v>
      </x:c>
      <x:c r="H37" s="57" t="n">
        <x:v>5400</x:v>
      </x:c>
      <x:c r="I37" s="57" t="n">
        <x:v>5400</x:v>
      </x:c>
      <x:c r="J37" s="33" t="inlineStr">
        <x:is>
          <x:t xml:space="preserve"/>
        </x:is>
      </x:c>
    </x:row>
    <x:row r="38">
      <x:c r="B38" s="18" t="inlineStr">
        <x:is>
          <x:t xml:space="preserve">CPA (yr-end + advisory)</x:t>
        </x:is>
      </x:c>
      <x:c r="C38" s="18" t="inlineStr">
        <x:is>
          <x:t xml:space="preserve">annual</x:t>
        </x:is>
      </x:c>
      <x:c r="D38" s="18" t="inlineStr">
        <x:is>
          <x:t xml:space="preserve">$2k/yr</x:t>
        </x:is>
      </x:c>
      <x:c r="E38" s="57" t="n">
        <x:v>500</x:v>
      </x:c>
      <x:c r="F38" s="57" t="n">
        <x:v>500</x:v>
      </x:c>
      <x:c r="G38" s="57" t="n">
        <x:v>2000</x:v>
      </x:c>
      <x:c r="H38" s="57" t="n">
        <x:v>2000</x:v>
      </x:c>
      <x:c r="I38" s="57" t="n">
        <x:v>2000</x:v>
      </x:c>
      <x:c r="J38" s="33" t="inlineStr">
        <x:is>
          <x:t xml:space="preserve">Pilot quarter share</x:t>
        </x:is>
      </x:c>
    </x:row>
    <x:row r="39">
      <x:c r="B39" s="18" t="inlineStr">
        <x:is>
          <x:t xml:space="preserve">Lawyer (initial setup + redlines)</x:t>
        </x:is>
      </x:c>
      <x:c r="C39" s="18" t="inlineStr">
        <x:is>
          <x:t xml:space="preserve">one-time</x:t>
        </x:is>
      </x:c>
      <x:c r="D39" s="18" t="inlineStr">
        <x:is>
          <x:t xml:space="preserve">$8k</x:t>
        </x:is>
      </x:c>
      <x:c r="E39" s="57" t="n">
        <x:v>8000</x:v>
      </x:c>
      <x:c r="F39" s="57" t="n">
        <x:v>8000</x:v>
      </x:c>
      <x:c r="G39" s="57" t="n">
        <x:v>3000</x:v>
      </x:c>
      <x:c r="H39" s="57" t="n">
        <x:v>3000</x:v>
      </x:c>
      <x:c r="I39" s="57" t="n">
        <x:v>3000</x:v>
      </x:c>
      <x:c r="J39" s="33" t="inlineStr">
        <x:is>
          <x:t xml:space="preserve">Bigger yr0; smaller ongoing</x:t>
        </x:is>
      </x:c>
    </x:row>
    <x:row r="40">
      <x:c r="B40" s="18" t="inlineStr">
        <x:is>
          <x:t xml:space="preserve">GitHub Enterprise + Copilot</x:t>
        </x:is>
      </x:c>
      <x:c r="C40" s="18" t="inlineStr">
        <x:is>
          <x:t xml:space="preserve">monthly</x:t>
        </x:is>
      </x:c>
      <x:c r="D40" s="18" t="inlineStr">
        <x:is>
          <x:t xml:space="preserve">$50/user</x:t>
        </x:is>
      </x:c>
      <x:c r="E40" s="57" t="n">
        <x:v>0</x:v>
      </x:c>
      <x:c r="F40" s="57" t="n">
        <x:f>50*3*3</x:f>
        <x:v>450</x:v>
      </x:c>
      <x:c r="G40" s="57" t="n">
        <x:v>0</x:v>
      </x:c>
      <x:c r="H40" s="57" t="n">
        <x:f>50*5*12</x:f>
        <x:v>3000</x:v>
      </x:c>
      <x:c r="I40" s="57" t="n">
        <x:f>50*5*12</x:f>
        <x:v>3000</x:v>
      </x:c>
      <x:c r="J40" s="33" t="inlineStr">
        <x:is>
          <x:t xml:space="preserve">Free via Founders Hub yr1-2</x:t>
        </x:is>
      </x:c>
    </x:row>
    <x:row r="41">
      <x:c r="B41" s="18" t="inlineStr">
        <x:is>
          <x:t xml:space="preserve">Microsoft 365</x:t>
        </x:is>
      </x:c>
      <x:c r="C41" s="18" t="inlineStr">
        <x:is>
          <x:t xml:space="preserve">monthly</x:t>
        </x:is>
      </x:c>
      <x:c r="D41" s="18" t="inlineStr">
        <x:is>
          <x:t xml:space="preserve">$30/user</x:t>
        </x:is>
      </x:c>
      <x:c r="E41" s="57" t="n">
        <x:v>0</x:v>
      </x:c>
      <x:c r="F41" s="57" t="n">
        <x:f>30*3*3</x:f>
        <x:v>270</x:v>
      </x:c>
      <x:c r="G41" s="57" t="n">
        <x:v>0</x:v>
      </x:c>
      <x:c r="H41" s="57" t="n">
        <x:f>30*5*12</x:f>
        <x:v>1800</x:v>
      </x:c>
      <x:c r="I41" s="57" t="n">
        <x:f>30*5*12</x:f>
        <x:v>1800</x:v>
      </x:c>
      <x:c r="J41" s="33" t="inlineStr">
        <x:is>
          <x:t xml:space="preserve">Limited free seats via Founders Hub</x:t>
        </x:is>
      </x:c>
    </x:row>
    <x:row r="42">
      <x:c r="B42" s="18" t="inlineStr">
        <x:is>
          <x:t xml:space="preserve">Founder time included free (15%)</x:t>
        </x:is>
      </x:c>
      <x:c r="C42" s="18" t="inlineStr">
        <x:is>
          <x:t xml:space="preserve">monthly</x:t>
        </x:is>
      </x:c>
      <x:c r="D42" s="18" t="inlineStr">
        <x:is>
          <x:t xml:space="preserve">$375/hr × 12hr</x:t>
        </x:is>
      </x:c>
      <x:c r="E42" s="57" t="n">
        <x:v>13500</x:v>
      </x:c>
      <x:c r="F42" s="57" t="n">
        <x:v>13500</x:v>
      </x:c>
      <x:c r="G42" s="57" t="n">
        <x:v>54000</x:v>
      </x:c>
      <x:c r="H42" s="57" t="n">
        <x:v>54000</x:v>
      </x:c>
      <x:c r="I42" s="57" t="n">
        <x:v>54000</x:v>
      </x:c>
      <x:c r="J42" s="33" t="inlineStr">
        <x:is>
          <x:t xml:space="preserve">Investment; not cash cost but real time</x:t>
        </x:is>
      </x:c>
    </x:row>
    <x:row r="43">
      <x:c r="B43" s="5" t="inlineStr">
        <x:is>
          <x:t xml:space="preserve">TOTAL</x:t>
        </x:is>
      </x:c>
      <x:c r="C43" s="58" t="inlineStr">
        <x:is>
          <x:t xml:space="preserve"/>
        </x:is>
      </x:c>
      <x:c r="D43" s="58" t="inlineStr">
        <x:is>
          <x:t xml:space="preserve"/>
        </x:is>
      </x:c>
      <x:c r="E43" s="59" t="n">
        <x:f>SUM(E18:E42)</x:f>
        <x:v>40295</x:v>
      </x:c>
      <x:c r="F43" s="59" t="n">
        <x:f>SUM(F18:F42)</x:f>
        <x:v>52117</x:v>
      </x:c>
      <x:c r="G43" s="59" t="n">
        <x:f>SUM(G18:G42)</x:f>
        <x:v>109235</x:v>
      </x:c>
      <x:c r="H43" s="59" t="n">
        <x:f>SUM(H18:H42)</x:f>
        <x:v>185315</x:v>
      </x:c>
      <x:c r="I43" s="59" t="n">
        <x:f>SUM(I18:I42)</x:f>
        <x:v>187715</x:v>
      </x:c>
      <x:c r="J43" s="58" t="n"/>
    </x:row>
    <x:row r="45">
      <x:c r="B45" s="5" t="inlineStr">
        <x:is>
          <x:t xml:space="preserve">Bottom Line</x:t>
        </x:is>
      </x:c>
    </x:row>
    <x:row r="46">
      <x:c r="B46" s="6" t="inlineStr">
        <x:is>
          <x:t xml:space="preserve">Pilot cost with all credits applied</x:t>
        </x:is>
      </x:c>
      <x:c r="C46" s="60" t="n">
        <x:f>E43</x:f>
        <x:v>40295</x:v>
      </x:c>
      <x:c r="D46" s="61" t="inlineStr">
        <x:is>
          <x:t xml:space="preserve">What pilot really costs you</x:t>
        </x:is>
      </x:c>
    </x:row>
    <x:row r="47">
      <x:c r="B47" s="6" t="inlineStr">
        <x:is>
          <x:t xml:space="preserve">Pilot cost without any credits</x:t>
        </x:is>
      </x:c>
      <x:c r="C47" s="60" t="n">
        <x:f>F43</x:f>
        <x:v>52117</x:v>
      </x:c>
      <x:c r="D47" s="61" t="inlineStr">
        <x:is>
          <x:t xml:space="preserve">Worst-case if no credits applied</x:t>
        </x:is>
      </x:c>
    </x:row>
    <x:row r="48">
      <x:c r="B48" s="6" t="inlineStr">
        <x:is>
          <x:t xml:space="preserve">Credits saved during pilot</x:t>
        </x:is>
      </x:c>
      <x:c r="C48" s="60" t="n">
        <x:f>F43-E43</x:f>
        <x:v>11822</x:v>
      </x:c>
      <x:c r="D48" s="61" t="inlineStr">
        <x:is>
          <x:t xml:space="preserve">Value of stacked startup programs</x:t>
        </x:is>
      </x:c>
    </x:row>
    <x:row r="50">
      <x:c r="B50" s="6" t="inlineStr">
        <x:is>
          <x:t xml:space="preserve">Year-1 cost with credits</x:t>
        </x:is>
      </x:c>
      <x:c r="C50" s="60" t="n">
        <x:f>G43</x:f>
        <x:v>109235</x:v>
      </x:c>
      <x:c r="D50" s="61" t="inlineStr">
        <x:is>
          <x:t xml:space="preserve">Year-1 spend covered by credits</x:t>
        </x:is>
      </x:c>
    </x:row>
    <x:row r="51">
      <x:c r="B51" s="6" t="inlineStr">
        <x:is>
          <x:t xml:space="preserve">Year-1 cost without credits</x:t>
        </x:is>
      </x:c>
      <x:c r="C51" s="60" t="n">
        <x:f>H43</x:f>
        <x:v>185315</x:v>
      </x:c>
      <x:c r="D51" s="61" t="inlineStr">
        <x:is>
          <x:t xml:space="preserve"/>
        </x:is>
      </x:c>
    </x:row>
    <x:row r="52">
      <x:c r="B52" s="6" t="inlineStr">
        <x:is>
          <x:t xml:space="preserve">Year-1 credits saved</x:t>
        </x:is>
      </x:c>
      <x:c r="C52" s="60" t="n">
        <x:f>H43-G43</x:f>
        <x:v>76080</x:v>
      </x:c>
      <x:c r="D52" s="61" t="inlineStr">
        <x:is>
          <x:t xml:space="preserve">Value extracted from startup programs</x:t>
        </x:is>
      </x:c>
    </x:row>
    <x:row r="54">
      <x:c r="B54" s="6" t="inlineStr">
        <x:is>
          <x:t xml:space="preserve">Year-2 cost (credits expired)</x:t>
        </x:is>
      </x:c>
      <x:c r="C54" s="60" t="n">
        <x:f>I43</x:f>
        <x:v>187715</x:v>
      </x:c>
      <x:c r="D54" s="61" t="inlineStr">
        <x:is>
          <x:t xml:space="preserve">Real run-rate when Founders Hub expires</x:t>
        </x:is>
      </x:c>
    </x:row>
    <x:row r="56">
      <x:c r="B56" s="6" t="inlineStr">
        <x:is>
          <x:t xml:space="preserve">Pilot revenue (from Pricing sheet)</x:t>
        </x:is>
      </x:c>
      <x:c r="C56" s="60" t="n">
        <x:f>Pricing!C6</x:f>
        <x:v>300000</x:v>
      </x:c>
      <x:c r="D56" s="61" t="inlineStr">
        <x:is>
          <x:t xml:space="preserve"/>
        </x:is>
      </x:c>
    </x:row>
    <x:row r="57">
      <x:c r="B57" s="26" t="inlineStr">
        <x:is>
          <x:t xml:space="preserve">Pilot margin with credits</x:t>
        </x:is>
      </x:c>
      <x:c r="C57" s="60" t="n">
        <x:f>Pricing!C6-E43</x:f>
        <x:v>259705</x:v>
      </x:c>
      <x:c r="D57" s="61" t="inlineStr">
        <x:is>
          <x:t xml:space="preserve">Cash retained from pilot fee</x:t>
        </x:is>
      </x:c>
    </x:row>
    <x:row r="58">
      <x:c r="B58" s="26" t="inlineStr">
        <x:is>
          <x:t xml:space="preserve">Pilot margin %</x:t>
        </x:is>
      </x:c>
      <x:c r="C58" s="62" t="n">
        <x:f>(Pricing!C6-E43)/Pricing!C6</x:f>
        <x:v>0.8656833333333334</x:v>
      </x:c>
      <x:c r="D58" s="61" t="inlineStr">
        <x:is>
          <x:t xml:space="preserve"/>
        </x:is>
      </x:c>
    </x:row>
    <x:row r="59">
      <x:c r="B59" s="6" t="inlineStr">
        <x:is>
          <x:t xml:space="preserve">Year-1 ACV</x:t>
        </x:is>
      </x:c>
      <x:c r="C59" s="60" t="n">
        <x:f>Pricing!C29</x:f>
        <x:v>1430004</x:v>
      </x:c>
      <x:c r="D59" s="61" t="inlineStr">
        <x:is>
          <x:t xml:space="preserve"/>
        </x:is>
      </x:c>
    </x:row>
    <x:row r="60">
      <x:c r="B60" s="26" t="inlineStr">
        <x:is>
          <x:t xml:space="preserve">Year-1 margin with credits</x:t>
        </x:is>
      </x:c>
      <x:c r="C60" s="60" t="n">
        <x:f>Pricing!C29-G43</x:f>
        <x:v>1320769</x:v>
      </x:c>
      <x:c r="D60" s="61" t="inlineStr">
        <x:is>
          <x:t xml:space="preserve"/>
        </x:is>
      </x:c>
    </x:row>
    <x:row r="61">
      <x:c r="B61" s="26" t="inlineStr">
        <x:is>
          <x:t xml:space="preserve">Year-1 margin %</x:t>
        </x:is>
      </x:c>
      <x:c r="C61" s="62" t="n">
        <x:f>(Pricing!C29-G43)/Pricing!C29</x:f>
        <x:v>0.9236121017843306</x:v>
      </x:c>
      <x:c r="D61" s="61" t="inlineStr">
        <x:is>
          <x:t xml:space="preserve"/>
        </x:is>
      </x:c>
    </x:row>
  </x:sheetData>
  <x:mergeCells>
    <x:mergeCell ref="D46:J46"/>
    <x:mergeCell ref="D61:J61"/>
    <x:mergeCell ref="D54:J54"/>
    <x:mergeCell ref="D56:J56"/>
    <x:mergeCell ref="D50:J50"/>
    <x:mergeCell ref="D48:J48"/>
    <x:mergeCell ref="B45:J45"/>
    <x:mergeCell ref="D58:J58"/>
    <x:mergeCell ref="D59:J59"/>
    <x:mergeCell ref="D52:J52"/>
    <x:mergeCell ref="D47:J47"/>
    <x:mergeCell ref="D60:J60"/>
    <x:mergeCell ref="D57:J57"/>
    <x:mergeCell ref="B5:E5"/>
    <x:mergeCell ref="D51:J51"/>
    <x:mergeCell ref="B16:J16"/>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0" customWidth="1"/>
    <x:col min="4" max="4" width="30" customWidth="1"/>
    <x:col min="5" max="5" width="20" customWidth="1"/>
    <x:col min="6" max="6" width="20" customWidth="1"/>
  </x:cols>
  <x:sheetData>
    <x:row r="2">
      <x:c r="B2" s="1" t="inlineStr">
        <x:is>
          <x:t xml:space="preserve">Business Case — PHS (Greenfield AI / Modernization Play)</x:t>
        </x:is>
      </x:c>
    </x:row>
    <x:row r="3">
      <x:c r="B3" s="2" t="inlineStr">
        <x:is>
          <x:t xml:space="preserve">CDAO buyer. Azure+Databricks modernization in flight. No AI strategy = the OPPORTUNITY.</x:t>
        </x:is>
      </x:c>
    </x:row>
    <x:row r="5">
      <x:c r="B5" s="5" t="inlineStr">
        <x:is>
          <x:t xml:space="preserve">1. Prospect Snapshot</x:t>
        </x:is>
      </x:c>
    </x:row>
    <x:row r="6">
      <x:c r="B6" s="29" t="inlineStr">
        <x:is>
          <x:t xml:space="preserve">Organization</x:t>
        </x:is>
      </x:c>
      <x:c r="C6" s="18" t="inlineStr">
        <x:is>
          <x:t xml:space="preserve">PHS (Phoenix Health System) — healthcare provider</x:t>
        </x:is>
      </x:c>
      <x:c r="D6" s="64" t="n"/>
      <x:c r="E6" s="64" t="n"/>
      <x:c r="F6" s="35" t="n"/>
    </x:row>
    <x:row r="7">
      <x:c r="B7" s="29" t="inlineStr">
        <x:is>
          <x:t xml:space="preserve">Primary buyer</x:t>
        </x:is>
      </x:c>
      <x:c r="C7" s="18" t="inlineStr">
        <x:is>
          <x:t xml:space="preserve">CDAO</x:t>
        </x:is>
      </x:c>
      <x:c r="D7" s="64" t="n"/>
      <x:c r="E7" s="64" t="n"/>
      <x:c r="F7" s="35" t="n"/>
    </x:row>
    <x:row r="8">
      <x:c r="B8" s="29" t="inlineStr">
        <x:is>
          <x:t xml:space="preserve">Secondary buyer</x:t>
        </x:is>
      </x:c>
      <x:c r="C8" s="18" t="inlineStr">
        <x:is>
          <x:t xml:space="preserve">IT sourcing leader (peer, owns AMS outsourcing wave)</x:t>
        </x:is>
      </x:c>
      <x:c r="D8" s="64" t="n"/>
      <x:c r="E8" s="64" t="n"/>
      <x:c r="F8" s="35" t="n"/>
    </x:row>
    <x:row r="9">
      <x:c r="B9" s="29" t="inlineStr">
        <x:is>
          <x:t xml:space="preserve">Stage of AI maturity</x:t>
        </x:is>
      </x:c>
      <x:c r="C9" s="18" t="inlineStr">
        <x:is>
          <x:t xml:space="preserve">ZERO — no strategy, no plan, no use cases, no roadmap</x:t>
        </x:is>
      </x:c>
      <x:c r="D9" s="64" t="n"/>
      <x:c r="E9" s="64" t="n"/>
      <x:c r="F9" s="35" t="n"/>
    </x:row>
    <x:row r="10">
      <x:c r="B10" s="29" t="inlineStr">
        <x:is>
          <x:t xml:space="preserve">Modernization context</x:t>
        </x:is>
      </x:c>
      <x:c r="C10" s="18" t="inlineStr">
        <x:is>
          <x:t xml:space="preserve">Just outsourced AMS for legacy analytics; Azure + Databricks platform planned</x:t>
        </x:is>
      </x:c>
      <x:c r="D10" s="64" t="n"/>
      <x:c r="E10" s="64" t="n"/>
      <x:c r="F10" s="35" t="n"/>
    </x:row>
    <x:row r="11">
      <x:c r="B11" s="29" t="inlineStr">
        <x:is>
          <x:t xml:space="preserve">Budget posture</x:t>
        </x:is>
      </x:c>
      <x:c r="C11" s="18" t="inlineStr">
        <x:is>
          <x:t xml:space="preserve">Modernization budget already approved and flowing</x:t>
        </x:is>
      </x:c>
      <x:c r="D11" s="64" t="n"/>
      <x:c r="E11" s="64" t="n"/>
      <x:c r="F11" s="35" t="n"/>
    </x:row>
    <x:row r="12">
      <x:c r="B12" s="29" t="inlineStr">
        <x:is>
          <x:t xml:space="preserve">Org pressure</x:t>
        </x:is>
      </x:c>
      <x:c r="C12" s="18" t="inlineStr">
        <x:is>
          <x:t xml:space="preserve">Board asking 'what is our AI strategy?' — CDAO needs an answer fast</x:t>
        </x:is>
      </x:c>
      <x:c r="D12" s="64" t="n"/>
      <x:c r="E12" s="64" t="n"/>
      <x:c r="F12" s="35" t="n"/>
    </x:row>
    <x:row r="14">
      <x:c r="B14" s="5" t="inlineStr">
        <x:is>
          <x:t xml:space="preserve">2. The Reframe — 'No Plan Exists' is the OPPORTUNITY</x:t>
        </x:is>
      </x:c>
    </x:row>
    <x:row r="15">
      <x:c r="B15" s="29" t="inlineStr">
        <x:is>
          <x:t xml:space="preserve">Common reaction</x:t>
        </x:is>
      </x:c>
      <x:c r="C15" s="18" t="inlineStr">
        <x:is>
          <x:t xml:space="preserve">'Long sales cycle, need to educate, no use cases means no urgency.' WRONG.</x:t>
        </x:is>
      </x:c>
      <x:c r="D15" s="64" t="n"/>
      <x:c r="E15" s="64" t="n"/>
      <x:c r="F15" s="35" t="n"/>
    </x:row>
    <x:row r="16">
      <x:c r="B16" s="29" t="inlineStr">
        <x:is>
          <x:t xml:space="preserve">Correct reading</x:t>
        </x:is>
      </x:c>
      <x:c r="C16" s="18" t="inlineStr">
        <x:is>
          <x:t xml:space="preserve">Greenfield + budget flowing + board pressure = IDEAL fit. They need a fast credible AI path.</x:t>
        </x:is>
      </x:c>
      <x:c r="D16" s="64" t="n"/>
      <x:c r="E16" s="64" t="n"/>
      <x:c r="F16" s="35" t="n"/>
    </x:row>
    <x:row r="17">
      <x:c r="B17" s="29" t="inlineStr">
        <x:is>
          <x:t xml:space="preserve">AbarVa's role</x:t>
        </x:is>
      </x:c>
      <x:c r="C17" s="18" t="inlineStr">
        <x:is>
          <x:t xml:space="preserve">Not a tool — the OPERATING SYSTEM for their AI strategy. We bring the use case catalog (24 waves of industry genome), the execution framework, the roadmap.</x:t>
        </x:is>
      </x:c>
      <x:c r="D17" s="64" t="n"/>
      <x:c r="E17" s="64" t="n"/>
      <x:c r="F17" s="35" t="n"/>
    </x:row>
    <x:row r="18">
      <x:c r="B18" s="29" t="inlineStr">
        <x:is>
          <x:t xml:space="preserve">By month 3</x:t>
        </x:is>
      </x:c>
      <x:c r="C18" s="18" t="inlineStr">
        <x:is>
          <x:t xml:space="preserve">CDAO walks into board with: documented AI strategy + 12-month roadmap + 3 Moves in flight + identified value pipeline.</x:t>
        </x:is>
      </x:c>
      <x:c r="D18" s="64" t="n"/>
      <x:c r="E18" s="64" t="n"/>
      <x:c r="F18" s="35" t="n"/>
    </x:row>
    <x:row r="19">
      <x:c r="B19" s="29" t="inlineStr">
        <x:is>
          <x:t xml:space="preserve">Azure+Databricks fit</x:t>
        </x:is>
      </x:c>
      <x:c r="C19" s="18" t="inlineStr">
        <x:is>
          <x:t xml:space="preserve">Their platform investment is your enabler. AbarVa is the workflow layer that turns the platform into delivered programs. Don't compete for budget — be the layer that makes their other investment deliver.</x:t>
        </x:is>
      </x:c>
      <x:c r="D19" s="64" t="n"/>
      <x:c r="E19" s="64" t="n"/>
      <x:c r="F19" s="35" t="n"/>
    </x:row>
    <x:row r="21">
      <x:c r="B21" s="5" t="inlineStr">
        <x:is>
          <x:t xml:space="preserve">3. The Pitch (sequenced)</x:t>
        </x:is>
      </x:c>
    </x:row>
    <x:row r="22">
      <x:c r="B22" s="8" t="inlineStr">
        <x:is>
          <x:t xml:space="preserve">Step</x:t>
        </x:is>
      </x:c>
      <x:c r="C22" s="8" t="inlineStr">
        <x:is>
          <x:t xml:space="preserve">What you say</x:t>
        </x:is>
      </x:c>
      <x:c r="D22" s="8" t="inlineStr">
        <x:is>
          <x:t xml:space="preserve">Why</x:t>
        </x:is>
      </x:c>
    </x:row>
    <x:row r="23">
      <x:c r="B23" s="18" t="inlineStr">
        <x:is>
          <x:t xml:space="preserve">Open</x:t>
        </x:is>
      </x:c>
      <x:c r="C23" s="18" t="inlineStr">
        <x:is>
          <x:t xml:space="preserve">'Your Azure+Databricks platform will be amazing. The question is what programs run on it. Most systems take 12-18 months to land their first 3 AI programs because they build strategy from scratch. We have a faster path.'</x:t>
        </x:is>
      </x:c>
      <x:c r="D23" s="18" t="inlineStr">
        <x:is>
          <x:t xml:space="preserve">Reframes product → outcome</x:t>
        </x:is>
      </x:c>
    </x:row>
    <x:row r="24">
      <x:c r="B24" s="18" t="inlineStr">
        <x:is>
          <x:t xml:space="preserve">Anchor</x:t>
        </x:is>
      </x:c>
      <x:c r="C24" s="18" t="inlineStr">
        <x:is>
          <x:t xml:space="preserve">'AbarVa is the operating system for AI program execution. We bring the use case catalog from 24 waves of healthcare patterns, an execution framework (Moves), sourcing intelligence (Source), executive visibility (Tower).'</x:t>
        </x:is>
      </x:c>
      <x:c r="D24" s="18" t="inlineStr">
        <x:is>
          <x:t xml:space="preserve">Strategy-and-platform-in-one</x:t>
        </x:is>
      </x:c>
    </x:row>
    <x:row r="25">
      <x:c r="B25" s="18" t="inlineStr">
        <x:is>
          <x:t xml:space="preserve">Differentiate</x:t>
        </x:is>
      </x:c>
      <x:c r="C25" s="18" t="inlineStr">
        <x:is>
          <x:t xml:space="preserve">'Not a consulting engagement that produces a deck. Not a tool waiting for you to figure out what to do. We're the layer that turns your Azure+Databricks investment into 3 executed programs in 90 days.'</x:t>
        </x:is>
      </x:c>
      <x:c r="D25" s="18" t="inlineStr">
        <x:is>
          <x:t xml:space="preserve">Kills consulting + tool frames</x:t>
        </x:is>
      </x:c>
    </x:row>
    <x:row r="26">
      <x:c r="B26" s="18" t="inlineStr">
        <x:is>
          <x:t xml:space="preserve">Close</x:t>
        </x:is>
      </x:c>
      <x:c r="C26" s="18" t="inlineStr">
        <x:is>
          <x:t xml:space="preserve">'90-day pilot, $300k, fixed scope, auto-converts on documented success criteria. &lt;1.5% of your annual function budget. Board gets proof, not promises.'</x:t>
        </x:is>
      </x:c>
      <x:c r="D26" s="18" t="inlineStr">
        <x:is>
          <x:t xml:space="preserve">Risk-bounded + outcome-anchored</x:t>
        </x:is>
      </x:c>
    </x:row>
    <x:row r="28">
      <x:c r="B28" s="5" t="inlineStr">
        <x:is>
          <x:t xml:space="preserve">4. PHS-Specific Value Levers</x:t>
        </x:is>
      </x:c>
    </x:row>
    <x:row r="29">
      <x:c r="B29" s="8" t="inlineStr">
        <x:is>
          <x:t xml:space="preserve">Lever</x:t>
        </x:is>
      </x:c>
      <x:c r="C29" s="8" t="inlineStr">
        <x:is>
          <x:t xml:space="preserve">Order-of-magnitude (PHS-scale)</x:t>
        </x:is>
      </x:c>
      <x:c r="D29" s="8" t="inlineStr">
        <x:is>
          <x:t xml:space="preserve">AbarVa enables how</x:t>
        </x:is>
      </x:c>
    </x:row>
    <x:row r="30">
      <x:c r="B30" s="18" t="inlineStr">
        <x:is>
          <x:t xml:space="preserve">Denials reduction</x:t>
        </x:is>
      </x:c>
      <x:c r="C30" s="18" t="inlineStr">
        <x:is>
          <x:t xml:space="preserve">1% on ~$4B revenue = $40M annually</x:t>
        </x:is>
      </x:c>
      <x:c r="D30" s="18" t="inlineStr">
        <x:is>
          <x:t xml:space="preserve">Pattern discovery on denial drivers; Move execution on appeals workflow</x:t>
        </x:is>
      </x:c>
    </x:row>
    <x:row r="31">
      <x:c r="B31" s="18" t="inlineStr">
        <x:is>
          <x:t xml:space="preserve">Length of stay</x:t>
        </x:is>
      </x:c>
      <x:c r="C31" s="18" t="inlineStr">
        <x:is>
          <x:t xml:space="preserve">0.1 day on ~50k discharges = ~$5-8M</x:t>
        </x:is>
      </x:c>
      <x:c r="D31" s="18" t="inlineStr">
        <x:is>
          <x:t xml:space="preserve">Pattern detection on LOS drivers by service line; Moves on discharge planning</x:t>
        </x:is>
      </x:c>
    </x:row>
    <x:row r="32">
      <x:c r="B32" s="18" t="inlineStr">
        <x:is>
          <x:t xml:space="preserve">Supply chain consolidation</x:t>
        </x:is>
      </x:c>
      <x:c r="C32" s="18" t="inlineStr">
        <x:is>
          <x:t xml:space="preserve">5% on supply spend (~$200M) = $10M</x:t>
        </x:is>
      </x:c>
      <x:c r="D32" s="18" t="inlineStr">
        <x:is>
          <x:t xml:space="preserve">Source module direct value; vendor pattern intelligence</x:t>
        </x:is>
      </x:c>
    </x:row>
    <x:row r="33">
      <x:c r="B33" s="18" t="inlineStr">
        <x:is>
          <x:t xml:space="preserve">Workforce / agency labor</x:t>
        </x:is>
      </x:c>
      <x:c r="C33" s="18" t="inlineStr">
        <x:is>
          <x:t xml:space="preserve">2% of agency spend (~$50M) = $1M</x:t>
        </x:is>
      </x:c>
      <x:c r="D33" s="18" t="inlineStr">
        <x:is>
          <x:t xml:space="preserve">Workforce pattern discovery + scheduling Moves</x:t>
        </x:is>
      </x:c>
    </x:row>
    <x:row r="34">
      <x:c r="B34" s="18" t="inlineStr">
        <x:is>
          <x:t xml:space="preserve">Prior auth turnaround</x:t>
        </x:is>
      </x:c>
      <x:c r="C34" s="18" t="inlineStr">
        <x:is>
          <x:t xml:space="preserve">2-day reduction + volume optimization</x:t>
        </x:is>
      </x:c>
      <x:c r="D34" s="18" t="inlineStr">
        <x:is>
          <x:t xml:space="preserve">Intelligence + agent draft + human approval</x:t>
        </x:is>
      </x:c>
    </x:row>
    <x:row r="35">
      <x:c r="B35" s="18" t="inlineStr">
        <x:is>
          <x:t xml:space="preserve">Care coordination</x:t>
        </x:is>
      </x:c>
      <x:c r="C35" s="18" t="inlineStr">
        <x:is>
          <x:t xml:space="preserve">Quality outcome + readmission cost reduction</x:t>
        </x:is>
      </x:c>
      <x:c r="D35" s="18" t="inlineStr">
        <x:is>
          <x:t xml:space="preserve">Pattern → Move on handoff failure modes</x:t>
        </x:is>
      </x:c>
    </x:row>
    <x:row r="37">
      <x:c r="B37" s="5" t="inlineStr">
        <x:is>
          <x:t xml:space="preserve">5. The IT Sourcing Wedge (secondary buyer)</x:t>
        </x:is>
      </x:c>
    </x:row>
    <x:row r="38">
      <x:c r="B38" s="29" t="inlineStr">
        <x:is>
          <x:t xml:space="preserve">Their colleague's pain</x:t>
        </x:is>
      </x:c>
      <x:c r="C38" s="18" t="inlineStr">
        <x:is>
          <x:t xml:space="preserve">Outsourcing wave in progress — needs vendor intelligence, contract analysis, sourcing decision support</x:t>
        </x:is>
      </x:c>
      <x:c r="D38" s="64" t="n"/>
      <x:c r="E38" s="64" t="n"/>
      <x:c r="F38" s="35" t="n"/>
    </x:row>
    <x:row r="39">
      <x:c r="B39" s="29" t="inlineStr">
        <x:is>
          <x:t xml:space="preserve">AbarVa Source module value</x:t>
        </x:is>
      </x:c>
      <x:c r="C39" s="18" t="inlineStr">
        <x:is>
          <x:t xml:space="preserve">Vendor-pattern analysis, RFP support, contract performance tracking — directly addresses what colleague needs TODAY</x:t>
        </x:is>
      </x:c>
      <x:c r="D39" s="64" t="n"/>
      <x:c r="E39" s="64" t="n"/>
      <x:c r="F39" s="35" t="n"/>
    </x:row>
    <x:row r="40">
      <x:c r="B40" s="29" t="inlineStr">
        <x:is>
          <x:t xml:space="preserve">Play</x:t>
        </x:is>
      </x:c>
      <x:c r="C40" s="18" t="inlineStr">
        <x:is>
          <x:t xml:space="preserve">Bundle Source as pilot add-on ($35-50k/mo separate line). Both buyers share CFO. Combined budget easier than separate buys.</x:t>
        </x:is>
      </x:c>
      <x:c r="D40" s="64" t="n"/>
      <x:c r="E40" s="64" t="n"/>
      <x:c r="F40" s="35" t="n"/>
    </x:row>
    <x:row r="41">
      <x:c r="B41" s="29" t="inlineStr">
        <x:is>
          <x:t xml:space="preserve">Narrative</x:t>
        </x:is>
      </x:c>
      <x:c r="C41" s="18" t="inlineStr">
        <x:is>
          <x:t xml:space="preserve">'AbarVa core lands your AI strategy. AbarVa Source addresses your IT sourcing wave. One platform, two leaders, one CFO conversation.'</x:t>
        </x:is>
      </x:c>
      <x:c r="D41" s="64" t="n"/>
      <x:c r="E41" s="64" t="n"/>
      <x:c r="F41" s="35" t="n"/>
    </x:row>
    <x:row r="43">
      <x:c r="B43" s="5" t="inlineStr">
        <x:is>
          <x:t xml:space="preserve">6. Pilot Success Criteria (PHS-specific)</x:t>
        </x:is>
      </x:c>
    </x:row>
    <x:row r="44">
      <x:c r="B44" s="8" t="inlineStr">
        <x:is>
          <x:t xml:space="preserve">Criterion</x:t>
        </x:is>
      </x:c>
      <x:c r="C44" s="8" t="inlineStr">
        <x:is>
          <x:t xml:space="preserve">Target</x:t>
        </x:is>
      </x:c>
      <x:c r="D44" s="8" t="inlineStr">
        <x:is>
          <x:t xml:space="preserve">Why</x:t>
        </x:is>
      </x:c>
    </x:row>
    <x:row r="45">
      <x:c r="B45" s="18" t="inlineStr">
        <x:is>
          <x:t xml:space="preserve">Moves at execution stage</x:t>
        </x:is>
      </x:c>
      <x:c r="C45" s="18" t="inlineStr">
        <x:is>
          <x:t xml:space="preserve">3 Moves at execution by day 60</x:t>
        </x:is>
      </x:c>
      <x:c r="D45" s="18" t="inlineStr">
        <x:is>
          <x:t xml:space="preserve">End-to-end demonstration</x:t>
        </x:is>
      </x:c>
    </x:row>
    <x:row r="46">
      <x:c r="B46" s="18" t="inlineStr">
        <x:is>
          <x:t xml:space="preserve">Identified value pipeline</x:t>
        </x:is>
      </x:c>
      <x:c r="C46" s="18" t="inlineStr">
        <x:is>
          <x:t xml:space="preserve">$10M+ across 2-3 healthcare levers</x:t>
        </x:is>
      </x:c>
      <x:c r="D46" s="18" t="inlineStr">
        <x:is>
          <x:t xml:space="preserve">Justifies year-1 to CFO</x:t>
        </x:is>
      </x:c>
    </x:row>
    <x:row r="47">
      <x:c r="B47" s="18" t="inlineStr">
        <x:is>
          <x:t xml:space="preserve">AI strategy artifact</x:t>
        </x:is>
      </x:c>
      <x:c r="C47" s="18" t="inlineStr">
        <x:is>
          <x:t xml:space="preserve">1 documented AI strategy + 12-month roadmap (board-ready)</x:t>
        </x:is>
      </x:c>
      <x:c r="D47" s="18" t="inlineStr">
        <x:is>
          <x:t xml:space="preserve">Solves CDAO's #1 problem</x:t>
        </x:is>
      </x:c>
    </x:row>
    <x:row r="48">
      <x:c r="B48" s="18" t="inlineStr">
        <x:is>
          <x:t xml:space="preserve">Active named users</x:t>
        </x:is>
      </x:c>
      <x:c r="C48" s="18" t="inlineStr">
        <x:is>
          <x:t xml:space="preserve">8 of 10 weekly active</x:t>
        </x:is>
      </x:c>
      <x:c r="D48" s="18" t="inlineStr">
        <x:is>
          <x:t xml:space="preserve">Adoption proof</x:t>
        </x:is>
      </x:c>
    </x:row>
    <x:row r="49">
      <x:c r="B49" s="18" t="inlineStr">
        <x:is>
          <x:t xml:space="preserve">Source pilot deliverable</x:t>
        </x:is>
      </x:c>
      <x:c r="C49" s="18" t="inlineStr">
        <x:is>
          <x:t xml:space="preserve">1 sourcing decision supported via AbarVa Source</x:t>
        </x:is>
      </x:c>
      <x:c r="D49" s="18" t="inlineStr">
        <x:is>
          <x:t xml:space="preserve">Validates wedge for sourcing colleague</x:t>
        </x:is>
      </x:c>
    </x:row>
    <x:row r="50">
      <x:c r="B50" s="18" t="inlineStr">
        <x:is>
          <x:t xml:space="preserve">Decision audit completeness</x:t>
        </x:is>
      </x:c>
      <x:c r="C50" s="18" t="inlineStr">
        <x:is>
          <x:t xml:space="preserve">100% consequential actions evidenced</x:t>
        </x:is>
      </x:c>
      <x:c r="D50" s="18" t="inlineStr">
        <x:is>
          <x:t xml:space="preserve">AI Liability + audit</x:t>
        </x:is>
      </x:c>
    </x:row>
    <x:row r="51">
      <x:c r="B51" s="18" t="inlineStr">
        <x:is>
          <x:t xml:space="preserve">Board pack</x:t>
        </x:is>
      </x:c>
      <x:c r="C51" s="18" t="inlineStr">
        <x:is>
          <x:t xml:space="preserve">Q1 board presentation supported by AbarVa-generated artifacts</x:t>
        </x:is>
      </x:c>
      <x:c r="D51" s="18" t="inlineStr">
        <x:is>
          <x:t xml:space="preserve">Career win for CDAO</x:t>
        </x:is>
      </x:c>
    </x:row>
    <x:row r="52">
      <x:c r="B52" s="18" t="inlineStr">
        <x:is>
          <x:t xml:space="preserve">NPS from pilot users</x:t>
        </x:is>
      </x:c>
      <x:c r="C52" s="18" t="inlineStr">
        <x:is>
          <x:t xml:space="preserve">≥ 40</x:t>
        </x:is>
      </x:c>
      <x:c r="D52" s="18" t="inlineStr">
        <x:is>
          <x:t xml:space="preserve">Renewal predictor</x:t>
        </x:is>
      </x:c>
    </x:row>
  </x:sheetData>
  <x:mergeCells>
    <x:mergeCell ref="C17:F17"/>
    <x:mergeCell ref="C39:F39"/>
    <x:mergeCell ref="C8:F8"/>
    <x:mergeCell ref="C7:F7"/>
    <x:mergeCell ref="C38:F38"/>
    <x:mergeCell ref="C19:F19"/>
    <x:mergeCell ref="B21:F21"/>
    <x:mergeCell ref="C18:F18"/>
    <x:mergeCell ref="B43:F43"/>
    <x:mergeCell ref="C6:F6"/>
    <x:mergeCell ref="C15:F15"/>
    <x:mergeCell ref="B14:F14"/>
    <x:mergeCell ref="B28:F28"/>
    <x:mergeCell ref="B37:F37"/>
    <x:mergeCell ref="C16:F16"/>
    <x:mergeCell ref="C41:F41"/>
    <x:mergeCell ref="C10:F10"/>
    <x:mergeCell ref="C40:F40"/>
    <x:mergeCell ref="C9:F9"/>
    <x:mergeCell ref="C12:F12"/>
    <x:mergeCell ref="B5:F5"/>
    <x:mergeCell ref="C11:F1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Surekha @ Morgan Street Holdings (NEW LEADER PLAY)</x:t>
        </x:is>
      </x:c>
    </x:row>
    <x:row r="3">
      <x:c r="B3" s="2" t="inlineStr">
        <x:is>
          <x:t xml:space="preserve">VP/CXO walking into a new place — IT delivery + data + innovation. STRONGEST archetype for AbarVa: blank slate, mandate to set direction, first-100-days pressure.</x:t>
        </x:is>
      </x:c>
    </x:row>
    <x:row r="5">
      <x:c r="B5" s="5" t="inlineStr">
        <x:is>
          <x:t xml:space="preserve">1. Why this is the STRONGEST archetype for AbarVa</x:t>
        </x:is>
      </x:c>
    </x:row>
    <x:row r="6">
      <x:c r="B6" s="29" t="inlineStr">
        <x:is>
          <x:t xml:space="preserve">Blank slate</x:t>
        </x:is>
      </x:c>
      <x:c r="C6" s="18" t="inlineStr">
        <x:is>
          <x:t xml:space="preserve">No incumbent vendors to displace. No political baggage from prior decisions.</x:t>
        </x:is>
      </x:c>
      <x:c r="D6" s="64" t="n"/>
      <x:c r="E6" s="64" t="n"/>
      <x:c r="F6" s="35" t="n"/>
    </x:row>
    <x:row r="7">
      <x:c r="B7" s="29" t="inlineStr">
        <x:is>
          <x:t xml:space="preserve">First-100-days mandate</x:t>
        </x:is>
      </x:c>
      <x:c r="C7" s="18" t="inlineStr">
        <x:is>
          <x:t xml:space="preserve">She NEEDS to show direction fast. Time-pressure is your friend.</x:t>
        </x:is>
      </x:c>
      <x:c r="D7" s="64" t="n"/>
      <x:c r="E7" s="64" t="n"/>
      <x:c r="F7" s="35" t="n"/>
    </x:row>
    <x:row r="8">
      <x:c r="B8" s="29" t="inlineStr">
        <x:is>
          <x:t xml:space="preserve">Built-in budget</x:t>
        </x:is>
      </x:c>
      <x:c r="C8" s="18" t="inlineStr">
        <x:is>
          <x:t xml:space="preserve">Every new CXO gets a 'set up your function' budget allocation. Spending is expected.</x:t>
        </x:is>
      </x:c>
      <x:c r="D8" s="64" t="n"/>
      <x:c r="E8" s="64" t="n"/>
      <x:c r="F8" s="35" t="n"/>
    </x:row>
    <x:row r="9">
      <x:c r="B9" s="29" t="inlineStr">
        <x:is>
          <x:t xml:space="preserve">Lower procurement scrutiny</x:t>
        </x:is>
      </x:c>
      <x:c r="C9" s="18" t="inlineStr">
        <x:is>
          <x:t xml:space="preserve">Early decisions framed as 'establishing operating model,' not RFP fatigue.</x:t>
        </x:is>
      </x:c>
      <x:c r="D9" s="64" t="n"/>
      <x:c r="E9" s="64" t="n"/>
      <x:c r="F9" s="35" t="n"/>
    </x:row>
    <x:row r="10">
      <x:c r="B10" s="29" t="inlineStr">
        <x:is>
          <x:t xml:space="preserve">She IS the decision authority</x:t>
        </x:is>
      </x:c>
      <x:c r="C10" s="18" t="inlineStr">
        <x:is>
          <x:t xml:space="preserve">On her function's tooling. Fast decision cycle.</x:t>
        </x:is>
      </x:c>
      <x:c r="D10" s="64" t="n"/>
      <x:c r="E10" s="64" t="n"/>
      <x:c r="F10" s="35" t="n"/>
    </x:row>
    <x:row r="11">
      <x:c r="B11" s="29" t="inlineStr">
        <x:is>
          <x:t xml:space="preserve">Maximum political incentive</x:t>
        </x:is>
      </x:c>
      <x:c r="C11" s="18" t="inlineStr">
        <x:is>
          <x:t xml:space="preserve">Her wins now define her tenure. She's optimizing for visible early outcomes.</x:t>
        </x:is>
      </x:c>
      <x:c r="D11" s="64" t="n"/>
      <x:c r="E11" s="64" t="n"/>
      <x:c r="F11" s="35" t="n"/>
    </x:row>
    <x:row r="12">
      <x:c r="B12" s="29" t="inlineStr">
        <x:is>
          <x:t xml:space="preserve">Compares against transformation budget</x:t>
        </x:is>
      </x:c>
      <x:c r="C12" s="18" t="inlineStr">
        <x:is>
          <x:t xml:space="preserve">$5-20M total function spend, not a software line item. Price sensitivity is different.</x:t>
        </x:is>
      </x:c>
      <x:c r="D12" s="64" t="n"/>
      <x:c r="E12" s="64" t="n"/>
      <x:c r="F12" s="35" t="n"/>
    </x:row>
    <x:row r="14">
      <x:c r="B14" s="5" t="inlineStr">
        <x:is>
          <x:t xml:space="preserve">2. The Pitch — 'How to be a successful new leader' (not a tool pitch)</x:t>
        </x:is>
      </x:c>
    </x:row>
    <x:row r="15">
      <x:c r="B15" s="29" t="inlineStr">
        <x:is>
          <x:t xml:space="preserve">Frame</x:t>
        </x:is>
      </x:c>
      <x:c r="C15" s="18" t="inlineStr">
        <x:is>
          <x:t xml:space="preserve">First 100 days. Foundation. Walking in with a plan.</x:t>
        </x:is>
      </x:c>
      <x:c r="D15" s="64" t="n"/>
      <x:c r="E15" s="64" t="n"/>
      <x:c r="F15" s="35" t="n"/>
    </x:row>
    <x:row r="16">
      <x:c r="B16" s="29" t="inlineStr">
        <x:is>
          <x:t xml:space="preserve">Opening</x:t>
        </x:is>
      </x:c>
      <x:c r="C16" s="18" t="inlineStr">
        <x:is>
          <x:t xml:space="preserve">'You have three pressures: define an AI strategy your CEO/board can rally behind, show early wins that justify your hire, set up an operating model that scales.'</x:t>
        </x:is>
      </x:c>
      <x:c r="D16" s="64" t="n"/>
      <x:c r="E16" s="64" t="n"/>
      <x:c r="F16" s="35" t="n"/>
    </x:row>
    <x:row r="17">
      <x:c r="B17" s="29" t="inlineStr">
        <x:is>
          <x:t xml:space="preserve">Reframe</x:t>
        </x:is>
      </x:c>
      <x:c r="C17" s="18" t="inlineStr">
        <x:is>
          <x:t xml:space="preserve">'Most leaders in your shoes spend 6 months on strategy + workshops + roadmap building. AbarVa lets you skip that.'</x:t>
        </x:is>
      </x:c>
      <x:c r="D17" s="64" t="n"/>
      <x:c r="E17" s="64" t="n"/>
      <x:c r="F17" s="35" t="n"/>
    </x:row>
    <x:row r="18">
      <x:c r="B18" s="29" t="inlineStr">
        <x:is>
          <x:t xml:space="preserve">Anchor</x:t>
        </x:is>
      </x:c>
      <x:c r="C18" s="18" t="inlineStr">
        <x:is>
          <x:t xml:space="preserve">'In 90 days you walk into your CEO with: a documented AI strategy, a prioritized 12-month roadmap pulled from 24 industry waves, 3 Moves in flight with measured outcomes, and an audit-grade decision trail. Your first quarterly board update writes itself.'</x:t>
        </x:is>
      </x:c>
      <x:c r="D18" s="64" t="n"/>
      <x:c r="E18" s="64" t="n"/>
      <x:c r="F18" s="35" t="n"/>
    </x:row>
    <x:row r="19">
      <x:c r="B19" s="29" t="inlineStr">
        <x:is>
          <x:t xml:space="preserve">Close</x:t>
        </x:is>
      </x:c>
      <x:c r="C19" s="18" t="inlineStr">
        <x:is>
          <x:t xml:space="preserve">'$300k pilot is less than the salary of 2-3 staff you'd hire to build this framework manually. Year-1 is your operating model — not a project budget line.'</x:t>
        </x:is>
      </x:c>
      <x:c r="D19" s="64" t="n"/>
      <x:c r="E19" s="64" t="n"/>
      <x:c r="F19" s="35" t="n"/>
    </x:row>
    <x:row r="21">
      <x:c r="B21" s="5" t="inlineStr">
        <x:is>
          <x:t xml:space="preserve">3. Why she pays $300k + $950k (different math than CDAO buyers)</x:t>
        </x:is>
      </x:c>
    </x:row>
    <x:row r="22">
      <x:c r="B22" s="8" t="inlineStr">
        <x:is>
          <x:t xml:space="preserve">Concept</x:t>
        </x:is>
      </x:c>
      <x:c r="C22" s="8" t="inlineStr">
        <x:is>
          <x:t xml:space="preserve">Reframe for new leader</x:t>
        </x:is>
      </x:c>
    </x:row>
    <x:row r="23">
      <x:c r="B23" s="18" t="inlineStr">
        <x:is>
          <x:t xml:space="preserve">Pilot fee = $300k</x:t>
        </x:is>
      </x:c>
      <x:c r="C23" s="18" t="inlineStr">
        <x:is>
          <x:t xml:space="preserve">Insurance against first-year underperformance. Career investment, not budget line.</x:t>
        </x:is>
      </x:c>
    </x:row>
    <x:row r="24">
      <x:c r="B24" s="18" t="inlineStr">
        <x:is>
          <x:t xml:space="preserve">Year-1 ACV = $950k</x:t>
        </x:is>
      </x:c>
      <x:c r="C24" s="18" t="inlineStr">
        <x:is>
          <x:t xml:space="preserve">The operating model for her function. NOT a project. NOT a software purchase.</x:t>
        </x:is>
      </x:c>
    </x:row>
    <x:row r="25">
      <x:c r="B25" s="18" t="inlineStr">
        <x:is>
          <x:t xml:space="preserve">$1.25M over 15mo</x:t>
        </x:is>
      </x:c>
      <x:c r="C25" s="18" t="inlineStr">
        <x:is>
          <x:t xml:space="preserve">Less than salary of 2-3 senior hires she'd otherwise need to build this manually.</x:t>
        </x:is>
      </x:c>
    </x:row>
    <x:row r="26">
      <x:c r="B26" s="18" t="inlineStr">
        <x:is>
          <x:t xml:space="preserve">Comparison baseline</x:t>
        </x:is>
      </x:c>
      <x:c r="C26" s="18" t="inlineStr">
        <x:is>
          <x:t xml:space="preserve">Her TOTAL function transformation budget ($5-20M typical). $1.25M = 6-25% of that.</x:t>
        </x:is>
      </x:c>
    </x:row>
    <x:row r="27">
      <x:c r="B27" s="18" t="inlineStr">
        <x:is>
          <x:t xml:space="preserve">Risk frame</x:t>
        </x:is>
      </x:c>
      <x:c r="C27" s="18" t="inlineStr">
        <x:is>
          <x:t xml:space="preserve">Highest career risk = under-delivering year 1. AbarVa is risk mitigation, not risk addition.</x:t>
        </x:is>
      </x:c>
    </x:row>
    <x:row r="29">
      <x:c r="B29" s="5" t="inlineStr">
        <x:is>
          <x:t xml:space="preserve">4. Surekha-specific Success Criteria (tied to HER win)</x:t>
        </x:is>
      </x:c>
    </x:row>
    <x:row r="30">
      <x:c r="B30" s="8" t="inlineStr">
        <x:is>
          <x:t xml:space="preserve">Criterion</x:t>
        </x:is>
      </x:c>
      <x:c r="C30" s="8" t="inlineStr">
        <x:is>
          <x:t xml:space="preserve">Target</x:t>
        </x:is>
      </x:c>
      <x:c r="D30" s="8" t="inlineStr">
        <x:is>
          <x:t xml:space="preserve">Why</x:t>
        </x:is>
      </x:c>
    </x:row>
    <x:row r="31">
      <x:c r="B31" s="18" t="inlineStr">
        <x:is>
          <x:t xml:space="preserve">100-day plan documented</x:t>
        </x:is>
      </x:c>
      <x:c r="C31" s="18" t="inlineStr">
        <x:is>
          <x:t xml:space="preserve">Day 30</x:t>
        </x:is>
      </x:c>
      <x:c r="D31" s="18" t="inlineStr">
        <x:is>
          <x:t xml:space="preserve">Proves she's moving fast; AbarVa enabled it</x:t>
        </x:is>
      </x:c>
    </x:row>
    <x:row r="32">
      <x:c r="B32" s="18" t="inlineStr">
        <x:is>
          <x:t xml:space="preserve">3 Moves at execution stage</x:t>
        </x:is>
      </x:c>
      <x:c r="C32" s="18" t="inlineStr">
        <x:is>
          <x:t xml:space="preserve">Day 60</x:t>
        </x:is>
      </x:c>
      <x:c r="D32" s="18" t="inlineStr">
        <x:is>
          <x:t xml:space="preserve">Visible early wins for her CEO</x:t>
        </x:is>
      </x:c>
    </x:row>
    <x:row r="33">
      <x:c r="B33" s="18" t="inlineStr">
        <x:is>
          <x:t xml:space="preserve">AI strategy artifact + roadmap</x:t>
        </x:is>
      </x:c>
      <x:c r="C33" s="18" t="inlineStr">
        <x:is>
          <x:t xml:space="preserve">Day 90 — board-ready</x:t>
        </x:is>
      </x:c>
      <x:c r="D33" s="18" t="inlineStr">
        <x:is>
          <x:t xml:space="preserve">Her first quarterly board update</x:t>
        </x:is>
      </x:c>
    </x:row>
    <x:row r="34">
      <x:c r="B34" s="18" t="inlineStr">
        <x:is>
          <x:t xml:space="preserve">Identified value pipeline</x:t>
        </x:is>
      </x:c>
      <x:c r="C34" s="18" t="inlineStr">
        <x:is>
          <x:t xml:space="preserve">$5-10M (or equiv: efficiency, capability, time-to-market)</x:t>
        </x:is>
      </x:c>
      <x:c r="D34" s="18" t="inlineStr">
        <x:is>
          <x:t xml:space="preserve">Justifies year-1 to CFO</x:t>
        </x:is>
      </x:c>
    </x:row>
    <x:row r="35">
      <x:c r="B35" s="18" t="inlineStr">
        <x:is>
          <x:t xml:space="preserve">Operating model documented</x:t>
        </x:is>
      </x:c>
      <x:c r="C35" s="18" t="inlineStr">
        <x:is>
          <x:t xml:space="preserve">Day 90</x:t>
        </x:is>
      </x:c>
      <x:c r="D35" s="18" t="inlineStr">
        <x:is>
          <x:t xml:space="preserve">Defines how her function works going forward</x:t>
        </x:is>
      </x:c>
    </x:row>
    <x:row r="36">
      <x:c r="B36" s="18" t="inlineStr">
        <x:is>
          <x:t xml:space="preserve">External case study</x:t>
        </x:is>
      </x:c>
      <x:c r="C36" s="18" t="inlineStr">
        <x:is>
          <x:t xml:space="preserve">1 published by month 6</x:t>
        </x:is>
      </x:c>
      <x:c r="D36" s="18" t="inlineStr">
        <x:is>
          <x:t xml:space="preserve">Her personal brand investment</x:t>
        </x:is>
      </x:c>
    </x:row>
    <x:row r="37">
      <x:c r="B37" s="18" t="inlineStr">
        <x:is>
          <x:t xml:space="preserve">Active named users</x:t>
        </x:is>
      </x:c>
      <x:c r="C37" s="18" t="inlineStr">
        <x:is>
          <x:t xml:space="preserve">8 of 10 weekly</x:t>
        </x:is>
      </x:c>
      <x:c r="D37" s="18" t="inlineStr">
        <x:is>
          <x:t xml:space="preserve">Adoption = adoption = adoption</x:t>
        </x:is>
      </x:c>
    </x:row>
    <x:row r="38">
      <x:c r="B38" s="18" t="inlineStr">
        <x:is>
          <x:t xml:space="preserve">Decision audit completeness</x:t>
        </x:is>
      </x:c>
      <x:c r="C38" s="18" t="inlineStr">
        <x:is>
          <x:t xml:space="preserve">100% consequential actions evidenced</x:t>
        </x:is>
      </x:c>
      <x:c r="D38" s="18" t="inlineStr">
        <x:is>
          <x:t xml:space="preserve">Protects her politically</x:t>
        </x:is>
      </x:c>
    </x:row>
    <x:row r="40">
      <x:c r="B40" s="5" t="inlineStr">
        <x:is>
          <x:t xml:space="preserve">5. TIMING — Act NOW, not in 3 months</x:t>
        </x:is>
      </x:c>
    </x:row>
    <x:row r="41">
      <x:c r="B41" s="29" t="inlineStr">
        <x:is>
          <x:t xml:space="preserve">Urgency</x:t>
        </x:is>
      </x:c>
      <x:c r="C41" s="18" t="inlineStr">
        <x:is>
          <x:t xml:space="preserve">If you wait, she will commit to Big 4 consulting ($2-5M, 6 months, deck deliverable) — you lose.</x:t>
        </x:is>
      </x:c>
      <x:c r="D41" s="64" t="n"/>
      <x:c r="E41" s="64" t="n"/>
      <x:c r="F41" s="35" t="n"/>
    </x:row>
    <x:row r="42">
      <x:c r="B42" s="29" t="inlineStr">
        <x:is>
          <x:t xml:space="preserve">Or</x:t>
        </x:is>
      </x:c>
      <x:c r="C42" s="18" t="inlineStr">
        <x:is>
          <x:t xml:space="preserve">She'll establish vendor relationships with incumbents — you lose embedding.</x:t>
        </x:is>
      </x:c>
      <x:c r="D42" s="64" t="n"/>
      <x:c r="E42" s="64" t="n"/>
      <x:c r="F42" s="35" t="n"/>
    </x:row>
    <x:row r="43">
      <x:c r="B43" s="29" t="inlineStr">
        <x:is>
          <x:t xml:space="preserve">Or</x:t>
        </x:is>
      </x:c>
      <x:c r="C43" s="18" t="inlineStr">
        <x:is>
          <x:t xml:space="preserve">She'll get pulled to other priorities — you wait another quarter.</x:t>
        </x:is>
      </x:c>
      <x:c r="D43" s="64" t="n"/>
      <x:c r="E43" s="64" t="n"/>
      <x:c r="F43" s="35" t="n"/>
    </x:row>
    <x:row r="44">
      <x:c r="B44" s="29" t="inlineStr">
        <x:is>
          <x:t xml:space="preserve">Sweet spot</x:t>
        </x:is>
      </x:c>
      <x:c r="C44" s="18" t="inlineStr">
        <x:is>
          <x:t xml:space="preserve">BEFORE she's committed her year-1 spend plan. If you land her now, you're embedded in her operating model.</x:t>
        </x:is>
      </x:c>
      <x:c r="D44" s="64" t="n"/>
      <x:c r="E44" s="64" t="n"/>
      <x:c r="F44" s="35" t="n"/>
    </x:row>
    <x:row r="45">
      <x:c r="B45" s="29" t="inlineStr">
        <x:is>
          <x:t xml:space="preserve">How</x:t>
        </x:is>
      </x:c>
      <x:c r="C45" s="18" t="inlineStr">
        <x:is>
          <x:t xml:space="preserve">Reach out THIS WEEK. 'Heard you joined — congrats. I have a 100-day framework for IT/data/innovation leaders that I'd love to walk through. 30 minutes.'</x:t>
        </x:is>
      </x:c>
      <x:c r="D45" s="64" t="n"/>
      <x:c r="E45" s="64" t="n"/>
      <x:c r="F45" s="35" t="n"/>
    </x:row>
    <x:row r="47">
      <x:c r="B47" s="5" t="inlineStr">
        <x:is>
          <x:t xml:space="preserve">6. What AbarVa specifically brings (the unfair advantage)</x:t>
        </x:is>
      </x:c>
    </x:row>
    <x:row r="48">
      <x:c r="B48" s="29" t="inlineStr">
        <x:is>
          <x:t xml:space="preserve">Industry corpus (24 waves)</x:t>
        </x:is>
      </x:c>
      <x:c r="C48" s="18" t="inlineStr">
        <x:is>
          <x:t xml:space="preserve">Use case catalog she'd otherwise need 6 months of workshops to build. Instant playbook.</x:t>
        </x:is>
      </x:c>
      <x:c r="D48" s="64" t="n"/>
      <x:c r="E48" s="64" t="n"/>
      <x:c r="F48" s="35" t="n"/>
    </x:row>
    <x:row r="49">
      <x:c r="B49" s="29" t="inlineStr">
        <x:is>
          <x:t xml:space="preserve">Modules (Intelligence/Moves/Source/Tower)</x:t>
        </x:is>
      </x:c>
      <x:c r="C49" s="18" t="inlineStr">
        <x:is>
          <x:t xml:space="preserve">Pre-built framework that maps to her function (delivery, data, innovation).</x:t>
        </x:is>
      </x:c>
      <x:c r="D49" s="64" t="n"/>
      <x:c r="E49" s="64" t="n"/>
      <x:c r="F49" s="35" t="n"/>
    </x:row>
    <x:row r="50">
      <x:c r="B50" s="29" t="inlineStr">
        <x:is>
          <x:t xml:space="preserve">Context/data plane</x:t>
        </x:is>
      </x:c>
      <x:c r="C50" s="18" t="inlineStr">
        <x:is>
          <x:t xml:space="preserve">Her data stays in her tenant — clean answer for IT security/governance.</x:t>
        </x:is>
      </x:c>
      <x:c r="D50" s="64" t="n"/>
      <x:c r="E50" s="64" t="n"/>
      <x:c r="F50" s="35" t="n"/>
    </x:row>
    <x:row r="51">
      <x:c r="B51" s="29" t="inlineStr">
        <x:is>
          <x:t xml:space="preserve">Move execution</x:t>
        </x:is>
      </x:c>
      <x:c r="C51" s="18" t="inlineStr">
        <x:is>
          <x:t xml:space="preserve">Visible early wins on real programs, not slide-ware.</x:t>
        </x:is>
      </x:c>
      <x:c r="D51" s="64" t="n"/>
      <x:c r="E51" s="64" t="n"/>
      <x:c r="F51" s="35" t="n"/>
    </x:row>
    <x:row r="52">
      <x:c r="B52" s="29" t="inlineStr">
        <x:is>
          <x:t xml:space="preserve">Evidence ledger</x:t>
        </x:is>
      </x:c>
      <x:c r="C52" s="18" t="inlineStr">
        <x:is>
          <x:t xml:space="preserve">Decision audit trail that protects her in board/audit reviews.</x:t>
        </x:is>
      </x:c>
      <x:c r="D52" s="64" t="n"/>
      <x:c r="E52" s="64" t="n"/>
      <x:c r="F52" s="35" t="n"/>
    </x:row>
    <x:row r="53">
      <x:c r="B53" s="29" t="inlineStr">
        <x:is>
          <x:t xml:space="preserve">Sourcing intelligence</x:t>
        </x:is>
      </x:c>
      <x:c r="C53" s="18" t="inlineStr">
        <x:is>
          <x:t xml:space="preserve">Her IT vendor portfolio can be optimized — quick win for CFO conversation.</x:t>
        </x:is>
      </x:c>
      <x:c r="D53" s="64" t="n"/>
      <x:c r="E53" s="64" t="n"/>
      <x:c r="F53" s="35" t="n"/>
    </x:row>
    <x:row r="54">
      <x:c r="B54" s="29" t="inlineStr">
        <x:is>
          <x:t xml:space="preserve">Founder-level engagement</x:t>
        </x:is>
      </x:c>
      <x:c r="C54" s="18" t="inlineStr">
        <x:is>
          <x:t xml:space="preserve">10% included founder time = white-glove for her first quarter (where it matters most).</x:t>
        </x:is>
      </x:c>
      <x:c r="D54" s="64" t="n"/>
      <x:c r="E54" s="64" t="n"/>
      <x:c r="F54" s="35" t="n"/>
    </x:row>
    <x:row r="56">
      <x:c r="B56" s="5" t="inlineStr">
        <x:is>
          <x:t xml:space="preserve">7. Outreach Plan</x:t>
        </x:is>
      </x:c>
    </x:row>
    <x:row r="57">
      <x:c r="B57" s="29" t="inlineStr">
        <x:is>
          <x:t xml:space="preserve">Week 1</x:t>
        </x:is>
      </x:c>
      <x:c r="C57" s="18" t="inlineStr">
        <x:is>
          <x:t xml:space="preserve">LinkedIn message: congrats + offer 30-min 100-day framework walkthrough. Attach a 2-page teaser.</x:t>
        </x:is>
      </x:c>
      <x:c r="D57" s="64" t="n"/>
      <x:c r="E57" s="64" t="n"/>
      <x:c r="F57" s="35" t="n"/>
    </x:row>
    <x:row r="58">
      <x:c r="B58" s="29" t="inlineStr">
        <x:is>
          <x:t xml:space="preserve">Week 2</x:t>
        </x:is>
      </x:c>
      <x:c r="C58" s="18" t="inlineStr">
        <x:is>
          <x:t xml:space="preserve">Discovery call (30 min): listen for her actual mandate, top 3 pressures, board ask, budget posture.</x:t>
        </x:is>
      </x:c>
      <x:c r="D58" s="64" t="n"/>
      <x:c r="E58" s="64" t="n"/>
      <x:c r="F58" s="35" t="n"/>
    </x:row>
    <x:row r="59">
      <x:c r="B59" s="29" t="inlineStr">
        <x:is>
          <x:t xml:space="preserve">Week 3</x:t>
        </x:is>
      </x:c>
      <x:c r="C59" s="18" t="inlineStr">
        <x:is>
          <x:t xml:space="preserve">Customized 1-pager: 'Here's what your first 100 days could look like with AbarVa.'</x:t>
        </x:is>
      </x:c>
      <x:c r="D59" s="64" t="n"/>
      <x:c r="E59" s="64" t="n"/>
      <x:c r="F59" s="35" t="n"/>
    </x:row>
    <x:row r="60">
      <x:c r="B60" s="29" t="inlineStr">
        <x:is>
          <x:t xml:space="preserve">Week 4</x:t>
        </x:is>
      </x:c>
      <x:c r="C60" s="18" t="inlineStr">
        <x:is>
          <x:t xml:space="preserve">Joint working session (90 min): walk through industry corpus + 3 candidate Moves for Morgan Street.</x:t>
        </x:is>
      </x:c>
      <x:c r="D60" s="64" t="n"/>
      <x:c r="E60" s="64" t="n"/>
      <x:c r="F60" s="35" t="n"/>
    </x:row>
    <x:row r="61">
      <x:c r="B61" s="29" t="inlineStr">
        <x:is>
          <x:t xml:space="preserve">Week 5-6</x:t>
        </x:is>
      </x:c>
      <x:c r="C61" s="18" t="inlineStr">
        <x:is>
          <x:t xml:space="preserve">Proposal: pilot SOW with her name on the success criteria.</x:t>
        </x:is>
      </x:c>
      <x:c r="D61" s="64" t="n"/>
      <x:c r="E61" s="64" t="n"/>
      <x:c r="F61" s="35" t="n"/>
    </x:row>
    <x:row r="62">
      <x:c r="B62" s="29" t="inlineStr">
        <x:is>
          <x:t xml:space="preserve">Week 7+</x:t>
        </x:is>
      </x:c>
      <x:c r="C62" s="18" t="inlineStr">
        <x:is>
          <x:t xml:space="preserve">Negotiate + sign + kick off.</x:t>
        </x:is>
      </x:c>
      <x:c r="D62" s="64" t="n"/>
      <x:c r="E62" s="64" t="n"/>
      <x:c r="F62" s="35" t="n"/>
    </x:row>
  </x:sheetData>
  <x:mergeCells>
    <x:mergeCell ref="C52:F52"/>
    <x:mergeCell ref="C48:F48"/>
    <x:mergeCell ref="C61:F61"/>
    <x:mergeCell ref="C17:F17"/>
    <x:mergeCell ref="B47:F47"/>
    <x:mergeCell ref="C8:F8"/>
    <x:mergeCell ref="C7:F7"/>
    <x:mergeCell ref="C19:F19"/>
    <x:mergeCell ref="C57:F57"/>
    <x:mergeCell ref="B56:F56"/>
    <x:mergeCell ref="B21:F21"/>
    <x:mergeCell ref="C18:F18"/>
    <x:mergeCell ref="C53:F53"/>
    <x:mergeCell ref="C49:F49"/>
    <x:mergeCell ref="C6:F6"/>
    <x:mergeCell ref="C62:F62"/>
    <x:mergeCell ref="C15:F15"/>
    <x:mergeCell ref="B14:F14"/>
    <x:mergeCell ref="C42:F42"/>
    <x:mergeCell ref="C58:F58"/>
    <x:mergeCell ref="B29:F29"/>
    <x:mergeCell ref="C45:F45"/>
    <x:mergeCell ref="C16:F16"/>
    <x:mergeCell ref="C54:F54"/>
    <x:mergeCell ref="C41:F41"/>
    <x:mergeCell ref="C10:F10"/>
    <x:mergeCell ref="B40:F40"/>
    <x:mergeCell ref="C50:F50"/>
    <x:mergeCell ref="C44:F44"/>
    <x:mergeCell ref="C9:F9"/>
    <x:mergeCell ref="C43:F43"/>
    <x:mergeCell ref="C12:F12"/>
    <x:mergeCell ref="B5:F5"/>
    <x:mergeCell ref="C59:F59"/>
    <x:mergeCell ref="C11:F11"/>
    <x:mergeCell ref="C51:F51"/>
    <x:mergeCell ref="C60:F6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KK @ Delta (CTO; $3B IT spend; AI-Led Product Development Focus)</x:t>
        </x:is>
      </x:c>
    </x:row>
    <x:row r="3">
      <x:c r="B3" s="2" t="inlineStr">
        <x:is>
          <x:t xml:space="preserve">CTO with $3B IT + 100s of millions in app dev. Burning need: AI-led product development. HONEST read on AbarVa fit + how to play.</x:t>
        </x:is>
      </x:c>
    </x:row>
    <x:row r="5">
      <x:c r="B5" s="5" t="inlineStr">
        <x:is>
          <x:t xml:space="preserve">1. Prospect Snapshot — KK @ Delta</x:t>
        </x:is>
      </x:c>
    </x:row>
    <x:row r="6">
      <x:c r="B6" s="29" t="inlineStr">
        <x:is>
          <x:t xml:space="preserve">Buyer</x:t>
        </x:is>
      </x:c>
      <x:c r="C6" s="18" t="inlineStr">
        <x:is>
          <x:t xml:space="preserve">KK — CTO, owns IT infrastructure</x:t>
        </x:is>
      </x:c>
      <x:c r="D6" s="64" t="n"/>
      <x:c r="E6" s="64" t="n"/>
      <x:c r="F6" s="35" t="n"/>
    </x:row>
    <x:row r="7">
      <x:c r="B7" s="29" t="inlineStr">
        <x:is>
          <x:t xml:space="preserve">Budget</x:t>
        </x:is>
      </x:c>
      <x:c r="C7" s="18" t="inlineStr">
        <x:is>
          <x:t xml:space="preserve">$3B IT spend; $100s of millions in app/product development</x:t>
        </x:is>
      </x:c>
      <x:c r="D7" s="64" t="n"/>
      <x:c r="E7" s="64" t="n"/>
      <x:c r="F7" s="35" t="n"/>
    </x:row>
    <x:row r="8">
      <x:c r="B8" s="29" t="inlineStr">
        <x:is>
          <x:t xml:space="preserve">Modernization context</x:t>
        </x:is>
      </x:c>
      <x:c r="C8" s="18" t="inlineStr">
        <x:is>
          <x:t xml:space="preserve">AWS-related modernization in flight</x:t>
        </x:is>
      </x:c>
      <x:c r="D8" s="64" t="n"/>
      <x:c r="E8" s="64" t="n"/>
      <x:c r="F8" s="35" t="n"/>
    </x:row>
    <x:row r="9">
      <x:c r="B9" s="29" t="inlineStr">
        <x:is>
          <x:t xml:space="preserve">AI ownership</x:t>
        </x:is>
      </x:c>
      <x:c r="C9" s="18" t="inlineStr">
        <x:is>
          <x:t xml:space="preserve">Not in CTO scope traditionally — but AI-LED PRODUCT DEVELOPMENT is high on his agenda</x:t>
        </x:is>
      </x:c>
      <x:c r="D9" s="64" t="n"/>
      <x:c r="E9" s="64" t="n"/>
      <x:c r="F9" s="35" t="n"/>
    </x:row>
    <x:row r="10">
      <x:c r="B10" s="29" t="inlineStr">
        <x:is>
          <x:t xml:space="preserve">Burning need</x:t>
        </x:is>
      </x:c>
      <x:c r="C10" s="18" t="inlineStr">
        <x:is>
          <x:t xml:space="preserve">How to operationalize AI in software delivery at $100s-of-millions scale</x:t>
        </x:is>
      </x:c>
      <x:c r="D10" s="64" t="n"/>
      <x:c r="E10" s="64" t="n"/>
      <x:c r="F10" s="35" t="n"/>
    </x:row>
    <x:row r="11">
      <x:c r="B11" s="29" t="inlineStr">
        <x:is>
          <x:t xml:space="preserve">Other levers</x:t>
        </x:is>
      </x:c>
      <x:c r="C11" s="18" t="inlineStr">
        <x:is>
          <x:t xml:space="preserve">IMS / managed services consolidation; modernization program discipline</x:t>
        </x:is>
      </x:c>
      <x:c r="D11" s="64" t="n"/>
      <x:c r="E11" s="64" t="n"/>
      <x:c r="F11" s="35" t="n"/>
    </x:row>
    <x:row r="13">
      <x:c r="B13" s="5" t="inlineStr">
        <x:is>
          <x:t xml:space="preserve">2. HONEST READ — Where AbarVa fits + where it doesn't</x:t>
        </x:is>
      </x:c>
    </x:row>
    <x:row r="14">
      <x:c r="B14" s="29" t="inlineStr">
        <x:is>
          <x:t xml:space="preserve">Context layer fit</x:t>
        </x:is>
      </x:c>
      <x:c r="C14" s="18" t="inlineStr">
        <x:is>
          <x:t xml:space="preserve">STRONG. Any $3B IT shop has data silos / decision sprawl. AbarVa's broker/context-layer story is appealing.</x:t>
        </x:is>
      </x:c>
      <x:c r="D14" s="64" t="n"/>
      <x:c r="E14" s="64" t="n"/>
      <x:c r="F14" s="35" t="n"/>
    </x:row>
    <x:row r="15">
      <x:c r="B15" s="29" t="inlineStr">
        <x:is>
          <x:t xml:space="preserve">Industry corpus fit</x:t>
        </x:is>
      </x:c>
      <x:c r="C15" s="18" t="inlineStr">
        <x:is>
          <x:t xml:space="preserve">PARTIAL. Corpus today = healthcare/banking/retail BUSINESS workflows. NOT software-delivery patterns. Don't oversell.</x:t>
        </x:is>
      </x:c>
      <x:c r="D15" s="64" t="n"/>
      <x:c r="E15" s="64" t="n"/>
      <x:c r="F15" s="35" t="n"/>
    </x:row>
    <x:row r="16">
      <x:c r="B16" s="29" t="inlineStr">
        <x:is>
          <x:t xml:space="preserve">AI-led product dev fit</x:t>
        </x:is>
      </x:c>
      <x:c r="C16" s="18" t="inlineStr">
        <x:is>
          <x:t xml:space="preserve">AbarVa is NOT a developer productivity tool (Copilot/Cursor/Claude Code own that).</x:t>
        </x:is>
      </x:c>
      <x:c r="D16" s="64" t="n"/>
      <x:c r="E16" s="64" t="n"/>
      <x:c r="F16" s="35" t="n"/>
    </x:row>
    <x:row r="17">
      <x:c r="B17" s="29" t="inlineStr">
        <x:is>
          <x:t xml:space="preserve">Where AbarVa CAN play</x:t>
        </x:is>
      </x:c>
      <x:c r="C17" s="18" t="inlineStr">
        <x:is>
          <x:t xml:space="preserve">Governance + measurement + program management LAYER ABOVE the developer-AI tools. Not the methodology itself.</x:t>
        </x:is>
      </x:c>
      <x:c r="D17" s="64" t="n"/>
      <x:c r="E17" s="64" t="n"/>
      <x:c r="F17" s="35" t="n"/>
    </x:row>
    <x:row r="18">
      <x:c r="B18" s="29" t="inlineStr">
        <x:is>
          <x:t xml:space="preserve">Honest gap</x:t>
        </x:is>
      </x:c>
      <x:c r="C18" s="18" t="inlineStr">
        <x:is>
          <x:t xml:space="preserve">Software-engineering / AI-led-dev patterns aren't in your corpus today. If KK's primary itch is methodology, you don't scratch it directly.</x:t>
        </x:is>
      </x:c>
      <x:c r="D18" s="64" t="n"/>
      <x:c r="E18" s="64" t="n"/>
      <x:c r="F18" s="35" t="n"/>
    </x:row>
    <x:row r="20">
      <x:c r="B20" s="5" t="inlineStr">
        <x:is>
          <x:t xml:space="preserve">3. Three Plays (ranked by honesty + defensibility)</x:t>
        </x:is>
      </x:c>
    </x:row>
    <x:row r="21">
      <x:c r="B21" s="8" t="inlineStr">
        <x:is>
          <x:t xml:space="preserve">Play</x:t>
        </x:is>
      </x:c>
      <x:c r="C21" s="8" t="inlineStr">
        <x:is>
          <x:t xml:space="preserve">Pitch</x:t>
        </x:is>
      </x:c>
      <x:c r="D21" s="8" t="inlineStr">
        <x:is>
          <x:t xml:space="preserve">Risk</x:t>
        </x:is>
      </x:c>
    </x:row>
    <x:row r="22">
      <x:c r="B22" s="18" t="inlineStr">
        <x:is>
          <x:t xml:space="preserve">Play A: Governance/Measurement Layer (RECOMMENDED)</x:t>
        </x:is>
      </x:c>
      <x:c r="C22" s="18" t="inlineStr">
        <x:is>
          <x:t xml:space="preserve">'Copilot/Cursor/Claude Code give individual devs productivity. Bigger problem is at the PROGRAM level — which projects to AI-accelerate, methodology rollout, risk governance, true ROI measurement, vendor sprawl. AbarVa is the operating layer ABOVE the developer-AI tools.'</x:t>
        </x:is>
      </x:c>
      <x:c r="D22" s="18" t="inlineStr">
        <x:is>
          <x:t xml:space="preserve">Most defensible. Positions AbarVa where it actually plays.</x:t>
        </x:is>
      </x:c>
    </x:row>
    <x:row r="23">
      <x:c r="B23" s="18" t="inlineStr">
        <x:is>
          <x:t xml:space="preserve">Play B: Methodology Rollout Program OS</x:t>
        </x:is>
      </x:c>
      <x:c r="C23" s="18" t="inlineStr">
        <x:is>
          <x:t xml:space="preserve">'AI-led product development isn't a tool — it's a transformation program. New methodology, measurement, vendor portfolio, training, governance. AbarVa is the Move execution OS that turns methodology into measured outcomes across your $3B IT estate.'</x:t>
        </x:is>
      </x:c>
      <x:c r="D23" s="18" t="inlineStr">
        <x:is>
          <x:t xml:space="preserve">Lighter on what AbarVa specifically provides; heavier on program-management value.</x:t>
        </x:is>
      </x:c>
    </x:row>
    <x:row r="24">
      <x:c r="B24" s="18" t="inlineStr">
        <x:is>
          <x:t xml:space="preserve">Play C: Source-Module Wedge</x:t>
        </x:is>
      </x:c>
      <x:c r="C24" s="18" t="inlineStr">
        <x:is>
          <x:t xml:space="preserve">'You spend $3B in IT. Your AI dev tooling alone will be $20-50M annually. AbarVa Source gives you vendor portfolio intelligence to make those choices, measure those contracts, rationalize the spend.'</x:t>
        </x:is>
      </x:c>
      <x:c r="D24" s="18" t="inlineStr">
        <x:is>
          <x:t xml:space="preserve">Smallest deal but most defensible. Source-only at $50k/mo.</x:t>
        </x:is>
      </x:c>
    </x:row>
    <x:row r="26">
      <x:c r="B26" s="5" t="inlineStr">
        <x:is>
          <x:t xml:space="preserve">4. The Strategic Decision for AbarVa — Build a 'Software Delivery' Corpus Wave?</x:t>
        </x:is>
      </x:c>
    </x:row>
    <x:row r="27">
      <x:c r="B27" s="29" t="inlineStr">
        <x:is>
          <x:t xml:space="preserve">Why consider it</x:t>
        </x:is>
      </x:c>
      <x:c r="C27" s="18" t="inlineStr">
        <x:is>
          <x:t xml:space="preserve">Every large enterprise CTO faces this. 5-10 similar prospects. CTO TAM is bigger than just CDAO TAM.</x:t>
        </x:is>
      </x:c>
      <x:c r="D27" s="64" t="n"/>
      <x:c r="E27" s="64" t="n"/>
      <x:c r="F27" s="35" t="n"/>
    </x:row>
    <x:row r="28">
      <x:c r="B28" s="29" t="inlineStr">
        <x:is>
          <x:t xml:space="preserve">Investment</x:t>
        </x:is>
      </x:c>
      <x:c r="C28" s="18" t="inlineStr">
        <x:is>
          <x:t xml:space="preserve">~6-12 weeks to research + structure + author a software-delivery / AI-led-dev corpus wave.</x:t>
        </x:is>
      </x:c>
      <x:c r="D28" s="64" t="n"/>
      <x:c r="E28" s="64" t="n"/>
      <x:c r="F28" s="35" t="n"/>
    </x:row>
    <x:row r="29">
      <x:c r="B29" s="29" t="inlineStr">
        <x:is>
          <x:t xml:space="preserve">Strategic value</x:t>
        </x:is>
      </x:c>
      <x:c r="C29" s="18" t="inlineStr">
        <x:is>
          <x:t xml:space="preserve">Unlocks CTO-buyer segment. Differentiates AbarVa from generic AI workflow platforms.</x:t>
        </x:is>
      </x:c>
      <x:c r="D29" s="64" t="n"/>
      <x:c r="E29" s="64" t="n"/>
      <x:c r="F29" s="35" t="n"/>
    </x:row>
    <x:row r="30">
      <x:c r="B30" s="29" t="inlineStr">
        <x:is>
          <x:t xml:space="preserve">Risk if you DON'T</x:t>
        </x:is>
      </x:c>
      <x:c r="C30" s="18" t="inlineStr">
        <x:is>
          <x:t xml:space="preserve">Lose KK + similar deals because you can't credibly speak to their primary pain.</x:t>
        </x:is>
      </x:c>
      <x:c r="D30" s="64" t="n"/>
      <x:c r="E30" s="64" t="n"/>
      <x:c r="F30" s="35" t="n"/>
    </x:row>
    <x:row r="31">
      <x:c r="B31" s="29" t="inlineStr">
        <x:is>
          <x:t xml:space="preserve">Decision</x:t>
        </x:is>
      </x:c>
      <x:c r="C31" s="18" t="inlineStr">
        <x:is>
          <x:t xml:space="preserve">[OPEN] If pursuing KK-class deals, this is worth funding. If KK is one-off, skip.</x:t>
        </x:is>
      </x:c>
      <x:c r="D31" s="64" t="n"/>
      <x:c r="E31" s="64" t="n"/>
      <x:c r="F31" s="35" t="n"/>
    </x:row>
    <x:row r="32">
      <x:c r="B32" s="29" t="inlineStr">
        <x:is>
          <x:t xml:space="preserve">Watch-out</x:t>
        </x:is>
      </x:c>
      <x:c r="C32" s="18" t="inlineStr">
        <x:is>
          <x:t xml:space="preserve">Don't pretend the corpus is there when it isn't. Lose credibility once = lose forever.</x:t>
        </x:is>
      </x:c>
      <x:c r="D32" s="64" t="n"/>
      <x:c r="E32" s="64" t="n"/>
      <x:c r="F32" s="35" t="n"/>
    </x:row>
    <x:row r="34">
      <x:c r="B34" s="5" t="inlineStr">
        <x:is>
          <x:t xml:space="preserve">5. KK-Specific Value Levers (HONEST)</x:t>
        </x:is>
      </x:c>
    </x:row>
    <x:row r="35">
      <x:c r="B35" s="8" t="inlineStr">
        <x:is>
          <x:t xml:space="preserve">Lever</x:t>
        </x:is>
      </x:c>
      <x:c r="C35" s="8" t="inlineStr">
        <x:is>
          <x:t xml:space="preserve">Order-of-magnitude</x:t>
        </x:is>
      </x:c>
      <x:c r="D35" s="8" t="inlineStr">
        <x:is>
          <x:t xml:space="preserve">AbarVa enables how</x:t>
        </x:is>
      </x:c>
      <x:c r="E35" s="8" t="inlineStr">
        <x:is>
          <x:t xml:space="preserve">Confidence</x:t>
        </x:is>
      </x:c>
    </x:row>
    <x:row r="36">
      <x:c r="B36" s="18" t="inlineStr">
        <x:is>
          <x:t xml:space="preserve">AWS modernization program acceleration</x:t>
        </x:is>
      </x:c>
      <x:c r="C36" s="18" t="inlineStr">
        <x:is>
          <x:t xml:space="preserve">20-30% timeline reduction = $10-50M opportunity cost</x:t>
        </x:is>
      </x:c>
      <x:c r="D36" s="18" t="inlineStr">
        <x:is>
          <x:t xml:space="preserve">Moves = program execution OS</x:t>
        </x:is>
      </x:c>
      <x:c r="E36" s="18" t="inlineStr">
        <x:is>
          <x:t xml:space="preserve">HIGH</x:t>
        </x:is>
      </x:c>
    </x:row>
    <x:row r="37">
      <x:c r="B37" s="18" t="inlineStr">
        <x:is>
          <x:t xml:space="preserve">IMS / vendor consolidation</x:t>
        </x:is>
      </x:c>
      <x:c r="C37" s="18" t="inlineStr">
        <x:is>
          <x:t xml:space="preserve">5-10% on large IMS contracts = $5-10M</x:t>
        </x:is>
      </x:c>
      <x:c r="D37" s="18" t="inlineStr">
        <x:is>
          <x:t xml:space="preserve">Source = vendor intelligence</x:t>
        </x:is>
      </x:c>
      <x:c r="E37" s="18" t="inlineStr">
        <x:is>
          <x:t xml:space="preserve">HIGH</x:t>
        </x:is>
      </x:c>
    </x:row>
    <x:row r="38">
      <x:c r="B38" s="18" t="inlineStr">
        <x:is>
          <x:t xml:space="preserve">AI dev tool vendor management</x:t>
        </x:is>
      </x:c>
      <x:c r="C38" s="18" t="inlineStr">
        <x:is>
          <x:t xml:space="preserve">Rationalize $20-50M AI dev tooling spend</x:t>
        </x:is>
      </x:c>
      <x:c r="D38" s="18" t="inlineStr">
        <x:is>
          <x:t xml:space="preserve">Source module + decision audit</x:t>
        </x:is>
      </x:c>
      <x:c r="E38" s="18" t="inlineStr">
        <x:is>
          <x:t xml:space="preserve">MEDIUM-HIGH</x:t>
        </x:is>
      </x:c>
    </x:row>
    <x:row r="39">
      <x:c r="B39" s="18" t="inlineStr">
        <x:is>
          <x:t xml:space="preserve">AI-led product dev measurement/governance</x:t>
        </x:is>
      </x:c>
      <x:c r="C39" s="18" t="inlineStr">
        <x:is>
          <x:t xml:space="preserve">Avoid blown investment, document ROI</x:t>
        </x:is>
      </x:c>
      <x:c r="D39" s="18" t="inlineStr">
        <x:is>
          <x:t xml:space="preserve">Tower + evidence ledger</x:t>
        </x:is>
      </x:c>
      <x:c r="E39" s="18" t="inlineStr">
        <x:is>
          <x:t xml:space="preserve">MEDIUM (depends on corpus investment)</x:t>
        </x:is>
      </x:c>
    </x:row>
    <x:row r="40">
      <x:c r="B40" s="18" t="inlineStr">
        <x:is>
          <x:t xml:space="preserve">Decision audit for AI in production code</x:t>
        </x:is>
      </x:c>
      <x:c r="C40" s="18" t="inlineStr">
        <x:is>
          <x:t xml:space="preserve">Avoid security/IP/compliance issues</x:t>
        </x:is>
      </x:c>
      <x:c r="D40" s="18" t="inlineStr">
        <x:is>
          <x:t xml:space="preserve">Evidence ledger + AI Liability framework</x:t>
        </x:is>
      </x:c>
      <x:c r="E40" s="18" t="inlineStr">
        <x:is>
          <x:t xml:space="preserve">HIGH</x:t>
        </x:is>
      </x:c>
    </x:row>
    <x:row r="41">
      <x:c r="B41" s="18" t="inlineStr">
        <x:is>
          <x:t xml:space="preserve">Methodology rollout as managed program</x:t>
        </x:is>
      </x:c>
      <x:c r="C41" s="18" t="inlineStr">
        <x:is>
          <x:t xml:space="preserve">Faster, measurable transformation</x:t>
        </x:is>
      </x:c>
      <x:c r="D41" s="18" t="inlineStr">
        <x:is>
          <x:t xml:space="preserve">Moves + Tower</x:t>
        </x:is>
      </x:c>
      <x:c r="E41" s="18" t="inlineStr">
        <x:is>
          <x:t xml:space="preserve">MEDIUM</x:t>
        </x:is>
      </x:c>
    </x:row>
    <x:row r="43">
      <x:c r="B43" s="5" t="inlineStr">
        <x:is>
          <x:t xml:space="preserve">6. Stretch-Lane Pilot SOW (Two Lanes)</x:t>
        </x:is>
      </x:c>
    </x:row>
    <x:row r="44">
      <x:c r="B44" s="8" t="inlineStr">
        <x:is>
          <x:t xml:space="preserve">Lane</x:t>
        </x:is>
      </x:c>
      <x:c r="C44" s="8" t="inlineStr">
        <x:is>
          <x:t xml:space="preserve">Scope</x:t>
        </x:is>
      </x:c>
      <x:c r="D44" s="8" t="inlineStr">
        <x:is>
          <x:t xml:space="preserve">Priority</x:t>
        </x:is>
      </x:c>
    </x:row>
    <x:row r="45">
      <x:c r="B45" s="18" t="inlineStr">
        <x:is>
          <x:t xml:space="preserve">Lane A (CTO core, P0)</x:t>
        </x:is>
      </x:c>
      <x:c r="C45" s="18" t="inlineStr">
        <x:is>
          <x:t xml:space="preserve">Modernization program execution + Source module for IMS contracts. 2 Moves at execution by day 60. $5-10M identified value pipeline.</x:t>
        </x:is>
      </x:c>
      <x:c r="D45" s="18" t="inlineStr">
        <x:is>
          <x:t xml:space="preserve">P0 — must deliver</x:t>
        </x:is>
      </x:c>
    </x:row>
    <x:row r="46">
      <x:c r="B46" s="18" t="inlineStr">
        <x:is>
          <x:t xml:space="preserve">Lane B (AI-led dev measurement, P1)</x:t>
        </x:is>
      </x:c>
      <x:c r="C46" s="18" t="inlineStr">
        <x:is>
          <x:t xml:space="preserve">1 Move scoped on 'AI development program governance/measurement.' Pilot the AI Liability framework + evidence ledger on actual dev work. Roadmap drafted for full methodology rollout.</x:t>
        </x:is>
      </x:c>
      <x:c r="D46" s="18" t="inlineStr">
        <x:is>
          <x:t xml:space="preserve">P1 — stretch / explore</x:t>
        </x:is>
      </x:c>
    </x:row>
    <x:row r="47">
      <x:c r="B47" s="18" t="inlineStr">
        <x:is>
          <x:t xml:space="preserve">Lane C (Future, if corpus invested)</x:t>
        </x:is>
      </x:c>
      <x:c r="C47" s="18" t="inlineStr">
        <x:is>
          <x:t xml:space="preserve">Once software-delivery corpus wave is authored, expand Lane B into a full methodology + governance + measurement Move portfolio.</x:t>
        </x:is>
      </x:c>
      <x:c r="D47" s="18" t="inlineStr">
        <x:is>
          <x:t xml:space="preserve">Future — depends on corpus decision</x:t>
        </x:is>
      </x:c>
    </x:row>
    <x:row r="49">
      <x:c r="B49" s="5" t="inlineStr">
        <x:is>
          <x:t xml:space="preserve">7. What to Say When KK Pushes — 'But you don't solve our methodology problem'</x:t>
        </x:is>
      </x:c>
    </x:row>
    <x:row r="50">
      <x:c r="B50" s="29" t="inlineStr">
        <x:is>
          <x:t xml:space="preserve">Acknowledge honestly</x:t>
        </x:is>
      </x:c>
      <x:c r="C50" s="18" t="inlineStr">
        <x:is>
          <x:t xml:space="preserve">'You're right. Methodology = GitHub Copilot's / Anthropic Claude Code's / your consulting partner's problem. We solve the layer ABOVE — knowing what to do with all that, measuring it, governing it.'</x:t>
        </x:is>
      </x:c>
      <x:c r="D50" s="64" t="n"/>
      <x:c r="E50" s="64" t="n"/>
      <x:c r="F50" s="35" t="n"/>
    </x:row>
    <x:row r="51">
      <x:c r="B51" s="29" t="inlineStr">
        <x:is>
          <x:t xml:space="preserve">Pivot to value</x:t>
        </x:is>
      </x:c>
      <x:c r="C51" s="18" t="inlineStr">
        <x:is>
          <x:t xml:space="preserve">'You can have the best methodology in the world. If you can't measure ROI across 1000 developers and 50 projects, you can't justify the next $50M investment. AbarVa is that measurement + governance layer.'</x:t>
        </x:is>
      </x:c>
      <x:c r="D51" s="64" t="n"/>
      <x:c r="E51" s="64" t="n"/>
      <x:c r="F51" s="35" t="n"/>
    </x:row>
    <x:row r="52">
      <x:c r="B52" s="29" t="inlineStr">
        <x:is>
          <x:t xml:space="preserve">Offer Lane B as test</x:t>
        </x:is>
      </x:c>
      <x:c r="C52" s="18" t="inlineStr">
        <x:is>
          <x:t xml:space="preserve">'Let's pilot the measurement/governance framework on a real AI-dev program. If it works, we scale. If it doesn't, you've learned at $300k.'</x:t>
        </x:is>
      </x:c>
      <x:c r="D52" s="64" t="n"/>
      <x:c r="E52" s="64" t="n"/>
      <x:c r="F52" s="35" t="n"/>
    </x:row>
    <x:row r="53">
      <x:c r="B53" s="29" t="inlineStr">
        <x:is>
          <x:t xml:space="preserve">Don't oversell</x:t>
        </x:is>
      </x:c>
      <x:c r="C53" s="18" t="inlineStr">
        <x:is>
          <x:t xml:space="preserve">If KK's primary itch is methodology itself and Lane B doesn't move him, walk. Don't promise corpus you don't have. Disappointment 6 months in kills renewal AND reference.</x:t>
        </x:is>
      </x:c>
      <x:c r="D53" s="64" t="n"/>
      <x:c r="E53" s="64" t="n"/>
      <x:c r="F53" s="35" t="n"/>
    </x:row>
  </x:sheetData>
  <x:mergeCells>
    <x:mergeCell ref="C52:F52"/>
    <x:mergeCell ref="C17:F17"/>
    <x:mergeCell ref="C8:F8"/>
    <x:mergeCell ref="C7:F7"/>
    <x:mergeCell ref="C32:F32"/>
    <x:mergeCell ref="C28:F28"/>
    <x:mergeCell ref="C18:F18"/>
    <x:mergeCell ref="B43:F43"/>
    <x:mergeCell ref="C53:F53"/>
    <x:mergeCell ref="C6:F6"/>
    <x:mergeCell ref="C30:F30"/>
    <x:mergeCell ref="C15:F15"/>
    <x:mergeCell ref="C14:F14"/>
    <x:mergeCell ref="B13:F13"/>
    <x:mergeCell ref="B34:F34"/>
    <x:mergeCell ref="C29:F29"/>
    <x:mergeCell ref="C16:F16"/>
    <x:mergeCell ref="C10:F10"/>
    <x:mergeCell ref="C50:F50"/>
    <x:mergeCell ref="B49:F49"/>
    <x:mergeCell ref="C9:F9"/>
    <x:mergeCell ref="C31:F31"/>
    <x:mergeCell ref="B20:F20"/>
    <x:mergeCell ref="B5:F5"/>
    <x:mergeCell ref="C11:F11"/>
    <x:mergeCell ref="C51:F51"/>
    <x:mergeCell ref="C27:F27"/>
    <x:mergeCell ref="B26: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42" customWidth="1"/>
    <x:col min="4" max="4" width="50" customWidth="1"/>
    <x:col min="5" max="5" width="28" customWidth="1"/>
    <x:col min="6" max="6" width="10" customWidth="1"/>
  </x:cols>
  <x:sheetData>
    <x:row r="2">
      <x:c r="B2" s="1" t="inlineStr">
        <x:is>
          <x:t xml:space="preserve">Security Pack — F500 Vendor Questionnaire Pre-Fill</x:t>
        </x:is>
      </x:c>
    </x:row>
    <x:row r="3">
      <x:c r="B3" s="2" t="inlineStr">
        <x:is>
          <x:t xml:space="preserve">Your canonical answers. Update once, reuse across every deal.</x:t>
        </x:is>
      </x:c>
    </x:row>
    <x:row r="5">
      <x:c r="B5" s="8" t="inlineStr">
        <x:is>
          <x:t xml:space="preserve">Domain</x:t>
        </x:is>
      </x:c>
      <x:c r="C5" s="8" t="inlineStr">
        <x:is>
          <x:t xml:space="preserve">Question</x:t>
        </x:is>
      </x:c>
      <x:c r="D5" s="8" t="inlineStr">
        <x:is>
          <x:t xml:space="preserve">Answer</x:t>
        </x:is>
      </x:c>
      <x:c r="E5" s="8" t="inlineStr">
        <x:is>
          <x:t xml:space="preserve">Evidence/Reference</x:t>
        </x:is>
      </x:c>
      <x:c r="F5" s="8" t="inlineStr">
        <x:is>
          <x:t xml:space="preserve">Status</x:t>
        </x:is>
      </x:c>
    </x:row>
    <x:row r="6">
      <x:c r="B6" s="29" t="inlineStr">
        <x:is>
          <x:t xml:space="preserve">Corporate</x:t>
        </x:is>
      </x:c>
      <x:c r="C6" s="18" t="inlineStr">
        <x:is>
          <x:t xml:space="preserve">Legal entity name and jurisdiction</x:t>
        </x:is>
      </x:c>
      <x:c r="D6" s="18" t="inlineStr">
        <x:is>
          <x:t xml:space="preserve">AbarVa Inc., Delaware C-Corporation</x:t>
        </x:is>
      </x:c>
      <x:c r="E6" s="18" t="inlineStr">
        <x:is>
          <x:t xml:space="preserve">Certificate of Incorporation</x:t>
        </x:is>
      </x:c>
      <x:c r="F6" s="18" t="inlineStr">
        <x:is>
          <x:t xml:space="preserve">TODO</x:t>
        </x:is>
      </x:c>
    </x:row>
    <x:row r="7">
      <x:c r="B7" s="29" t="inlineStr">
        <x:is>
          <x:t xml:space="preserve">Corporate</x:t>
        </x:is>
      </x:c>
      <x:c r="C7" s="18" t="inlineStr">
        <x:is>
          <x:t xml:space="preserve">Year founded</x:t>
        </x:is>
      </x:c>
      <x:c r="D7" s="18" t="inlineStr">
        <x:is>
          <x:t xml:space="preserve">2026</x:t>
        </x:is>
      </x:c>
      <x:c r="E7" s="18" t="inlineStr">
        <x:is>
          <x:t xml:space="preserve">Certificate of Incorporation</x:t>
        </x:is>
      </x:c>
      <x:c r="F7" s="18" t="inlineStr">
        <x:is>
          <x:t xml:space="preserve">TODO</x:t>
        </x:is>
      </x:c>
    </x:row>
    <x:row r="8">
      <x:c r="B8" s="29" t="inlineStr">
        <x:is>
          <x:t xml:space="preserve">Corporate</x:t>
        </x:is>
      </x:c>
      <x:c r="C8" s="18" t="inlineStr">
        <x:is>
          <x:t xml:space="preserve">Number of employees</x:t>
        </x:is>
      </x:c>
      <x:c r="D8" s="18" t="inlineStr">
        <x:is>
          <x:t xml:space="preserve">1 founder (scaling planned post-pilot)</x:t>
        </x:is>
      </x:c>
      <x:c r="E8" s="18" t="inlineStr">
        <x:is>
          <x:t xml:space="preserve">Internal</x:t>
        </x:is>
      </x:c>
      <x:c r="F8" s="18" t="inlineStr">
        <x:is>
          <x:t xml:space="preserve">Done</x:t>
        </x:is>
      </x:c>
    </x:row>
    <x:row r="9">
      <x:c r="B9" s="29" t="inlineStr">
        <x:is>
          <x:t xml:space="preserve">Corporate</x:t>
        </x:is>
      </x:c>
      <x:c r="C9" s="18" t="inlineStr">
        <x:is>
          <x:t xml:space="preserve">D&amp;B / DUNS number</x:t>
        </x:is>
      </x:c>
      <x:c r="D9" s="18" t="inlineStr">
        <x:is>
          <x:t xml:space="preserve">TBD — apply post-incorporation</x:t>
        </x:is>
      </x:c>
      <x:c r="E9" s="18" t="inlineStr">
        <x:is>
          <x:t xml:space="preserve">Dun &amp; Bradstreet</x:t>
        </x:is>
      </x:c>
      <x:c r="F9" s="18" t="inlineStr">
        <x:is>
          <x:t xml:space="preserve">TODO</x:t>
        </x:is>
      </x:c>
    </x:row>
    <x:row r="10">
      <x:c r="B10" s="29" t="inlineStr">
        <x:is>
          <x:t xml:space="preserve">Insurance</x:t>
        </x:is>
      </x:c>
      <x:c r="C10" s="18" t="inlineStr">
        <x:is>
          <x:t xml:space="preserve">General liability coverage</x:t>
        </x:is>
      </x:c>
      <x:c r="D10" s="18" t="inlineStr">
        <x:is>
          <x:t xml:space="preserve">$2-5M (to be bound pre-signing)</x:t>
        </x:is>
      </x:c>
      <x:c r="E10" s="18" t="inlineStr">
        <x:is>
          <x:t xml:space="preserve">COI from Vouch/Founder Shield</x:t>
        </x:is>
      </x:c>
      <x:c r="F10" s="18" t="inlineStr">
        <x:is>
          <x:t xml:space="preserve">TODO</x:t>
        </x:is>
      </x:c>
    </x:row>
    <x:row r="11">
      <x:c r="B11" s="29" t="inlineStr">
        <x:is>
          <x:t xml:space="preserve">Insurance</x:t>
        </x:is>
      </x:c>
      <x:c r="C11" s="18" t="inlineStr">
        <x:is>
          <x:t xml:space="preserve">Cyber liability coverage</x:t>
        </x:is>
      </x:c>
      <x:c r="D11" s="18" t="inlineStr">
        <x:is>
          <x:t xml:space="preserve">$2-5M (to be bound pre-signing)</x:t>
        </x:is>
      </x:c>
      <x:c r="E11" s="18" t="inlineStr">
        <x:is>
          <x:t xml:space="preserve">COI from Vouch/Founder Shield</x:t>
        </x:is>
      </x:c>
      <x:c r="F11" s="18" t="inlineStr">
        <x:is>
          <x:t xml:space="preserve">TODO</x:t>
        </x:is>
      </x:c>
    </x:row>
    <x:row r="12">
      <x:c r="B12" s="29" t="inlineStr">
        <x:is>
          <x:t xml:space="preserve">Insurance</x:t>
        </x:is>
      </x:c>
      <x:c r="C12" s="18" t="inlineStr">
        <x:is>
          <x:t xml:space="preserve">Professional liability / E&amp;O</x:t>
        </x:is>
      </x:c>
      <x:c r="D12" s="18" t="inlineStr">
        <x:is>
          <x:t xml:space="preserve">$2-5M (to be bound pre-signing)</x:t>
        </x:is>
      </x:c>
      <x:c r="E12" s="18" t="inlineStr">
        <x:is>
          <x:t xml:space="preserve">COI from Vouch/Founder Shield</x:t>
        </x:is>
      </x:c>
      <x:c r="F12" s="18" t="inlineStr">
        <x:is>
          <x:t xml:space="preserve">TODO</x:t>
        </x:is>
      </x:c>
    </x:row>
    <x:row r="13">
      <x:c r="B13" s="29" t="inlineStr">
        <x:is>
          <x:t xml:space="preserve">Compliance</x:t>
        </x:is>
      </x:c>
      <x:c r="C13" s="18" t="inlineStr">
        <x:is>
          <x:t xml:space="preserve">SOC 2 Type 1</x:t>
        </x:is>
      </x:c>
      <x:c r="D13" s="18" t="inlineStr">
        <x:is>
          <x:t xml:space="preserve">In progress via Vanta/Drata, target [date]</x:t>
        </x:is>
      </x:c>
      <x:c r="E13" s="18" t="inlineStr">
        <x:is>
          <x:t xml:space="preserve">Auditor letter</x:t>
        </x:is>
      </x:c>
      <x:c r="F13" s="18" t="inlineStr">
        <x:is>
          <x:t xml:space="preserve">TODO</x:t>
        </x:is>
      </x:c>
    </x:row>
    <x:row r="14">
      <x:c r="B14" s="29" t="inlineStr">
        <x:is>
          <x:t xml:space="preserve">Compliance</x:t>
        </x:is>
      </x:c>
      <x:c r="C14" s="18" t="inlineStr">
        <x:is>
          <x:t xml:space="preserve">SOC 2 Type 2</x:t>
        </x:is>
      </x:c>
      <x:c r="D14" s="18" t="inlineStr">
        <x:is>
          <x:t xml:space="preserve">Roadmap: observation period starting [date]</x:t>
        </x:is>
      </x:c>
      <x:c r="E14" s="18" t="inlineStr">
        <x:is>
          <x:t xml:space="preserve">Roadmap doc</x:t>
        </x:is>
      </x:c>
      <x:c r="F14" s="18" t="inlineStr">
        <x:is>
          <x:t xml:space="preserve">TODO</x:t>
        </x:is>
      </x:c>
    </x:row>
    <x:row r="15">
      <x:c r="B15" s="29" t="inlineStr">
        <x:is>
          <x:t xml:space="preserve">Compliance</x:t>
        </x:is>
      </x:c>
      <x:c r="C15" s="18" t="inlineStr">
        <x:is>
          <x:t xml:space="preserve">ISO 27001</x:t>
        </x:is>
      </x:c>
      <x:c r="D15" s="18" t="inlineStr">
        <x:is>
          <x:t xml:space="preserve">Not currently certified</x:t>
        </x:is>
      </x:c>
      <x:c r="E15" s="18" t="inlineStr">
        <x:is>
          <x:t xml:space="preserve">—</x:t>
        </x:is>
      </x:c>
      <x:c r="F15" s="18" t="inlineStr">
        <x:is>
          <x:t xml:space="preserve">Done</x:t>
        </x:is>
      </x:c>
    </x:row>
    <x:row r="16">
      <x:c r="B16" s="29" t="inlineStr">
        <x:is>
          <x:t xml:space="preserve">Compliance</x:t>
        </x:is>
      </x:c>
      <x:c r="C16" s="18" t="inlineStr">
        <x:is>
          <x:t xml:space="preserve">HIPAA / BAA capable</x:t>
        </x:is>
      </x:c>
      <x:c r="D16" s="18" t="inlineStr">
        <x:is>
          <x:t xml:space="preserve">Available on request via PHI/PII addendum + BAA</x:t>
        </x:is>
      </x:c>
      <x:c r="E16" s="18" t="inlineStr">
        <x:is>
          <x:t xml:space="preserve">BAA template</x:t>
        </x:is>
      </x:c>
      <x:c r="F16" s="18" t="inlineStr">
        <x:is>
          <x:t xml:space="preserve">TODO</x:t>
        </x:is>
      </x:c>
    </x:row>
    <x:row r="17">
      <x:c r="B17" s="29" t="inlineStr">
        <x:is>
          <x:t xml:space="preserve">Compliance</x:t>
        </x:is>
      </x:c>
      <x:c r="C17" s="18" t="inlineStr">
        <x:is>
          <x:t xml:space="preserve">GDPR DPA available</x:t>
        </x:is>
      </x:c>
      <x:c r="D17" s="18" t="inlineStr">
        <x:is>
          <x:t xml:space="preserve">Yes, IAPP-based template</x:t>
        </x:is>
      </x:c>
      <x:c r="E17" s="18" t="inlineStr">
        <x:is>
          <x:t xml:space="preserve">DPA template</x:t>
        </x:is>
      </x:c>
      <x:c r="F17" s="18" t="inlineStr">
        <x:is>
          <x:t xml:space="preserve">TODO</x:t>
        </x:is>
      </x:c>
    </x:row>
    <x:row r="18">
      <x:c r="B18" s="29" t="inlineStr">
        <x:is>
          <x:t xml:space="preserve">Compliance</x:t>
        </x:is>
      </x:c>
      <x:c r="C18" s="18" t="inlineStr">
        <x:is>
          <x:t xml:space="preserve">Subprocessor list published</x:t>
        </x:is>
      </x:c>
      <x:c r="D18" s="18" t="inlineStr">
        <x:is>
          <x:t xml:space="preserve">abarva.com/subprocessors</x:t>
        </x:is>
      </x:c>
      <x:c r="E18" s="18" t="inlineStr">
        <x:is>
          <x:t xml:space="preserve">Web page</x:t>
        </x:is>
      </x:c>
      <x:c r="F18" s="18" t="inlineStr">
        <x:is>
          <x:t xml:space="preserve">TODO</x:t>
        </x:is>
      </x:c>
    </x:row>
    <x:row r="19">
      <x:c r="B19" s="29" t="inlineStr">
        <x:is>
          <x:t xml:space="preserve">Architecture</x:t>
        </x:is>
      </x:c>
      <x:c r="C19" s="18" t="inlineStr">
        <x:is>
          <x:t xml:space="preserve">Multi-tenant or single-tenant data isolation?</x:t>
        </x:is>
      </x:c>
      <x:c r="D19" s="18" t="inlineStr">
        <x:is>
          <x:t xml:space="preserve">Hybrid: multi-tenant control plane (Vercel) + per-client single-tenant data plane (client Azure subscription)</x:t>
        </x:is>
      </x:c>
      <x:c r="E19" s="18" t="inlineStr">
        <x:is>
          <x:t xml:space="preserve">Architecture ADR</x:t>
        </x:is>
      </x:c>
      <x:c r="F19" s="18" t="inlineStr">
        <x:is>
          <x:t xml:space="preserve">TODO</x:t>
        </x:is>
      </x:c>
    </x:row>
    <x:row r="20">
      <x:c r="B20" s="29" t="inlineStr">
        <x:is>
          <x:t xml:space="preserve">Architecture</x:t>
        </x:is>
      </x:c>
      <x:c r="C20" s="18" t="inlineStr">
        <x:is>
          <x:t xml:space="preserve">Where does customer data reside?</x:t>
        </x:is>
      </x:c>
      <x:c r="D20" s="18" t="inlineStr">
        <x:is>
          <x:t xml:space="preserve">In customer's Azure tenant (region of customer choice). Data never leaves customer tenant.</x:t>
        </x:is>
      </x:c>
      <x:c r="E20" s="18" t="inlineStr">
        <x:is>
          <x:t xml:space="preserve">Architecture diagram</x:t>
        </x:is>
      </x:c>
      <x:c r="F20" s="18" t="inlineStr">
        <x:is>
          <x:t xml:space="preserve">TODO</x:t>
        </x:is>
      </x:c>
    </x:row>
    <x:row r="21">
      <x:c r="B21" s="29" t="inlineStr">
        <x:is>
          <x:t xml:space="preserve">Architecture</x:t>
        </x:is>
      </x:c>
      <x:c r="C21" s="18" t="inlineStr">
        <x:is>
          <x:t xml:space="preserve">Encryption at rest</x:t>
        </x:is>
      </x:c>
      <x:c r="D21" s="18" t="inlineStr">
        <x:is>
          <x:t xml:space="preserve">AES-256 via Azure platform encryption + optional CMK</x:t>
        </x:is>
      </x:c>
      <x:c r="E21" s="18" t="inlineStr">
        <x:is>
          <x:t xml:space="preserve">Azure docs</x:t>
        </x:is>
      </x:c>
      <x:c r="F21" s="18" t="inlineStr">
        <x:is>
          <x:t xml:space="preserve">Done</x:t>
        </x:is>
      </x:c>
    </x:row>
    <x:row r="22">
      <x:c r="B22" s="29" t="inlineStr">
        <x:is>
          <x:t xml:space="preserve">Architecture</x:t>
        </x:is>
      </x:c>
      <x:c r="C22" s="18" t="inlineStr">
        <x:is>
          <x:t xml:space="preserve">Encryption in transit</x:t>
        </x:is>
      </x:c>
      <x:c r="D22" s="18" t="inlineStr">
        <x:is>
          <x:t xml:space="preserve">TLS 1.2+ end-to-end</x:t>
        </x:is>
      </x:c>
      <x:c r="E22" s="18" t="inlineStr">
        <x:is>
          <x:t xml:space="preserve">Vercel + Azure defaults</x:t>
        </x:is>
      </x:c>
      <x:c r="F22" s="18" t="inlineStr">
        <x:is>
          <x:t xml:space="preserve">Done</x:t>
        </x:is>
      </x:c>
    </x:row>
    <x:row r="23">
      <x:c r="B23" s="29" t="inlineStr">
        <x:is>
          <x:t xml:space="preserve">Architecture</x:t>
        </x:is>
      </x:c>
      <x:c r="C23" s="18" t="inlineStr">
        <x:is>
          <x:t xml:space="preserve">Customer-managed keys (CMK / BYOK)</x:t>
        </x:is>
      </x:c>
      <x:c r="D23" s="18" t="inlineStr">
        <x:is>
          <x:t xml:space="preserve">Available via Azure Key Vault on request</x:t>
        </x:is>
      </x:c>
      <x:c r="E23" s="18" t="inlineStr">
        <x:is>
          <x:t xml:space="preserve">Implementation plan</x:t>
        </x:is>
      </x:c>
      <x:c r="F23" s="18" t="inlineStr">
        <x:is>
          <x:t xml:space="preserve">TODO</x:t>
        </x:is>
      </x:c>
    </x:row>
    <x:row r="24">
      <x:c r="B24" s="29" t="inlineStr">
        <x:is>
          <x:t xml:space="preserve">Access</x:t>
        </x:is>
      </x:c>
      <x:c r="C24" s="18" t="inlineStr">
        <x:is>
          <x:t xml:space="preserve">SSO support (SAML / OIDC)</x:t>
        </x:is>
      </x:c>
      <x:c r="D24" s="18" t="inlineStr">
        <x:is>
          <x:t xml:space="preserve">Yes via Clerk Organizations — supports Entra ID, Okta, Ping, Google Workspace</x:t>
        </x:is>
      </x:c>
      <x:c r="E24" s="18" t="inlineStr">
        <x:is>
          <x:t xml:space="preserve">Clerk docs</x:t>
        </x:is>
      </x:c>
      <x:c r="F24" s="18" t="inlineStr">
        <x:is>
          <x:t xml:space="preserve">TODO</x:t>
        </x:is>
      </x:c>
    </x:row>
    <x:row r="25">
      <x:c r="B25" s="29" t="inlineStr">
        <x:is>
          <x:t xml:space="preserve">Access</x:t>
        </x:is>
      </x:c>
      <x:c r="C25" s="18" t="inlineStr">
        <x:is>
          <x:t xml:space="preserve">SCIM provisioning</x:t>
        </x:is>
      </x:c>
      <x:c r="D25" s="18" t="inlineStr">
        <x:is>
          <x:t xml:space="preserve">Yes via Clerk</x:t>
        </x:is>
      </x:c>
      <x:c r="E25" s="18" t="inlineStr">
        <x:is>
          <x:t xml:space="preserve">Clerk docs</x:t>
        </x:is>
      </x:c>
      <x:c r="F25" s="18" t="inlineStr">
        <x:is>
          <x:t xml:space="preserve">TODO</x:t>
        </x:is>
      </x:c>
    </x:row>
    <x:row r="26">
      <x:c r="B26" s="29" t="inlineStr">
        <x:is>
          <x:t xml:space="preserve">Access</x:t>
        </x:is>
      </x:c>
      <x:c r="C26" s="18" t="inlineStr">
        <x:is>
          <x:t xml:space="preserve">MFA enforcement</x:t>
        </x:is>
      </x:c>
      <x:c r="D26" s="18" t="inlineStr">
        <x:is>
          <x:t xml:space="preserve">Required for all users via Clerk</x:t>
        </x:is>
      </x:c>
      <x:c r="E26" s="18" t="inlineStr">
        <x:is>
          <x:t xml:space="preserve">Clerk policy</x:t>
        </x:is>
      </x:c>
      <x:c r="F26" s="18" t="inlineStr">
        <x:is>
          <x:t xml:space="preserve">TODO</x:t>
        </x:is>
      </x:c>
    </x:row>
    <x:row r="27">
      <x:c r="B27" s="29" t="inlineStr">
        <x:is>
          <x:t xml:space="preserve">Access</x:t>
        </x:is>
      </x:c>
      <x:c r="C27" s="18" t="inlineStr">
        <x:is>
          <x:t xml:space="preserve">RBAC granularity</x:t>
        </x:is>
      </x:c>
      <x:c r="D27" s="18" t="inlineStr">
        <x:is>
          <x:t xml:space="preserve">Role-based (admin, maestro, contributor, viewer) + per-user RLS on data plane</x:t>
        </x:is>
      </x:c>
      <x:c r="E27" s="18" t="inlineStr">
        <x:is>
          <x:t xml:space="preserve">Roles matrix</x:t>
        </x:is>
      </x:c>
      <x:c r="F27" s="18" t="inlineStr">
        <x:is>
          <x:t xml:space="preserve">TODO</x:t>
        </x:is>
      </x:c>
    </x:row>
    <x:row r="28">
      <x:c r="B28" s="29" t="inlineStr">
        <x:is>
          <x:t xml:space="preserve">Operations</x:t>
        </x:is>
      </x:c>
      <x:c r="C28" s="18" t="inlineStr">
        <x:is>
          <x:t xml:space="preserve">Uptime SLA offered</x:t>
        </x:is>
      </x:c>
      <x:c r="D28" s="18" t="inlineStr">
        <x:is>
          <x:t xml:space="preserve">99.5% monthly, credits up to 25% of monthly fee</x:t>
        </x:is>
      </x:c>
      <x:c r="E28" s="18" t="inlineStr">
        <x:is>
          <x:t xml:space="preserve">MSA section</x:t>
        </x:is>
      </x:c>
      <x:c r="F28" s="18" t="inlineStr">
        <x:is>
          <x:t xml:space="preserve">TODO</x:t>
        </x:is>
      </x:c>
    </x:row>
    <x:row r="29">
      <x:c r="B29" s="29" t="inlineStr">
        <x:is>
          <x:t xml:space="preserve">Operations</x:t>
        </x:is>
      </x:c>
      <x:c r="C29" s="18" t="inlineStr">
        <x:is>
          <x:t xml:space="preserve">RPO / RTO</x:t>
        </x:is>
      </x:c>
      <x:c r="D29" s="18" t="inlineStr">
        <x:is>
          <x:t xml:space="preserve">RPO 1 hour / RTO 4 hours</x:t>
        </x:is>
      </x:c>
      <x:c r="E29" s="18" t="inlineStr">
        <x:is>
          <x:t xml:space="preserve">DR runbook</x:t>
        </x:is>
      </x:c>
      <x:c r="F29" s="18" t="inlineStr">
        <x:is>
          <x:t xml:space="preserve">TODO</x:t>
        </x:is>
      </x:c>
    </x:row>
    <x:row r="30">
      <x:c r="B30" s="29" t="inlineStr">
        <x:is>
          <x:t xml:space="preserve">Operations</x:t>
        </x:is>
      </x:c>
      <x:c r="C30" s="18" t="inlineStr">
        <x:is>
          <x:t xml:space="preserve">Backup frequency and retention</x:t>
        </x:is>
      </x:c>
      <x:c r="D30" s="18" t="inlineStr">
        <x:is>
          <x:t xml:space="preserve">Daily snapshots, 30-day retention; weekly snapshots, 12-month retention</x:t>
        </x:is>
      </x:c>
      <x:c r="E30" s="18" t="inlineStr">
        <x:is>
          <x:t xml:space="preserve">Backup policy</x:t>
        </x:is>
      </x:c>
      <x:c r="F30" s="18" t="inlineStr">
        <x:is>
          <x:t xml:space="preserve">TODO</x:t>
        </x:is>
      </x:c>
    </x:row>
    <x:row r="31">
      <x:c r="B31" s="29" t="inlineStr">
        <x:is>
          <x:t xml:space="preserve">Operations</x:t>
        </x:is>
      </x:c>
      <x:c r="C31" s="18" t="inlineStr">
        <x:is>
          <x:t xml:space="preserve">Incident response SLA</x:t>
        </x:is>
      </x:c>
      <x:c r="D31" s="18" t="inlineStr">
        <x:is>
          <x:t xml:space="preserve">P1 1h response / 4h target restore; P2 next business day</x:t>
        </x:is>
      </x:c>
      <x:c r="E31" s="18" t="inlineStr">
        <x:is>
          <x:t xml:space="preserve">IR plan</x:t>
        </x:is>
      </x:c>
      <x:c r="F31" s="18" t="inlineStr">
        <x:is>
          <x:t xml:space="preserve">TODO</x:t>
        </x:is>
      </x:c>
    </x:row>
    <x:row r="32">
      <x:c r="B32" s="29" t="inlineStr">
        <x:is>
          <x:t xml:space="preserve">Operations</x:t>
        </x:is>
      </x:c>
      <x:c r="C32" s="18" t="inlineStr">
        <x:is>
          <x:t xml:space="preserve">Breach notification SLA</x:t>
        </x:is>
      </x:c>
      <x:c r="D32" s="18" t="inlineStr">
        <x:is>
          <x:t xml:space="preserve">72 hours from confirmed breach</x:t>
        </x:is>
      </x:c>
      <x:c r="E32" s="18" t="inlineStr">
        <x:is>
          <x:t xml:space="preserve">IR plan</x:t>
        </x:is>
      </x:c>
      <x:c r="F32" s="18" t="inlineStr">
        <x:is>
          <x:t xml:space="preserve">TODO</x:t>
        </x:is>
      </x:c>
    </x:row>
    <x:row r="33">
      <x:c r="B33" s="29" t="inlineStr">
        <x:is>
          <x:t xml:space="preserve">Operations</x:t>
        </x:is>
      </x:c>
      <x:c r="C33" s="18" t="inlineStr">
        <x:is>
          <x:t xml:space="preserve">Status page</x:t>
        </x:is>
      </x:c>
      <x:c r="D33" s="18" t="inlineStr">
        <x:is>
          <x:t xml:space="preserve">status.abarva.com (statuspage.io)</x:t>
        </x:is>
      </x:c>
      <x:c r="E33" s="18" t="inlineStr">
        <x:is>
          <x:t xml:space="preserve">Status page</x:t>
        </x:is>
      </x:c>
      <x:c r="F33" s="18" t="inlineStr">
        <x:is>
          <x:t xml:space="preserve">TODO</x:t>
        </x:is>
      </x:c>
    </x:row>
    <x:row r="34">
      <x:c r="B34" s="29" t="inlineStr">
        <x:is>
          <x:t xml:space="preserve">Operations</x:t>
        </x:is>
      </x:c>
      <x:c r="C34" s="18" t="inlineStr">
        <x:is>
          <x:t xml:space="preserve">Audit log retention</x:t>
        </x:is>
      </x:c>
      <x:c r="D34" s="18" t="inlineStr">
        <x:is>
          <x:t xml:space="preserve">12-24 months in Azure Immutable Blob Storage</x:t>
        </x:is>
      </x:c>
      <x:c r="E34" s="18" t="inlineStr">
        <x:is>
          <x:t xml:space="preserve">Audit log policy</x:t>
        </x:is>
      </x:c>
      <x:c r="F34" s="18" t="inlineStr">
        <x:is>
          <x:t xml:space="preserve">TODO</x:t>
        </x:is>
      </x:c>
    </x:row>
    <x:row r="35">
      <x:c r="B35" s="29" t="inlineStr">
        <x:is>
          <x:t xml:space="preserve">Security testing</x:t>
        </x:is>
      </x:c>
      <x:c r="C35" s="18" t="inlineStr">
        <x:is>
          <x:t xml:space="preserve">External penetration test cadence</x:t>
        </x:is>
      </x:c>
      <x:c r="D35" s="18" t="inlineStr">
        <x:is>
          <x:t xml:space="preserve">Annual via Cobalt/Bishop Fox; first test scheduled [date]</x:t>
        </x:is>
      </x:c>
      <x:c r="E35" s="18" t="inlineStr">
        <x:is>
          <x:t xml:space="preserve">Pen test report</x:t>
        </x:is>
      </x:c>
      <x:c r="F35" s="18" t="inlineStr">
        <x:is>
          <x:t xml:space="preserve">TODO</x:t>
        </x:is>
      </x:c>
    </x:row>
    <x:row r="36">
      <x:c r="B36" s="29" t="inlineStr">
        <x:is>
          <x:t xml:space="preserve">Security testing</x:t>
        </x:is>
      </x:c>
      <x:c r="C36" s="18" t="inlineStr">
        <x:is>
          <x:t xml:space="preserve">Internal vulnerability scanning</x:t>
        </x:is>
      </x:c>
      <x:c r="D36" s="18" t="inlineStr">
        <x:is>
          <x:t xml:space="preserve">Continuous via Vanta/Drata monitoring</x:t>
        </x:is>
      </x:c>
      <x:c r="E36" s="18" t="inlineStr">
        <x:is>
          <x:t xml:space="preserve">Vanta dashboard</x:t>
        </x:is>
      </x:c>
      <x:c r="F36" s="18" t="inlineStr">
        <x:is>
          <x:t xml:space="preserve">TODO</x:t>
        </x:is>
      </x:c>
    </x:row>
    <x:row r="37">
      <x:c r="B37" s="29" t="inlineStr">
        <x:is>
          <x:t xml:space="preserve">Personnel</x:t>
        </x:is>
      </x:c>
      <x:c r="C37" s="18" t="inlineStr">
        <x:is>
          <x:t xml:space="preserve">Background checks on personnel</x:t>
        </x:is>
      </x:c>
      <x:c r="D37" s="18" t="inlineStr">
        <x:is>
          <x:t xml:space="preserve">All personnel undergo standard background checks (Checkr)</x:t>
        </x:is>
      </x:c>
      <x:c r="E37" s="18" t="inlineStr">
        <x:is>
          <x:t xml:space="preserve">Checkr policy</x:t>
        </x:is>
      </x:c>
      <x:c r="F37" s="18" t="inlineStr">
        <x:is>
          <x:t xml:space="preserve">TODO</x:t>
        </x:is>
      </x:c>
    </x:row>
    <x:row r="38">
      <x:c r="B38" s="29" t="inlineStr">
        <x:is>
          <x:t xml:space="preserve">Personnel</x:t>
        </x:is>
      </x:c>
      <x:c r="C38" s="18" t="inlineStr">
        <x:is>
          <x:t xml:space="preserve">Security awareness training</x:t>
        </x:is>
      </x:c>
      <x:c r="D38" s="18" t="inlineStr">
        <x:is>
          <x:t xml:space="preserve">Annual via Vanta/Drata training module</x:t>
        </x:is>
      </x:c>
      <x:c r="E38" s="18" t="inlineStr">
        <x:is>
          <x:t xml:space="preserve">Training records</x:t>
        </x:is>
      </x:c>
      <x:c r="F38" s="18" t="inlineStr">
        <x:is>
          <x:t xml:space="preserve">TODO</x:t>
        </x:is>
      </x:c>
    </x:row>
    <x:row r="39">
      <x:c r="B39" s="29" t="inlineStr">
        <x:is>
          <x:t xml:space="preserve">Data</x:t>
        </x:is>
      </x:c>
      <x:c r="C39" s="18" t="inlineStr">
        <x:is>
          <x:t xml:space="preserve">Data return on termination</x:t>
        </x:is>
      </x:c>
      <x:c r="D39" s="18" t="inlineStr">
        <x:is>
          <x:t xml:space="preserve">Yes, within 30 days; written certification of deletion</x:t>
        </x:is>
      </x:c>
      <x:c r="E39" s="18" t="inlineStr">
        <x:is>
          <x:t xml:space="preserve">Termination runbook</x:t>
        </x:is>
      </x:c>
      <x:c r="F39" s="18" t="inlineStr">
        <x:is>
          <x:t xml:space="preserve">TODO</x:t>
        </x:is>
      </x:c>
    </x:row>
    <x:row r="40">
      <x:c r="B40" s="29" t="inlineStr">
        <x:is>
          <x:t xml:space="preserve">Data</x:t>
        </x:is>
      </x:c>
      <x:c r="C40" s="18" t="inlineStr">
        <x:is>
          <x:t xml:space="preserve">PHI/PII handling</x:t>
        </x:is>
      </x:c>
      <x:c r="D40" s="18" t="inlineStr">
        <x:is>
          <x:t xml:space="preserve">Pre-ingest scanner (Presidio); quarantine on detection; no PHI without prior BAA</x:t>
        </x:is>
      </x:c>
      <x:c r="E40" s="18" t="inlineStr">
        <x:is>
          <x:t xml:space="preserve">Scanner config</x:t>
        </x:is>
      </x:c>
      <x:c r="F40" s="18" t="inlineStr">
        <x:is>
          <x:t xml:space="preserve">TODO</x:t>
        </x:is>
      </x:c>
    </x:row>
    <x:row r="41">
      <x:c r="B41" s="29" t="inlineStr">
        <x:is>
          <x:t xml:space="preserve">AI / LLM</x:t>
        </x:is>
      </x:c>
      <x:c r="C41" s="18" t="inlineStr">
        <x:is>
          <x:t xml:space="preserve">Sub-processors used for AI inference</x:t>
        </x:is>
      </x:c>
      <x:c r="D41" s="18" t="inlineStr">
        <x:is>
          <x:t xml:space="preserve">Anthropic Claude, OpenAI (model details on request)</x:t>
        </x:is>
      </x:c>
      <x:c r="E41" s="18" t="inlineStr">
        <x:is>
          <x:t xml:space="preserve">Subprocessor page</x:t>
        </x:is>
      </x:c>
      <x:c r="F41" s="18" t="inlineStr">
        <x:is>
          <x:t xml:space="preserve">Done</x:t>
        </x:is>
      </x:c>
    </x:row>
    <x:row r="42">
      <x:c r="B42" s="29" t="inlineStr">
        <x:is>
          <x:t xml:space="preserve">AI / LLM</x:t>
        </x:is>
      </x:c>
      <x:c r="C42" s="18" t="inlineStr">
        <x:is>
          <x:t xml:space="preserve">Customer data used for model training</x:t>
        </x:is>
      </x:c>
      <x:c r="D42" s="18" t="inlineStr">
        <x:is>
          <x:t xml:space="preserve">Never. Zero data retention with all AI providers.</x:t>
        </x:is>
      </x:c>
      <x:c r="E42" s="18" t="inlineStr">
        <x:is>
          <x:t xml:space="preserve">Provider DPA + AI policy</x:t>
        </x:is>
      </x:c>
      <x:c r="F42" s="18" t="inlineStr">
        <x:is>
          <x:t xml:space="preserve">TODO</x:t>
        </x:is>
      </x:c>
    </x:row>
    <x:row r="43">
      <x:c r="B43" s="29" t="inlineStr">
        <x:is>
          <x:t xml:space="preserve">AI / LLM</x:t>
        </x:is>
      </x:c>
      <x:c r="C43" s="18" t="inlineStr">
        <x:is>
          <x:t xml:space="preserve">Prompt and output logging</x:t>
        </x:is>
      </x:c>
      <x:c r="D43" s="18" t="inlineStr">
        <x:is>
          <x:t xml:space="preserve">Logged in customer's data plane only; never sent to AbarVa control plane</x:t>
        </x:is>
      </x:c>
      <x:c r="E43" s="18" t="inlineStr">
        <x:is>
          <x:t xml:space="preserve">Logging architecture</x:t>
        </x:is>
      </x:c>
      <x:c r="F43" s="18" t="inlineStr">
        <x:is>
          <x:t xml:space="preserve">TODO</x:t>
        </x:is>
      </x:c>
    </x:row>
  </x:sheetData>
  <x:conditionalFormatting sqref="F6:F93">
    <x:cfRule type="cellIs" dxfId="6" priority="1" operator="equal">
      <x:formula>"TODO"</x:formula>
    </x:cfRule>
    <x:cfRule type="cellIs" dxfId="7" priority="2" operator="equal">
      <x:formula>"Done"</x:formula>
    </x:cfRule>
    <x:cfRule type="cellIs" dxfId="9" priority="3" operator="equal">
      <x:formula>"N/A"</x:formula>
    </x:cfRule>
  </x:conditionalFormatting>
  <x:dataValidations count="1">
    <x:dataValidation type="list" allowBlank="0" showDropDown="0" showInputMessage="0" showErrorMessage="0" sqref="F6:F93">
      <x:formula1>"TODO,Done,N/A"</x:formula1>
    </x:dataValidation>
  </x:dataValidation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2" customWidth="1"/>
    <x:col min="2" max="2" width="6" customWidth="1"/>
    <x:col min="3" max="3" width="22" customWidth="1"/>
    <x:col min="4" max="4" width="38" customWidth="1"/>
    <x:col min="5" max="5" width="42" customWidth="1"/>
    <x:col min="6" max="6" width="38" customWidth="1"/>
    <x:col min="7" max="7" width="38" customWidth="1"/>
  </x:cols>
  <x:sheetData>
    <x:row r="2">
      <x:c r="B2" s="1" t="inlineStr">
        <x:is>
          <x:t xml:space="preserve">Contract Redline Brief — 8 Non-Negotiables</x:t>
        </x:is>
      </x:c>
    </x:row>
    <x:row r="3">
      <x:c r="B3" s="2" t="inlineStr">
        <x:is>
          <x:t xml:space="preserve">Apply to every client MSA. Hold the line on top 3 (Liability, IP, MFN). Walk if needed.</x:t>
        </x:is>
      </x:c>
    </x:row>
    <x:row r="5">
      <x:c r="B5" s="8" t="inlineStr">
        <x:is>
          <x:t xml:space="preserve">#</x:t>
        </x:is>
      </x:c>
      <x:c r="C5" s="8" t="inlineStr">
        <x:is>
          <x:t xml:space="preserve">Clause</x:t>
        </x:is>
      </x:c>
      <x:c r="D5" s="8" t="inlineStr">
        <x:is>
          <x:t xml:space="preserve">Client default position</x:t>
        </x:is>
      </x:c>
      <x:c r="E5" s="8" t="inlineStr">
        <x:is>
          <x:t xml:space="preserve">Your must-change</x:t>
        </x:is>
      </x:c>
      <x:c r="F5" s="8" t="inlineStr">
        <x:is>
          <x:t xml:space="preserve">Fallback position</x:t>
        </x:is>
      </x:c>
      <x:c r="G5" s="8" t="inlineStr">
        <x:is>
          <x:t xml:space="preserve">Why it matters</x:t>
        </x:is>
      </x:c>
    </x:row>
    <x:row r="6">
      <x:c r="B6" s="8" t="inlineStr">
        <x:is>
          <x:t xml:space="preserve">1</x:t>
        </x:is>
      </x:c>
      <x:c r="C6" s="18" t="inlineStr">
        <x:is>
          <x:t xml:space="preserve">Liability cap</x:t>
        </x:is>
      </x:c>
      <x:c r="D6" s="18" t="inlineStr">
        <x:is>
          <x:t xml:space="preserve">Unlimited, or 'greater of $5M or fees paid'</x:t>
        </x:is>
      </x:c>
      <x:c r="E6" s="18" t="inlineStr">
        <x:is>
          <x:t xml:space="preserve">Cap at 12 months of fees paid in trailing period. Mutual.</x:t>
        </x:is>
      </x:c>
      <x:c r="F6" s="18" t="inlineStr">
        <x:is>
          <x:t xml:space="preserve">18-24 months. Anything &gt;2x ARR is dangerous.</x:t>
        </x:is>
      </x:c>
      <x:c r="G6" s="18" t="inlineStr">
        <x:is>
          <x:t xml:space="preserve">$900k ACV unlimited = bet-the-company on every bug.</x:t>
        </x:is>
      </x:c>
    </x:row>
    <x:row r="7">
      <x:c r="B7" s="8" t="inlineStr">
        <x:is>
          <x:t xml:space="preserve">2</x:t>
        </x:is>
      </x:c>
      <x:c r="C7" s="18" t="inlineStr">
        <x:is>
          <x:t xml:space="preserve">Indemnity scope</x:t>
        </x:is>
      </x:c>
      <x:c r="D7" s="18" t="inlineStr">
        <x:is>
          <x:t xml:space="preserve">Vendor indemnifies for 'any and all claims arising from services'</x:t>
        </x:is>
      </x:c>
      <x:c r="E7" s="18" t="inlineStr">
        <x:is>
          <x:t xml:space="preserve">Only: (a) third-party IP infringement by product, (b) gross negligence/willful misconduct, (c) breach of confidentiality. Mutual.</x:t>
        </x:is>
      </x:c>
      <x:c r="F7" s="18" t="inlineStr">
        <x:is>
          <x:t xml:space="preserve">Add data breach caused by your negligence, capped at liability cap.</x:t>
        </x:is>
      </x:c>
      <x:c r="G7" s="18" t="inlineStr">
        <x:is>
          <x:t xml:space="preserve">Broad indemnity = you owe their legal fees for anything a third party sues them over.</x:t>
        </x:is>
      </x:c>
    </x:row>
    <x:row r="8">
      <x:c r="B8" s="8" t="inlineStr">
        <x:is>
          <x:t xml:space="preserve">3</x:t>
        </x:is>
      </x:c>
      <x:c r="C8" s="18" t="inlineStr">
        <x:is>
          <x:t xml:space="preserve">IP ownership</x:t>
        </x:is>
      </x:c>
      <x:c r="D8" s="18" t="inlineStr">
        <x:is>
          <x:t xml:space="preserve">All work product, deliverables, derivatives, and improvements belong to Client</x:t>
        </x:is>
      </x:c>
      <x:c r="E8" s="18" t="inlineStr">
        <x:is>
          <x:t xml:space="preserve">AbarVa retains all IP in platform including improvements/learnings. Client owns only (a) their data, (b) their configs/content.</x:t>
        </x:is>
      </x:c>
      <x:c r="F8" s="18" t="inlineStr">
        <x:is>
          <x:t xml:space="preserve">Carve perpetual royalty-free license to them for anything custom; you still own it.</x:t>
        </x:is>
      </x:c>
      <x:c r="G8" s="18" t="inlineStr">
        <x:is>
          <x:t xml:space="preserve">This clause alone can kill the company. Forks = death.</x:t>
        </x:is>
      </x:c>
    </x:row>
    <x:row r="9">
      <x:c r="B9" s="8" t="inlineStr">
        <x:is>
          <x:t xml:space="preserve">4</x:t>
        </x:is>
      </x:c>
      <x:c r="C9" s="18" t="inlineStr">
        <x:is>
          <x:t xml:space="preserve">Most-favored-nation</x:t>
        </x:is>
      </x:c>
      <x:c r="D9" s="18" t="inlineStr">
        <x:is>
          <x:t xml:space="preserve">'Vendor warrants pricing is no higher than offered to similarly-situated customers'</x:t>
        </x:is>
      </x:c>
      <x:c r="E9" s="18" t="inlineStr">
        <x:is>
          <x:t xml:space="preserve">Strike entirely.</x:t>
        </x:is>
      </x:c>
      <x:c r="F9" s="18" t="inlineStr">
        <x:is>
          <x:t xml:space="preserve">Limit to: same product, same scope, same volume, same term — never comparable.</x:t>
        </x:is>
      </x:c>
      <x:c r="G9" s="18" t="inlineStr">
        <x:is>
          <x:t xml:space="preserve">Locks pricing forever. Future discount = retroactive refund.</x:t>
        </x:is>
      </x:c>
    </x:row>
    <x:row r="10">
      <x:c r="B10" s="8" t="inlineStr">
        <x:is>
          <x:t xml:space="preserve">5</x:t>
        </x:is>
      </x:c>
      <x:c r="C10" s="18" t="inlineStr">
        <x:is>
          <x:t xml:space="preserve">Termination for convenience</x:t>
        </x:is>
      </x:c>
      <x:c r="D10" s="18" t="inlineStr">
        <x:is>
          <x:t xml:space="preserve">Client may terminate any time with 30 days notice</x:t>
        </x:is>
      </x:c>
      <x:c r="E10" s="18" t="inlineStr">
        <x:is>
          <x:t xml:space="preserve">Pilot: no T4C (both committed). Year contract: 90-day notice; refund prepaid unused; no refund on setup fees.</x:t>
        </x:is>
      </x:c>
      <x:c r="F10" s="18" t="inlineStr">
        <x:is>
          <x:t xml:space="preserve">T4C after month 6 with 3-month kill fee.</x:t>
        </x:is>
      </x:c>
      <x:c r="G10" s="18" t="inlineStr">
        <x:is>
          <x:t xml:space="preserve">Without this, they extract value and walk. You've sunk implementation cost.</x:t>
        </x:is>
      </x:c>
    </x:row>
    <x:row r="11">
      <x:c r="B11" s="8" t="inlineStr">
        <x:is>
          <x:t xml:space="preserve">6</x:t>
        </x:is>
      </x:c>
      <x:c r="C11" s="18" t="inlineStr">
        <x:is>
          <x:t xml:space="preserve">Service levels &amp; credits</x:t>
        </x:is>
      </x:c>
      <x:c r="D11" s="18" t="inlineStr">
        <x:is>
          <x:t xml:space="preserve">99.9% uptime, escalating credits to 100% of monthly fee, breach = termination</x:t>
        </x:is>
      </x:c>
      <x:c r="E11" s="18" t="inlineStr">
        <x:is>
          <x:t xml:space="preserve">99.5% monthly. Exclusions for maintenance/force majeure/third-party. Credit cap 25%. Breach not a termination trigger unless 3 consecutive months.</x:t>
        </x:is>
      </x:c>
      <x:c r="F11" s="18" t="inlineStr">
        <x:is>
          <x:t xml:space="preserve">99.7% with cap at 50%.</x:t>
        </x:is>
      </x:c>
      <x:c r="G11" s="18" t="inlineStr">
        <x:is>
          <x:t xml:space="preserve">Solo founder can't deliver 99.99%. Don't promise it.</x:t>
        </x:is>
      </x:c>
    </x:row>
    <x:row r="12">
      <x:c r="B12" s="8" t="inlineStr">
        <x:is>
          <x:t xml:space="preserve">7</x:t>
        </x:is>
      </x:c>
      <x:c r="C12" s="18" t="inlineStr">
        <x:is>
          <x:t xml:space="preserve">Audit rights</x:t>
        </x:is>
      </x:c>
      <x:c r="D12" s="18" t="inlineStr">
        <x:is>
          <x:t xml:space="preserve">Client may audit Vendor books/systems/processes at any time on 5 days notice</x:t>
        </x:is>
      </x:c>
      <x:c r="E12" s="18" t="inlineStr">
        <x:is>
          <x:t xml:space="preserve">Once per year, mutually scheduled, scope limited to security/contract compliance, at requesting party cost, via mutually-agreed third party under NDA.</x:t>
        </x:is>
      </x:c>
      <x:c r="F12" s="18" t="inlineStr">
        <x:is>
          <x:t xml:space="preserve">Twice per year max.</x:t>
        </x:is>
      </x:c>
      <x:c r="G12" s="18" t="inlineStr">
        <x:is>
          <x:t xml:space="preserve">Without limits, audit fishing eats weeks of founder time.</x:t>
        </x:is>
      </x:c>
    </x:row>
    <x:row r="13">
      <x:c r="B13" s="8" t="inlineStr">
        <x:is>
          <x:t xml:space="preserve">8</x:t>
        </x:is>
      </x:c>
      <x:c r="C13" s="18" t="inlineStr">
        <x:is>
          <x:t xml:space="preserve">Assignment / change of control</x:t>
        </x:is>
      </x:c>
      <x:c r="D13" s="18" t="inlineStr">
        <x:is>
          <x:t xml:space="preserve">Vendor may not assign without Client consent</x:t>
        </x:is>
      </x:c>
      <x:c r="E13" s="18" t="inlineStr">
        <x:is>
          <x:t xml:space="preserve">Either party may assign in change of control, merger, or sale of substantially all assets, without consent.</x:t>
        </x:is>
      </x:c>
      <x:c r="F13" s="18" t="inlineStr">
        <x:is>
          <x:t xml:space="preserve">Consent not unreasonably withheld + deemed-granted if no response in 30 days.</x:t>
        </x:is>
      </x:c>
      <x:c r="G13" s="18" t="inlineStr">
        <x:is>
          <x:t xml:space="preserve">Without this carveout, every acquirer needs every customer sign-off. Kills exit.</x:t>
        </x:is>
      </x:c>
    </x:row>
    <x:row r="16">
      <x:c r="B16" s="5" t="inlineStr">
        <x:is>
          <x:t xml:space="preserve">Sleeper Clauses — also watch for</x:t>
        </x:is>
      </x:c>
    </x:row>
    <x:row r="17">
      <x:c r="B17" s="16" t="inlineStr">
        <x:is>
          <x:t xml:space="preserve">☐</x:t>
        </x:is>
      </x:c>
      <x:c r="C17" s="4" t="inlineStr">
        <x:is>
          <x:t xml:space="preserve">'Vendor shall comply with all Client policies, as updated from time to time' — refuse 'updated'; bind only to policies listed at signing</x:t>
        </x:is>
      </x:c>
    </x:row>
    <x:row r="18">
      <x:c r="B18" s="16" t="inlineStr">
        <x:is>
          <x:t xml:space="preserve">☐</x:t>
        </x:is>
      </x:c>
      <x:c r="C18" s="4" t="inlineStr">
        <x:is>
          <x:t xml:space="preserve">'Time is of the essence' — strike (makes every deadline a breach trigger)</x:t>
        </x:is>
      </x:c>
    </x:row>
    <x:row r="19">
      <x:c r="B19" s="16" t="inlineStr">
        <x:is>
          <x:t xml:space="preserve">☐</x:t>
        </x:is>
      </x:c>
      <x:c r="C19" s="4" t="inlineStr">
        <x:is>
          <x:t xml:space="preserve">'Vendor's personnel shall be subject to Client's approval' — limit to 'reasonable cause' or strike</x:t>
        </x:is>
      </x:c>
    </x:row>
    <x:row r="20">
      <x:c r="B20" s="16" t="inlineStr">
        <x:is>
          <x:t xml:space="preserve">☐</x:t>
        </x:is>
      </x:c>
      <x:c r="C20" s="4" t="inlineStr">
        <x:is>
          <x:t xml:space="preserve">Background check OK; resist drug testing as solo founder</x:t>
        </x:is>
      </x:c>
    </x:row>
    <x:row r="21">
      <x:c r="B21" s="16" t="inlineStr">
        <x:is>
          <x:t xml:space="preserve">☐</x:t>
        </x:is>
      </x:c>
      <x:c r="C21" s="4" t="inlineStr">
        <x:is>
          <x:t xml:space="preserve">Insurance amounts $10M+ — push back, match your binder ($2-5M), bump at year-2 if needed</x:t>
        </x:is>
      </x:c>
    </x:row>
    <x:row r="22">
      <x:c r="B22" s="16" t="inlineStr">
        <x:is>
          <x:t xml:space="preserve">☐</x:t>
        </x:is>
      </x:c>
      <x:c r="C22" s="4" t="inlineStr">
        <x:is>
          <x:t xml:space="preserve">'Vendor shall not work with competitors' — refuse; or limit to one named competitor for term</x:t>
        </x:is>
      </x:c>
    </x:row>
    <x:row r="23">
      <x:c r="B23" s="16" t="inlineStr">
        <x:is>
          <x:t xml:space="preserve">☐</x:t>
        </x:is>
      </x:c>
      <x:c r="C23" s="4" t="inlineStr">
        <x:is>
          <x:t xml:space="preserve">Source code escrow — accept; specify Iron Mountain; release triggers limited to bankruptcy/cessation</x:t>
        </x:is>
      </x:c>
    </x:row>
    <x:row r="24">
      <x:c r="B24" s="16" t="inlineStr">
        <x:is>
          <x:t xml:space="preserve">☐</x:t>
        </x:is>
      </x:c>
      <x:c r="C24" s="4" t="inlineStr">
        <x:is>
          <x:t xml:space="preserve">Right to inject security tools into your systems — refuse; security must stay in your control</x:t>
        </x:is>
      </x:c>
    </x:row>
    <x:row r="25">
      <x:c r="B25" s="16" t="inlineStr">
        <x:is>
          <x:t xml:space="preserve">☐</x:t>
        </x:is>
      </x:c>
      <x:c r="C25" s="4" t="inlineStr">
        <x:is>
          <x:t xml:space="preserve">Liquidated damages (pre-set penalties) — strike; use SLA credits instead</x:t>
        </x:is>
      </x:c>
    </x:row>
    <x:row r="26">
      <x:c r="B26" s="16" t="inlineStr">
        <x:is>
          <x:t xml:space="preserve">☐</x:t>
        </x:is>
      </x:c>
      <x:c r="C26" s="4" t="inlineStr">
        <x:is>
          <x:t xml:space="preserve">'Services will meet Client business requirements' (subjective) — change to 'materially conform to documented specs'</x:t>
        </x:is>
      </x:c>
    </x:row>
    <x:row r="27">
      <x:c r="B27" s="16" t="inlineStr">
        <x:is>
          <x:t xml:space="preserve">☐</x:t>
        </x:is>
      </x:c>
      <x:c r="C27" s="4" t="inlineStr">
        <x:is>
          <x:t xml:space="preserve">Data location/sovereignty for international clients — pre-think: 'Data resides in [region] Azure; cross-region not supported without addendum'</x:t>
        </x:is>
      </x:c>
    </x:row>
    <x:row r="30">
      <x:c r="B30" s="5" t="inlineStr">
        <x:is>
          <x:t xml:space="preserve">NDA-Specific Redlines (usually arrives first)</x:t>
        </x:is>
      </x:c>
    </x:row>
    <x:row r="31">
      <x:c r="B31" s="16" t="inlineStr">
        <x:is>
          <x:t xml:space="preserve">☐</x:t>
        </x:is>
      </x:c>
      <x:c r="C31" s="4" t="inlineStr">
        <x:is>
          <x:t xml:space="preserve">Strike any IP-assignment clause ('IP created during evaluation belongs to Client')</x:t>
        </x:is>
      </x:c>
    </x:row>
    <x:row r="32">
      <x:c r="B32" s="16" t="inlineStr">
        <x:is>
          <x:t xml:space="preserve">☐</x:t>
        </x:is>
      </x:c>
      <x:c r="C32" s="4" t="inlineStr">
        <x:is>
          <x:t xml:space="preserve">Strike or narrow non-solicit of customers (blocks you from competitors)</x:t>
        </x:is>
      </x:c>
    </x:row>
    <x:row r="33">
      <x:c r="B33" s="16" t="inlineStr">
        <x:is>
          <x:t xml:space="preserve">☐</x:t>
        </x:is>
      </x:c>
      <x:c r="C33" s="4" t="inlineStr">
        <x:is>
          <x:t xml:space="preserve">Add publicity carveout: 'Vendor may include Client in customer list and use logo with prior written consent'</x:t>
        </x:is>
      </x:c>
    </x:row>
    <x:row r="34">
      <x:c r="B34" s="16" t="inlineStr">
        <x:is>
          <x:t xml:space="preserve">☐</x:t>
        </x:is>
      </x:c>
      <x:c r="C34" s="4" t="inlineStr">
        <x:is>
          <x:t xml:space="preserve">Cap term at 2-3 years (not 5+)</x:t>
        </x:is>
      </x:c>
    </x:row>
    <x:row r="35">
      <x:c r="B35" s="16" t="inlineStr">
        <x:is>
          <x:t xml:space="preserve">☐</x:t>
        </x:is>
      </x:c>
      <x:c r="C35" s="4" t="inlineStr">
        <x:is>
          <x:t xml:space="preserve">Insist on residual knowledge clause (protects what you remember in your head)</x:t>
        </x:is>
      </x:c>
    </x:row>
  </x:sheetData>
  <x:mergeCells>
    <x:mergeCell ref="B16:G16"/>
    <x:mergeCell ref="C35:G35"/>
    <x:mergeCell ref="C21:G21"/>
    <x:mergeCell ref="C20:G20"/>
    <x:mergeCell ref="C34:G34"/>
    <x:mergeCell ref="C32:G32"/>
    <x:mergeCell ref="C24:G24"/>
    <x:mergeCell ref="B30:G30"/>
    <x:mergeCell ref="C33:G33"/>
    <x:mergeCell ref="C25:G25"/>
    <x:mergeCell ref="C27:G27"/>
    <x:mergeCell ref="C19:G19"/>
    <x:mergeCell ref="C31:G31"/>
    <x:mergeCell ref="C23:G23"/>
    <x:mergeCell ref="C22:G22"/>
    <x:mergeCell ref="C18:G18"/>
    <x:mergeCell ref="C17:G17"/>
    <x:mergeCell ref="C26:G26"/>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 customWidth="1"/>
    <x:col min="2" max="2" width="5" customWidth="1"/>
    <x:col min="3" max="3" width="50" customWidth="1"/>
    <x:col min="4" max="4" width="12" customWidth="1"/>
    <x:col min="5" max="5" width="10" customWidth="1"/>
    <x:col min="6" max="6" width="8" customWidth="1"/>
    <x:col min="7" max="7" width="60" customWidth="1"/>
    <x:col min="8" max="8" width="10" customWidth="1"/>
    <x:col min="9" max="9" width="12" customWidth="1"/>
  </x:cols>
  <x:sheetData>
    <x:row r="2">
      <x:c r="B2" s="1" t="inlineStr">
        <x:is>
          <x:t xml:space="preserve">Risk Register</x:t>
        </x:is>
      </x:c>
    </x:row>
    <x:row r="3">
      <x:c r="B3" s="2" t="inlineStr">
        <x:is>
          <x:t xml:space="preserve">Likelihood × Impact (1=Low, 5=High). Score = L × I. Sort descending to triage.</x:t>
        </x:is>
      </x:c>
    </x:row>
    <x:row r="5">
      <x:c r="B5" s="8" t="inlineStr">
        <x:is>
          <x:t xml:space="preserve">#</x:t>
        </x:is>
      </x:c>
      <x:c r="C5" s="8" t="inlineStr">
        <x:is>
          <x:t xml:space="preserve">Risk</x:t>
        </x:is>
      </x:c>
      <x:c r="D5" s="8" t="inlineStr">
        <x:is>
          <x:t xml:space="preserve">Likelihood (1-5)</x:t>
        </x:is>
      </x:c>
      <x:c r="E5" s="8" t="inlineStr">
        <x:is>
          <x:t xml:space="preserve">Impact (1-5)</x:t>
        </x:is>
      </x:c>
      <x:c r="F5" s="8" t="inlineStr">
        <x:is>
          <x:t xml:space="preserve">Score</x:t>
        </x:is>
      </x:c>
      <x:c r="G5" s="8" t="inlineStr">
        <x:is>
          <x:t xml:space="preserve">Mitigation</x:t>
        </x:is>
      </x:c>
      <x:c r="H5" s="8" t="inlineStr">
        <x:is>
          <x:t xml:space="preserve">Owner</x:t>
        </x:is>
      </x:c>
      <x:c r="I5" s="8" t="inlineStr">
        <x:is>
          <x:t xml:space="preserve">Status</x:t>
        </x:is>
      </x:c>
    </x:row>
    <x:row r="6">
      <x:c r="B6" s="9" t="n">
        <x:v>1</x:v>
      </x:c>
      <x:c r="C6" s="18" t="inlineStr">
        <x:is>
          <x:t xml:space="preserve">Client demands unlimited liability — refuses to budge</x:t>
        </x:is>
      </x:c>
      <x:c r="D6" s="9" t="n">
        <x:v>4</x:v>
      </x:c>
      <x:c r="E6" s="9" t="n">
        <x:v>5</x:v>
      </x:c>
      <x:c r="F6" s="30" t="n">
        <x:f>D6*E6</x:f>
        <x:v>20</x:v>
      </x:c>
      <x:c r="G6" s="18" t="inlineStr">
        <x:is>
          <x:t xml:space="preserve">Walk if pushed past 2x ACV cap; have lawyer pre-script position</x:t>
        </x:is>
      </x:c>
      <x:c r="H6" s="18" t="inlineStr">
        <x:is>
          <x:t xml:space="preserve">Anand</x:t>
        </x:is>
      </x:c>
      <x:c r="I6" s="18" t="inlineStr">
        <x:is>
          <x:t xml:space="preserve">Open</x:t>
        </x:is>
      </x:c>
    </x:row>
    <x:row r="7">
      <x:c r="B7" s="9" t="n">
        <x:v>2</x:v>
      </x:c>
      <x:c r="C7" s="18" t="inlineStr">
        <x:is>
          <x:t xml:space="preserve">Client IP clause assigns improvements to them</x:t>
        </x:is>
      </x:c>
      <x:c r="D7" s="9" t="n">
        <x:v>4</x:v>
      </x:c>
      <x:c r="E7" s="9" t="n">
        <x:v>5</x:v>
      </x:c>
      <x:c r="F7" s="30" t="n">
        <x:f>D7*E7</x:f>
        <x:v>20</x:v>
      </x:c>
      <x:c r="G7" s="18" t="inlineStr">
        <x:is>
          <x:t xml:space="preserve">Hard-stop redline; carve perpetual license instead</x:t>
        </x:is>
      </x:c>
      <x:c r="H7" s="18" t="inlineStr">
        <x:is>
          <x:t xml:space="preserve">Anand</x:t>
        </x:is>
      </x:c>
      <x:c r="I7" s="18" t="inlineStr">
        <x:is>
          <x:t xml:space="preserve">Open</x:t>
        </x:is>
      </x:c>
    </x:row>
    <x:row r="8">
      <x:c r="B8" s="9" t="n">
        <x:v>3</x:v>
      </x:c>
      <x:c r="C8" s="18" t="inlineStr">
        <x:is>
          <x:t xml:space="preserve">Net 60/90 payment terms starve cash</x:t>
        </x:is>
      </x:c>
      <x:c r="D8" s="9" t="n">
        <x:v>5</x:v>
      </x:c>
      <x:c r="E8" s="9" t="n">
        <x:v>4</x:v>
      </x:c>
      <x:c r="F8" s="30" t="n">
        <x:f>D8*E8</x:f>
        <x:v>20</x:v>
      </x:c>
      <x:c r="G8" s="18" t="inlineStr">
        <x:is>
          <x:t xml:space="preserve">Insist on Net 30 or annual pre-pay; offer 7.5% discount for pre-pay</x:t>
        </x:is>
      </x:c>
      <x:c r="H8" s="18" t="inlineStr">
        <x:is>
          <x:t xml:space="preserve">Anand</x:t>
        </x:is>
      </x:c>
      <x:c r="I8" s="18" t="inlineStr">
        <x:is>
          <x:t xml:space="preserve">Open</x:t>
        </x:is>
      </x:c>
    </x:row>
    <x:row r="9">
      <x:c r="B9" s="9" t="n">
        <x:v>4</x:v>
      </x:c>
      <x:c r="C9" s="18" t="inlineStr">
        <x:is>
          <x:t xml:space="preserve">Solo founder = key-person risk in their security review</x:t>
        </x:is>
      </x:c>
      <x:c r="D9" s="9" t="n">
        <x:v>5</x:v>
      </x:c>
      <x:c r="E9" s="9" t="n">
        <x:v>3</x:v>
      </x:c>
      <x:c r="F9" s="30" t="n">
        <x:f>D9*E9</x:f>
        <x:v>15</x:v>
      </x:c>
      <x:c r="G9" s="18" t="inlineStr">
        <x:is>
          <x:t xml:space="preserve">Address in SOW with documented runbooks; commit to hire by month 6</x:t>
        </x:is>
      </x:c>
      <x:c r="H9" s="18" t="inlineStr">
        <x:is>
          <x:t xml:space="preserve">Anand</x:t>
        </x:is>
      </x:c>
      <x:c r="I9" s="18" t="inlineStr">
        <x:is>
          <x:t xml:space="preserve">Open</x:t>
        </x:is>
      </x:c>
    </x:row>
    <x:row r="10">
      <x:c r="B10" s="9" t="n">
        <x:v>5</x:v>
      </x:c>
      <x:c r="C10" s="18" t="inlineStr">
        <x:is>
          <x:t xml:space="preserve">Token consumption blows past cap, eats margin</x:t>
        </x:is>
      </x:c>
      <x:c r="D10" s="9" t="n">
        <x:v>4</x:v>
      </x:c>
      <x:c r="E10" s="9" t="n">
        <x:v>4</x:v>
      </x:c>
      <x:c r="F10" s="30" t="n">
        <x:f>D10*E10</x:f>
        <x:v>16</x:v>
      </x:c>
      <x:c r="G10" s="18" t="inlineStr">
        <x:is>
          <x:t xml:space="preserve">Hard cap in code; weekly meter shared with client; overage at cost+20%</x:t>
        </x:is>
      </x:c>
      <x:c r="H10" s="18" t="inlineStr">
        <x:is>
          <x:t xml:space="preserve">Anand</x:t>
        </x:is>
      </x:c>
      <x:c r="I10" s="18" t="inlineStr">
        <x:is>
          <x:t xml:space="preserve">Open</x:t>
        </x:is>
      </x:c>
    </x:row>
    <x:row r="11">
      <x:c r="B11" s="9" t="n">
        <x:v>6</x:v>
      </x:c>
      <x:c r="C11" s="18" t="inlineStr">
        <x:is>
          <x:t xml:space="preserve">Accidental PHI upload by client user — no BAA in place</x:t>
        </x:is>
      </x:c>
      <x:c r="D11" s="9" t="n">
        <x:v>3</x:v>
      </x:c>
      <x:c r="E11" s="9" t="n">
        <x:v>5</x:v>
      </x:c>
      <x:c r="F11" s="30" t="n">
        <x:f>D11*E11</x:f>
        <x:v>15</x:v>
      </x:c>
      <x:c r="G11" s="18" t="inlineStr">
        <x:is>
          <x:t xml:space="preserve">Presidio pre-ingest scanner + quarantine + AUP language in SOW</x:t>
        </x:is>
      </x:c>
      <x:c r="H11" s="18" t="inlineStr">
        <x:is>
          <x:t xml:space="preserve">Anand</x:t>
        </x:is>
      </x:c>
      <x:c r="I11" s="18" t="inlineStr">
        <x:is>
          <x:t xml:space="preserve">Open</x:t>
        </x:is>
      </x:c>
    </x:row>
    <x:row r="12">
      <x:c r="B12" s="9" t="n">
        <x:v>7</x:v>
      </x:c>
      <x:c r="C12" s="18" t="inlineStr">
        <x:is>
          <x:t xml:space="preserve">SOC 2 not done by pilot signing</x:t>
        </x:is>
      </x:c>
      <x:c r="D12" s="9" t="n">
        <x:v>4</x:v>
      </x:c>
      <x:c r="E12" s="9" t="n">
        <x:v>3</x:v>
      </x:c>
      <x:c r="F12" s="30" t="n">
        <x:f>D12*E12</x:f>
        <x:v>12</x:v>
      </x:c>
      <x:c r="G12" s="18" t="inlineStr">
        <x:is>
          <x:t xml:space="preserve">Type 1 'in progress with Vanta, target [date]' usually sufficient</x:t>
        </x:is>
      </x:c>
      <x:c r="H12" s="18" t="inlineStr">
        <x:is>
          <x:t xml:space="preserve">Anand</x:t>
        </x:is>
      </x:c>
      <x:c r="I12" s="18" t="inlineStr">
        <x:is>
          <x:t xml:space="preserve">Open</x:t>
        </x:is>
      </x:c>
    </x:row>
    <x:row r="13">
      <x:c r="B13" s="9" t="n">
        <x:v>8</x:v>
      </x:c>
      <x:c r="C13" s="18" t="inlineStr">
        <x:is>
          <x:t xml:space="preserve">Pen test scheduling slips into pilot window</x:t>
        </x:is>
      </x:c>
      <x:c r="D13" s="9" t="n">
        <x:v>4</x:v>
      </x:c>
      <x:c r="E13" s="9" t="n">
        <x:v>3</x:v>
      </x:c>
      <x:c r="F13" s="30" t="n">
        <x:f>D13*E13</x:f>
        <x:v>12</x:v>
      </x:c>
      <x:c r="G13" s="18" t="inlineStr">
        <x:is>
          <x:t xml:space="preserve">Book Cobalt 4 weeks out; share report under NDA mid-pilot if needed</x:t>
        </x:is>
      </x:c>
      <x:c r="H13" s="18" t="inlineStr">
        <x:is>
          <x:t xml:space="preserve">Anand</x:t>
        </x:is>
      </x:c>
      <x:c r="I13" s="18" t="inlineStr">
        <x:is>
          <x:t xml:space="preserve">Open</x:t>
        </x:is>
      </x:c>
    </x:row>
    <x:row r="14">
      <x:c r="B14" s="9" t="n">
        <x:v>9</x:v>
      </x:c>
      <x:c r="C14" s="18" t="inlineStr">
        <x:is>
          <x:t xml:space="preserve">SSO integration with client Entra ID hits unknown edge case</x:t>
        </x:is>
      </x:c>
      <x:c r="D14" s="9" t="n">
        <x:v>3</x:v>
      </x:c>
      <x:c r="E14" s="9" t="n">
        <x:v>4</x:v>
      </x:c>
      <x:c r="F14" s="30" t="n">
        <x:f>D14*E14</x:f>
        <x:v>12</x:v>
      </x:c>
      <x:c r="G14" s="18" t="inlineStr">
        <x:is>
          <x:t xml:space="preserve">Clerk B2B handles 95%; budget 2-day spike before kickoff for testing</x:t>
        </x:is>
      </x:c>
      <x:c r="H14" s="18" t="inlineStr">
        <x:is>
          <x:t xml:space="preserve">Anand</x:t>
        </x:is>
      </x:c>
      <x:c r="I14" s="18" t="inlineStr">
        <x:is>
          <x:t xml:space="preserve">Open</x:t>
        </x:is>
      </x:c>
    </x:row>
    <x:row r="15">
      <x:c r="B15" s="9" t="n">
        <x:v>10</x:v>
      </x:c>
      <x:c r="C15" s="18" t="inlineStr">
        <x:is>
          <x:t xml:space="preserve">Client demands custom feature fork during pilot</x:t>
        </x:is>
      </x:c>
      <x:c r="D15" s="9" t="n">
        <x:v>5</x:v>
      </x:c>
      <x:c r="E15" s="9" t="n">
        <x:v>4</x:v>
      </x:c>
      <x:c r="F15" s="30" t="n">
        <x:f>D15*E15</x:f>
        <x:v>20</x:v>
      </x:c>
      <x:c r="G15" s="18" t="inlineStr">
        <x:is>
          <x:t xml:space="preserve">SOW language: AbarVa owns roadmap; custom = change order at $400/hr or roadmap inclusion</x:t>
        </x:is>
      </x:c>
      <x:c r="H15" s="18" t="inlineStr">
        <x:is>
          <x:t xml:space="preserve">Anand</x:t>
        </x:is>
      </x:c>
      <x:c r="I15" s="18" t="inlineStr">
        <x:is>
          <x:t xml:space="preserve">Open</x:t>
        </x:is>
      </x:c>
    </x:row>
    <x:row r="16">
      <x:c r="B16" s="9" t="n">
        <x:v>11</x:v>
      </x:c>
      <x:c r="C16" s="18" t="inlineStr">
        <x:is>
          <x:t xml:space="preserve">Insurance underwriting delayed past signing date</x:t>
        </x:is>
      </x:c>
      <x:c r="D16" s="9" t="n">
        <x:v>3</x:v>
      </x:c>
      <x:c r="E16" s="9" t="n">
        <x:v>4</x:v>
      </x:c>
      <x:c r="F16" s="30" t="n">
        <x:f>D16*E16</x:f>
        <x:v>12</x:v>
      </x:c>
      <x:c r="G16" s="18" t="inlineStr">
        <x:is>
          <x:t xml:space="preserve">Quote in Week 1; bind 2 weeks before; have COI ready</x:t>
        </x:is>
      </x:c>
      <x:c r="H16" s="18" t="inlineStr">
        <x:is>
          <x:t xml:space="preserve">Anand</x:t>
        </x:is>
      </x:c>
      <x:c r="I16" s="18" t="inlineStr">
        <x:is>
          <x:t xml:space="preserve">Open</x:t>
        </x:is>
      </x:c>
    </x:row>
    <x:row r="17">
      <x:c r="B17" s="9" t="n">
        <x:v>12</x:v>
      </x:c>
      <x:c r="C17" s="18" t="inlineStr">
        <x:is>
          <x:t xml:space="preserve">Lawyer fees blow past $10k budget on first deal</x:t>
        </x:is>
      </x:c>
      <x:c r="D17" s="9" t="n">
        <x:v>3</x:v>
      </x:c>
      <x:c r="E17" s="9" t="n">
        <x:v>2</x:v>
      </x:c>
      <x:c r="F17" s="30" t="n">
        <x:f>D17*E17</x:f>
        <x:v>6</x:v>
      </x:c>
      <x:c r="G17" s="18" t="inlineStr">
        <x:is>
          <x:t xml:space="preserve">Cap engagement at fixed fee; redline brief reduces back-and-forth</x:t>
        </x:is>
      </x:c>
      <x:c r="H17" s="18" t="inlineStr">
        <x:is>
          <x:t xml:space="preserve">Anand</x:t>
        </x:is>
      </x:c>
      <x:c r="I17" s="18" t="inlineStr">
        <x:is>
          <x:t xml:space="preserve">Open</x:t>
        </x:is>
      </x:c>
    </x:row>
    <x:row r="18">
      <x:c r="B18" s="9" t="n">
        <x:v>13</x:v>
      </x:c>
      <x:c r="C18" s="18" t="inlineStr">
        <x:is>
          <x:t xml:space="preserve">Pilot success criteria are vague — month-3 conversion stalls</x:t>
        </x:is>
      </x:c>
      <x:c r="D18" s="9" t="n">
        <x:v>4</x:v>
      </x:c>
      <x:c r="E18" s="9" t="n">
        <x:v>5</x:v>
      </x:c>
      <x:c r="F18" s="30" t="n">
        <x:f>D18*E18</x:f>
        <x:v>20</x:v>
      </x:c>
      <x:c r="G18" s="18" t="inlineStr">
        <x:is>
          <x:t xml:space="preserve">Lock criteria pre-signing; auto-convert unless opt-out with cause</x:t>
        </x:is>
      </x:c>
      <x:c r="H18" s="18" t="inlineStr">
        <x:is>
          <x:t xml:space="preserve">Anand</x:t>
        </x:is>
      </x:c>
      <x:c r="I18" s="18" t="inlineStr">
        <x:is>
          <x:t xml:space="preserve">Open</x:t>
        </x:is>
      </x:c>
    </x:row>
    <x:row r="19">
      <x:c r="B19" s="9" t="n">
        <x:v>14</x:v>
      </x:c>
      <x:c r="C19" s="18" t="inlineStr">
        <x:is>
          <x:t xml:space="preserve">Founder time consumed by operations, no time for product</x:t>
        </x:is>
      </x:c>
      <x:c r="D19" s="9" t="n">
        <x:v>5</x:v>
      </x:c>
      <x:c r="E19" s="9" t="n">
        <x:v>4</x:v>
      </x:c>
      <x:c r="F19" s="30" t="n">
        <x:f>D19*E19</x:f>
        <x:v>20</x:v>
      </x:c>
      <x:c r="G19" s="18" t="inlineStr">
        <x:is>
          <x:t xml:space="preserve">Build admin/ops surface for self-service; weekly cadence not daily</x:t>
        </x:is>
      </x:c>
      <x:c r="H19" s="18" t="inlineStr">
        <x:is>
          <x:t xml:space="preserve">Anand</x:t>
        </x:is>
      </x:c>
      <x:c r="I19" s="18" t="inlineStr">
        <x:is>
          <x:t xml:space="preserve">Open</x:t>
        </x:is>
      </x:c>
    </x:row>
    <x:row r="20">
      <x:c r="B20" s="9" t="n">
        <x:v>15</x:v>
      </x:c>
      <x:c r="C20" s="18" t="inlineStr">
        <x:is>
          <x:t xml:space="preserve">Client requires CMK/BYOK on day 1</x:t>
        </x:is>
      </x:c>
      <x:c r="D20" s="9" t="n">
        <x:v>2</x:v>
      </x:c>
      <x:c r="E20" s="9" t="n">
        <x:v>3</x:v>
      </x:c>
      <x:c r="F20" s="30" t="n">
        <x:f>D20*E20</x:f>
        <x:v>6</x:v>
      </x:c>
      <x:c r="G20" s="18" t="inlineStr">
        <x:is>
          <x:t xml:space="preserve">Azure Key Vault path documented; build only if asked</x:t>
        </x:is>
      </x:c>
      <x:c r="H20" s="18" t="inlineStr">
        <x:is>
          <x:t xml:space="preserve">Anand</x:t>
        </x:is>
      </x:c>
      <x:c r="I20" s="18" t="inlineStr">
        <x:is>
          <x:t xml:space="preserve">Open</x:t>
        </x:is>
      </x:c>
    </x:row>
  </x:sheetData>
  <x:conditionalFormatting sqref="F6:F70">
    <x:cfRule type="cellIs" dxfId="10" priority="1" operator="greaterThanOrEqual">
      <x:formula>15</x:formula>
    </x:cfRule>
    <x:cfRule type="cellIs" dxfId="11" priority="2" operator="between">
      <x:formula>8</x:formula>
      <x:formula>14</x:formula>
    </x:cfRule>
    <x:cfRule type="cellIs" dxfId="12" priority="3" operator="lessThanOrEqual">
      <x:formula>7</x:formula>
    </x:cfRule>
  </x:conditionalFormatting>
  <x:dataValidations count="1">
    <x:dataValidation type="list" allowBlank="0" showDropDown="0" showInputMessage="0" showErrorMessage="0" sqref="I6:I70">
      <x:formula1>"Open,Mitigated,Accepted,Closed"</x:formula1>
    </x:dataValidation>
  </x:dataValidations>
  <x:pageMargins left="0.7" right="0.7" top="0.75" bottom="0.75" header="0.3" footer="0.3"/>
</x:worksheet>
</file>