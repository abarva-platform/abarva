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f930a70497f45ca" /></Relationships>
</file>

<file path=xl/workbook.xml><?xml version="1.0" encoding="utf-8"?>
<x:workbook xmlns:x="http://schemas.openxmlformats.org/spreadsheetml/2006/main">
  <x:sheets>
    <x:sheet xmlns:r="http://schemas.openxmlformats.org/officeDocument/2006/relationships" name="README" sheetId="1" r:id="R2fa155bca9184c28"/>
    <x:sheet xmlns:r="http://schemas.openxmlformats.org/officeDocument/2006/relationships" name="Dashboard" sheetId="2" r:id="Ra751f8589b5f4dc3"/>
    <x:sheet xmlns:r="http://schemas.openxmlformats.org/officeDocument/2006/relationships" name="Plan" sheetId="3" r:id="R2ba836e4f62f4681"/>
    <x:sheet xmlns:r="http://schemas.openxmlformats.org/officeDocument/2006/relationships" name="Codex Queue" sheetId="4" r:id="Rcd96f3fadf154750"/>
    <x:sheet xmlns:r="http://schemas.openxmlformats.org/officeDocument/2006/relationships" name="Governance" sheetId="5" r:id="Re2f9f7c512b6412f"/>
    <x:sheet xmlns:r="http://schemas.openxmlformats.org/officeDocument/2006/relationships" name="Pricing" sheetId="6" r:id="R3a9496baee504c9d"/>
    <x:sheet xmlns:r="http://schemas.openxmlformats.org/officeDocument/2006/relationships" name="Cost Model" sheetId="7" r:id="R003202e93e884977"/>
    <x:sheet xmlns:r="http://schemas.openxmlformats.org/officeDocument/2006/relationships" name="BC - PHS" sheetId="8" r:id="Rb50ecf56ccf74679"/>
    <x:sheet xmlns:r="http://schemas.openxmlformats.org/officeDocument/2006/relationships" name="BC - Surekha" sheetId="9" r:id="R3fda1d3bdfe44112"/>
    <x:sheet xmlns:r="http://schemas.openxmlformats.org/officeDocument/2006/relationships" name="BC - Delta" sheetId="10" r:id="R9a8442473fe54da2"/>
    <x:sheet xmlns:r="http://schemas.openxmlformats.org/officeDocument/2006/relationships" name="Security Pack" sheetId="11" r:id="R1a189b3f5ce14818"/>
    <x:sheet xmlns:r="http://schemas.openxmlformats.org/officeDocument/2006/relationships" name="Redline Brief" sheetId="12" r:id="R3152d3b9b0544921"/>
    <x:sheet xmlns:r="http://schemas.openxmlformats.org/officeDocument/2006/relationships" name="Risks" sheetId="13" r:id="R1437e39d35404035"/>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164" formatCode="0.0%"/>
    <x:numFmt numFmtId="165" formatCode="$#,##0"/>
    <x:numFmt numFmtId="166" formatCode="$#,##0.00"/>
    <x:numFmt numFmtId="167" formatCode="$#,##0;($#,##0);-"/>
    <x:numFmt numFmtId="168" formatCode="0.0&quot;x&quot;"/>
  </x:numFmts>
  <x:fonts count="30">
    <x:font>
      <x:sz val="11"/>
      <x:color theme="1"/>
      <x:name val="Calibri"/>
    </x:font>
    <x:font>
      <x:b/>
      <x:sz val="18"/>
      <x:color rgb="FF111827"/>
      <x:name val="Arial"/>
    </x:font>
    <x:font>
      <x:i/>
      <x:sz val="10"/>
      <x:color rgb="FF6B7280"/>
      <x:name val="Arial"/>
    </x:font>
    <x:font>
      <x:b/>
      <x:sz val="10"/>
      <x:name val="Arial"/>
    </x:font>
    <x:font>
      <x:sz val="10"/>
      <x:name val="Arial"/>
    </x:font>
    <x:font>
      <x:b/>
      <x:sz val="11"/>
      <x:color rgb="FFFFFFFF"/>
      <x:name val="Arial"/>
    </x:font>
    <x:font>
      <x:b/>
      <x:sz val="11"/>
      <x:name val="Arial"/>
    </x:font>
    <x:font>
      <x:b/>
      <x:sz val="10"/>
      <x:color rgb="FFFFFFFF"/>
      <x:name val="Arial"/>
    </x:font>
    <x:font>
      <x:sz val="12"/>
      <x:name val="Arial"/>
    </x:font>
    <x:font>
      <x:b/>
      <x:sz val="10"/>
      <x:color rgb="FF0000FF"/>
      <x:name val="Arial"/>
    </x:font>
    <x:font>
      <x:sz val="10"/>
      <x:color rgb="FF000000"/>
      <x:name val="Arial"/>
    </x:font>
    <x:font>
      <x:b/>
      <x:sz val="10"/>
      <x:color rgb="FF065F46"/>
      <x:name val="Arial"/>
    </x:font>
    <x:font>
      <x:sz val="10"/>
      <x:color rgb="FF065F46"/>
      <x:name val="Arial"/>
    </x:font>
    <x:font>
      <x:b/>
      <x:sz val="10"/>
      <x:color rgb="FF1E3A8A"/>
      <x:name val="Arial"/>
    </x:font>
    <x:font>
      <x:sz val="10"/>
      <x:color rgb="FF1E3A8A"/>
      <x:name val="Arial"/>
    </x:font>
    <x:font>
      <x:b/>
      <x:sz val="10"/>
      <x:color rgb="FF78350F"/>
      <x:name val="Arial"/>
    </x:font>
    <x:font>
      <x:sz val="10"/>
      <x:color rgb="FF78350F"/>
      <x:name val="Arial"/>
    </x:font>
    <x:font>
      <x:b/>
      <x:sz val="10"/>
      <x:color rgb="FF7F1D1D"/>
      <x:name val="Arial"/>
    </x:font>
    <x:font>
      <x:sz val="10"/>
      <x:color rgb="FF7F1D1D"/>
      <x:name val="Arial"/>
    </x:font>
    <x:font>
      <x:b/>
      <x:sz val="10"/>
      <x:color rgb="FF7C2D12"/>
      <x:name val="Arial"/>
    </x:font>
    <x:font>
      <x:sz val="10"/>
      <x:color rgb="FF7C2D12"/>
      <x:name val="Arial"/>
    </x:font>
    <x:font>
      <x:b/>
      <x:sz val="13"/>
      <x:color rgb="FF111827"/>
      <x:name val="Arial"/>
    </x:font>
    <x:font>
      <x:b/>
      <x:sz val="14"/>
      <x:color rgb="FFFFFFFF"/>
      <x:name val="Arial"/>
    </x:font>
    <x:font>
      <x:b/>
      <x:sz val="12"/>
      <x:color rgb="FFDC2626"/>
      <x:name val="Arial"/>
    </x:font>
    <x:font>
      <x:b/>
      <x:sz val="12"/>
      <x:color rgb="FF1E3A8A"/>
      <x:name val="Arial"/>
    </x:font>
    <x:font>
      <x:b/>
      <x:sz val="12"/>
      <x:color rgb="FF65A30D"/>
      <x:name val="Arial"/>
    </x:font>
    <x:font>
      <x:b/>
      <x:sz val="10"/>
      <x:color rgb="FFDC2626"/>
      <x:name val="Arial"/>
    </x:font>
    <x:font>
      <x:b/>
      <x:sz val="13"/>
      <x:color rgb="FFFFFFFF"/>
      <x:name val="Arial"/>
    </x:font>
    <x:font>
      <x:b/>
      <x:sz val="10"/>
      <x:color rgb="FF374151"/>
      <x:name val="Arial"/>
    </x:font>
    <x:font>
      <x:sz val="9"/>
      <x:name val="Menlo"/>
    </x:font>
  </x:fonts>
  <x:fills count="22">
    <x:fill>
      <x:patternFill patternType="none"/>
    </x:fill>
    <x:fill>
      <x:patternFill patternType="gray125"/>
    </x:fill>
    <x:fill>
      <x:patternFill patternType="solid">
        <x:fgColor rgb="FF1F2937"/>
      </x:patternFill>
    </x:fill>
    <x:fill>
      <x:patternFill patternType="solid">
        <x:fgColor rgb="FFE5E7EB"/>
      </x:patternFill>
    </x:fill>
    <x:fill>
      <x:patternFill patternType="solid">
        <x:fgColor rgb="FFDC2626"/>
      </x:patternFill>
    </x:fill>
    <x:fill>
      <x:patternFill patternType="solid">
        <x:fgColor rgb="FFEA580C"/>
      </x:patternFill>
    </x:fill>
    <x:fill>
      <x:patternFill patternType="solid">
        <x:fgColor rgb="FFCA8A04"/>
      </x:patternFill>
    </x:fill>
    <x:fill>
      <x:patternFill patternType="solid">
        <x:fgColor rgb="FF65A30D"/>
      </x:patternFill>
    </x:fill>
    <x:fill>
      <x:patternFill patternType="solid">
        <x:fgColor rgb="FFFFFFCC"/>
      </x:patternFill>
    </x:fill>
    <x:fill>
      <x:patternFill patternType="solid">
        <x:fgColor rgb="FF86EFAC"/>
      </x:patternFill>
    </x:fill>
    <x:fill>
      <x:patternFill patternType="solid">
        <x:fgColor rgb="FFF3F4F6"/>
      </x:patternFill>
    </x:fill>
    <x:fill>
      <x:patternFill patternType="solid">
        <x:fgColor rgb="FF93C5FD"/>
      </x:patternFill>
    </x:fill>
    <x:fill>
      <x:patternFill patternType="solid">
        <x:fgColor rgb="FFFDE68A"/>
      </x:patternFill>
    </x:fill>
    <x:fill>
      <x:patternFill patternType="solid">
        <x:fgColor rgb="FFFCA5A5"/>
      </x:patternFill>
    </x:fill>
    <x:fill>
      <x:patternFill patternType="solid">
        <x:fgColor rgb="FFFDBA74"/>
      </x:patternFill>
    </x:fill>
    <x:fill>
      <x:patternFill patternType="solid">
        <x:fgColor rgb="FFFEF9C3"/>
      </x:patternFill>
    </x:fill>
    <x:fill>
      <x:patternFill patternType="solid">
        <x:fgColor rgb="FFD1FAE5"/>
      </x:patternFill>
    </x:fill>
    <x:fill>
      <x:patternFill patternType="solid">
        <x:fgColor rgb="FFFEF3C7"/>
      </x:patternFill>
    </x:fill>
    <x:fill>
      <x:patternFill patternType="solid">
        <x:fgColor rgb="FFBFDBFE"/>
      </x:patternFill>
    </x:fill>
    <x:fill>
      <x:patternFill patternType="solid">
        <x:fgColor rgb="FFFED7AA"/>
      </x:patternFill>
    </x:fill>
    <x:fill>
      <x:patternFill patternType="solid">
        <x:fgColor rgb="FF1E3A8A"/>
      </x:patternFill>
    </x:fill>
    <x:fill>
      <x:patternFill patternType="solid">
        <x:fgColor rgb="FFF9FAFB"/>
      </x:patternFill>
    </x:fill>
  </x:fills>
  <x:borders count="12">
    <x:border/>
    <x:border>
      <x:left style="thin">
        <x:color rgb="FFD1D5DB"/>
      </x:left>
      <x:right style="thin">
        <x:color rgb="FFD1D5DB"/>
      </x:right>
      <x:top style="thin">
        <x:color rgb="FFD1D5DB"/>
      </x:top>
      <x:bottom style="thin">
        <x:color rgb="FFD1D5DB"/>
      </x:bottom>
    </x:border>
    <x:border>
      <x:top style="thin">
        <x:color rgb="FFD1D5DB"/>
      </x:top>
    </x:border>
    <x:border>
      <x:right style="thin">
        <x:color rgb="FFD1D5DB"/>
      </x:right>
      <x:top style="thin">
        <x:color rgb="FFD1D5DB"/>
      </x:top>
    </x:border>
    <x:border>
      <x:right style="thin">
        <x:color rgb="FFD1D5DB"/>
      </x:right>
      <x:top style="thin">
        <x:color rgb="FFD1D5DB"/>
      </x:top>
      <x:bottom style="thin">
        <x:color rgb="FFD1D5DB"/>
      </x:bottom>
    </x:border>
    <x:border/>
    <x:border>
      <x:top style="thin">
        <x:color rgb="FFD1D5DB"/>
      </x:top>
      <x:bottom style="thin">
        <x:color rgb="FFD1D5DB"/>
      </x:bottom>
    </x:border>
    <x:border>
      <x:left style="thin">
        <x:color rgb="FFD1D5DB"/>
      </x:left>
    </x:border>
    <x:border>
      <x:right style="thin">
        <x:color rgb="FFD1D5DB"/>
      </x:right>
    </x:border>
    <x:border>
      <x:left style="thin">
        <x:color rgb="FFD1D5DB"/>
      </x:left>
      <x:bottom style="thin">
        <x:color rgb="FFD1D5DB"/>
      </x:bottom>
    </x:border>
    <x:border>
      <x:bottom style="thin">
        <x:color rgb="FFD1D5DB"/>
      </x:bottom>
    </x:border>
    <x:border>
      <x:right style="thin">
        <x:color rgb="FFD1D5DB"/>
      </x:right>
      <x:bottom style="thin">
        <x:color rgb="FFD1D5DB"/>
      </x:bottom>
    </x:border>
  </x:borders>
  <x:cellStyleXfs count="1">
    <x:xf numFmtId="0" fontId="0" fillId="0" borderId="0"/>
  </x:cellStyleXfs>
  <x:cellXfs count="95">
    <x:xf numFmtId="0" fontId="0" fillId="0" borderId="0" xfId="0"/>
    <x:xf numFmtId="0" fontId="1" fillId="0" borderId="0" xfId="0"/>
    <x:xf numFmtId="0" fontId="2" fillId="0" borderId="0" xfId="0"/>
    <x:xf numFmtId="0" fontId="3" fillId="0" borderId="0" xfId="0"/>
    <x:xf numFmtId="0" fontId="4" fillId="0" borderId="0" xfId="0" applyAlignment="1">
      <x:alignment vertical="top" wrapText="1"/>
    </x:xf>
    <x:xf numFmtId="0" fontId="6" fillId="3" borderId="0" xfId="0"/>
    <x:xf numFmtId="0" fontId="4" fillId="0" borderId="1" xfId="0"/>
    <x:xf numFmtId="0" fontId="6" fillId="0" borderId="1" xfId="0"/>
    <x:xf numFmtId="0" fontId="5" fillId="2" borderId="1" xfId="0" applyAlignment="1">
      <x:alignment horizontal="center" vertical="center"/>
    </x:xf>
    <x:xf numFmtId="0" fontId="4" fillId="0" borderId="1" xfId="0" applyAlignment="1">
      <x:alignment horizontal="center" vertical="center"/>
    </x:xf>
    <x:xf numFmtId="164" fontId="4" fillId="0" borderId="1" xfId="0" applyAlignment="1">
      <x:alignment horizontal="center" vertical="center"/>
    </x:xf>
    <x:xf numFmtId="164" fontId="6" fillId="0" borderId="1" xfId="0"/>
    <x:xf numFmtId="0" fontId="7" fillId="4" borderId="0" xfId="0" applyAlignment="1">
      <x:alignment horizontal="center" vertical="center"/>
    </x:xf>
    <x:xf numFmtId="0" fontId="7" fillId="5" borderId="0" xfId="0" applyAlignment="1">
      <x:alignment horizontal="center" vertical="center"/>
    </x:xf>
    <x:xf numFmtId="0" fontId="7" fillId="6" borderId="0" xfId="0" applyAlignment="1">
      <x:alignment horizontal="center" vertical="center"/>
    </x:xf>
    <x:xf numFmtId="0" fontId="7" fillId="7" borderId="0" xfId="0" applyAlignment="1">
      <x:alignment horizontal="center" vertical="center"/>
    </x:xf>
    <x:xf numFmtId="0" fontId="8" fillId="0" borderId="0" xfId="0" applyAlignment="1">
      <x:alignment horizontal="center" vertical="center"/>
    </x:xf>
    <x:xf numFmtId="0" fontId="4" fillId="0" borderId="0" xfId="0"/>
    <x:xf numFmtId="0" fontId="4" fillId="0" borderId="1" xfId="0" applyAlignment="1">
      <x:alignment vertical="top" wrapText="1"/>
    </x:xf>
    <x:xf numFmtId="165" fontId="9" fillId="8" borderId="1" xfId="0" applyAlignment="1">
      <x:alignment horizontal="right"/>
    </x:xf>
    <x:xf numFmtId="0" fontId="2" fillId="0" borderId="1" xfId="0"/>
    <x:xf numFmtId="3" fontId="9" fillId="8" borderId="1" xfId="0" applyAlignment="1">
      <x:alignment horizontal="right"/>
    </x:xf>
    <x:xf numFmtId="166" fontId="9" fillId="8" borderId="1" xfId="0" applyAlignment="1">
      <x:alignment horizontal="right"/>
    </x:xf>
    <x:xf numFmtId="164" fontId="9" fillId="8" borderId="1" xfId="0" applyAlignment="1">
      <x:alignment horizontal="right"/>
    </x:xf>
    <x:xf numFmtId="165" fontId="10" fillId="0" borderId="1" xfId="0" applyAlignment="1">
      <x:alignment horizontal="right"/>
    </x:xf>
    <x:xf numFmtId="164" fontId="10" fillId="0" borderId="1" xfId="0" applyAlignment="1">
      <x:alignment horizontal="right"/>
    </x:xf>
    <x:xf numFmtId="0" fontId="3" fillId="0" borderId="1" xfId="0"/>
    <x:xf numFmtId="165" fontId="6" fillId="0" borderId="1" xfId="0" applyAlignment="1">
      <x:alignment horizontal="right"/>
    </x:xf>
    <x:xf numFmtId="3" fontId="10" fillId="0" borderId="1" xfId="0" applyAlignment="1">
      <x:alignment horizontal="right"/>
    </x:xf>
    <x:xf numFmtId="0" fontId="3" fillId="0" borderId="1" xfId="0" applyAlignment="1">
      <x:alignment vertical="top" wrapText="1"/>
    </x:xf>
    <x:xf numFmtId="0" fontId="3" fillId="0" borderId="1" xfId="0" applyAlignment="1">
      <x:alignment horizontal="center" vertical="center"/>
    </x:xf>
    <x:xf numFmtId="0" fontId="7" fillId="4" borderId="1" xfId="0" applyAlignment="1">
      <x:alignment horizontal="center" vertical="center"/>
    </x:xf>
    <x:xf numFmtId="0" fontId="7" fillId="5" borderId="1" xfId="0" applyAlignment="1">
      <x:alignment horizontal="center" vertical="center"/>
    </x:xf>
    <x:xf numFmtId="0" fontId="2" fillId="0" borderId="1" xfId="0" applyAlignment="1">
      <x:alignment vertical="top" wrapText="1"/>
    </x:xf>
    <x:xf numFmtId="0" fontId="0" fillId="0" borderId="1" xfId="0"/>
    <x:xf numFmtId="0" fontId="0" fillId="0" borderId="4" xfId="0"/>
    <x:xf numFmtId="0" fontId="4" fillId="0" borderId="5" xfId="0"/>
    <x:xf numFmtId="0" fontId="6" fillId="3" borderId="5" xfId="0"/>
    <x:xf numFmtId="0" fontId="11" fillId="9" borderId="1" xfId="0" applyAlignment="1">
      <x:alignment horizontal="center" vertical="center"/>
    </x:xf>
    <x:xf numFmtId="0" fontId="13" fillId="11" borderId="1" xfId="0" applyAlignment="1">
      <x:alignment horizontal="center" vertical="center"/>
    </x:xf>
    <x:xf numFmtId="0" fontId="15" fillId="12" borderId="1" xfId="0" applyAlignment="1">
      <x:alignment horizontal="center" vertical="center"/>
    </x:xf>
    <x:xf numFmtId="0" fontId="19" fillId="14" borderId="1" xfId="0" applyAlignment="1">
      <x:alignment horizontal="center" vertical="center"/>
    </x:xf>
    <x:xf numFmtId="0" fontId="17" fillId="13" borderId="1" xfId="0" applyAlignment="1">
      <x:alignment horizontal="center" vertical="center"/>
    </x:xf>
    <x:xf numFmtId="0" fontId="12" fillId="9" borderId="1" xfId="0" applyAlignment="1">
      <x:alignment vertical="top" wrapText="1"/>
    </x:xf>
    <x:xf numFmtId="0" fontId="4" fillId="10" borderId="1" xfId="0" applyAlignment="1">
      <x:alignment horizontal="center" vertical="center"/>
    </x:xf>
    <x:xf numFmtId="0" fontId="14" fillId="11" borderId="1" xfId="0" applyAlignment="1">
      <x:alignment vertical="top" wrapText="1"/>
    </x:xf>
    <x:xf numFmtId="0" fontId="7" fillId="7" borderId="1" xfId="0" applyAlignment="1">
      <x:alignment horizontal="center" vertical="center"/>
    </x:xf>
    <x:xf numFmtId="0" fontId="16" fillId="12" borderId="1" xfId="0" applyAlignment="1">
      <x:alignment vertical="top" wrapText="1"/>
    </x:xf>
    <x:xf numFmtId="0" fontId="18" fillId="13" borderId="1" xfId="0" applyAlignment="1">
      <x:alignment vertical="top" wrapText="1"/>
    </x:xf>
    <x:xf numFmtId="0" fontId="7" fillId="6" borderId="1" xfId="0" applyAlignment="1">
      <x:alignment horizontal="center" vertical="center"/>
    </x:xf>
    <x:xf numFmtId="0" fontId="20" fillId="14" borderId="1" xfId="0" applyAlignment="1">
      <x:alignment vertical="top" wrapText="1"/>
    </x:xf>
    <x:xf numFmtId="0" fontId="3" fillId="15" borderId="1" xfId="0" applyAlignment="1">
      <x:alignment vertical="top" wrapText="1"/>
    </x:xf>
    <x:xf numFmtId="0" fontId="4" fillId="15" borderId="1" xfId="0" applyAlignment="1">
      <x:alignment vertical="top" wrapText="1"/>
    </x:xf>
    <x:xf numFmtId="3" fontId="9" fillId="8" borderId="1" xfId="0" applyAlignment="1">
      <x:alignment horizontal="right" vertical="top"/>
    </x:xf>
    <x:xf numFmtId="166" fontId="9" fillId="8" borderId="1" xfId="0" applyAlignment="1">
      <x:alignment horizontal="right" vertical="top"/>
    </x:xf>
    <x:xf numFmtId="165" fontId="9" fillId="8" borderId="1" xfId="0" applyAlignment="1">
      <x:alignment horizontal="right" vertical="top"/>
    </x:xf>
    <x:xf numFmtId="164" fontId="9" fillId="8" borderId="1" xfId="0" applyAlignment="1">
      <x:alignment horizontal="right" vertical="top"/>
    </x:xf>
    <x:xf numFmtId="167" fontId="10" fillId="0" borderId="1" xfId="0" applyAlignment="1">
      <x:alignment horizontal="right" vertical="top"/>
    </x:xf>
    <x:xf numFmtId="0" fontId="0" fillId="3" borderId="0" xfId="0"/>
    <x:xf numFmtId="167" fontId="6" fillId="3" borderId="1" xfId="0" applyAlignment="1">
      <x:alignment horizontal="right" vertical="top"/>
    </x:xf>
    <x:xf numFmtId="167" fontId="6" fillId="0" borderId="1" xfId="0" applyAlignment="1">
      <x:alignment horizontal="right" vertical="top"/>
    </x:xf>
    <x:xf numFmtId="0" fontId="2" fillId="0" borderId="0" xfId="0" applyAlignment="1">
      <x:alignment vertical="top" wrapText="1"/>
    </x:xf>
    <x:xf numFmtId="164" fontId="6" fillId="0" borderId="1" xfId="0" applyAlignment="1">
      <x:alignment horizontal="right" vertical="top"/>
    </x:xf>
    <x:xf numFmtId="0" fontId="9" fillId="8" borderId="1" xfId="0" applyAlignment="1">
      <x:alignment vertical="top" wrapText="1"/>
    </x:xf>
    <x:xf numFmtId="0" fontId="0" fillId="0" borderId="6" xfId="0"/>
    <x:xf numFmtId="165" fontId="9" fillId="8" borderId="1" xfId="0" applyAlignment="1">
      <x:alignment vertical="top" wrapText="1"/>
    </x:xf>
    <x:xf numFmtId="3" fontId="9" fillId="8" borderId="1" xfId="0" applyAlignment="1">
      <x:alignment vertical="top" wrapText="1"/>
    </x:xf>
    <x:xf numFmtId="165" fontId="10" fillId="0" borderId="1" xfId="0" applyAlignment="1">
      <x:alignment horizontal="right" vertical="top"/>
    </x:xf>
    <x:xf numFmtId="168" fontId="6" fillId="16" borderId="1" xfId="0" applyAlignment="1">
      <x:alignment horizontal="right" vertical="top"/>
    </x:xf>
    <x:xf numFmtId="0" fontId="21" fillId="17" borderId="5" xfId="0" applyAlignment="1">
      <x:alignment horizontal="center" vertical="center"/>
    </x:xf>
    <x:xf numFmtId="0" fontId="2" fillId="0" borderId="5" xfId="0"/>
    <x:xf numFmtId="0" fontId="22" fillId="4" borderId="1" xfId="0" applyAlignment="1">
      <x:alignment horizontal="center" vertical="center"/>
    </x:xf>
    <x:xf numFmtId="0" fontId="6" fillId="0" borderId="1" xfId="0" applyAlignment="1">
      <x:alignment vertical="top" wrapText="1"/>
    </x:xf>
    <x:xf numFmtId="0" fontId="22" fillId="5" borderId="1" xfId="0" applyAlignment="1">
      <x:alignment horizontal="center" vertical="center"/>
    </x:xf>
    <x:xf numFmtId="0" fontId="22" fillId="6" borderId="1" xfId="0" applyAlignment="1">
      <x:alignment horizontal="center" vertical="center"/>
    </x:xf>
    <x:xf numFmtId="0" fontId="23" fillId="0" borderId="5" xfId="0"/>
    <x:xf numFmtId="0" fontId="8" fillId="0" borderId="5" xfId="0" applyAlignment="1">
      <x:alignment horizontal="center" vertical="center"/>
    </x:xf>
    <x:xf numFmtId="0" fontId="24" fillId="0" borderId="5" xfId="0"/>
    <x:xf numFmtId="0" fontId="4" fillId="0" borderId="5" xfId="0" applyAlignment="1">
      <x:alignment vertical="top" wrapText="1"/>
    </x:xf>
    <x:xf numFmtId="0" fontId="22" fillId="7" borderId="1" xfId="0" applyAlignment="1">
      <x:alignment horizontal="center" vertical="center"/>
    </x:xf>
    <x:xf numFmtId="0" fontId="25" fillId="0" borderId="5" xfId="0"/>
    <x:xf numFmtId="0" fontId="27" fillId="4" borderId="5" xfId="0" applyAlignment="1">
      <x:alignment horizontal="center" vertical="center"/>
    </x:xf>
    <x:xf numFmtId="0" fontId="13" fillId="18" borderId="1" xfId="0" applyAlignment="1">
      <x:alignment horizontal="center" vertical="center"/>
    </x:xf>
    <x:xf numFmtId="0" fontId="19" fillId="19" borderId="1" xfId="0" applyAlignment="1">
      <x:alignment horizontal="center" vertical="center"/>
    </x:xf>
    <x:xf numFmtId="0" fontId="28" fillId="3" borderId="1" xfId="0" applyAlignment="1">
      <x:alignment horizontal="center" vertical="center"/>
    </x:xf>
    <x:xf numFmtId="0" fontId="5" fillId="20" borderId="0" xfId="0" applyAlignment="1">
      <x:alignment horizontal="center" vertical="center"/>
    </x:xf>
    <x:xf numFmtId="0" fontId="29" fillId="21" borderId="1" xfId="0" applyAlignment="1">
      <x:alignment vertical="top" wrapText="1"/>
    </x:xf>
    <x:xf numFmtId="0" fontId="0" fillId="0" borderId="2" xfId="0"/>
    <x:xf numFmtId="0" fontId="0" fillId="0" borderId="3" xfId="0"/>
    <x:xf numFmtId="0" fontId="0" fillId="0" borderId="7" xfId="0"/>
    <x:xf numFmtId="0" fontId="0" fillId="0" borderId="8" xfId="0"/>
    <x:xf numFmtId="0" fontId="0" fillId="0" borderId="9" xfId="0"/>
    <x:xf numFmtId="0" fontId="0" fillId="0" borderId="10" xfId="0"/>
    <x:xf numFmtId="0" fontId="0" fillId="0" borderId="11" xfId="0"/>
    <x:xf numFmtId="0" fontId="5" fillId="4" borderId="0" xfId="0" applyAlignment="1">
      <x:alignment horizontal="center" vertical="center"/>
    </x:xf>
  </x:cellXfs>
  <x:cellStyles count="1">
    <x:cellStyle name="Normal" xfId="0"/>
  </x:cellStyles>
  <x:dxfs count="25">
    <x:dxf>
      <x:font>
        <x:b/>
        <x:sz val="10"/>
        <x:color rgb="00FFFFFF"/>
        <x:name val="Arial"/>
      </x:font>
      <x:fill>
        <x:patternFill>
          <x:bgColor rgb="00DC2626"/>
        </x:patternFill>
      </x:fill>
    </x:dxf>
    <x:dxf>
      <x:font>
        <x:b/>
        <x:sz val="10"/>
        <x:color rgb="00FFFFFF"/>
        <x:name val="Arial"/>
      </x:font>
      <x:fill>
        <x:patternFill>
          <x:bgColor rgb="00EA580C"/>
        </x:patternFill>
      </x:fill>
    </x:dxf>
    <x:dxf>
      <x:font>
        <x:b/>
        <x:sz val="10"/>
        <x:color rgb="00FFFFFF"/>
        <x:name val="Arial"/>
      </x:font>
      <x:fill>
        <x:patternFill>
          <x:bgColor rgb="00CA8A04"/>
        </x:patternFill>
      </x:fill>
    </x:dxf>
    <x:dxf>
      <x:font>
        <x:b/>
        <x:sz val="10"/>
        <x:color rgb="00FFFFFF"/>
        <x:name val="Arial"/>
      </x:font>
      <x:fill>
        <x:patternFill>
          <x:bgColor rgb="0065A30D"/>
        </x:patternFill>
      </x:fill>
    </x:dxf>
    <x:dxf>
      <x:fill>
        <x:patternFill>
          <x:bgColor rgb="00F3F4F6"/>
        </x:patternFill>
      </x:fill>
    </x:dxf>
    <x:dxf>
      <x:fill>
        <x:patternFill>
          <x:bgColor rgb="00FEF3C7"/>
        </x:patternFill>
      </x:fill>
    </x:dxf>
    <x:dxf>
      <x:fill>
        <x:patternFill>
          <x:bgColor rgb="00FECACA"/>
        </x:patternFill>
      </x:fill>
    </x:dxf>
    <x:dxf>
      <x:fill>
        <x:patternFill>
          <x:bgColor rgb="00D1FAE5"/>
        </x:patternFill>
      </x:fill>
    </x:dxf>
    <x:dxf>
      <x:font>
        <x:sz val="10"/>
        <x:color rgb="009CA3AF"/>
        <x:name val="Arial"/>
      </x:font>
      <x:fill>
        <x:patternFill>
          <x:bgColor rgb="00F3F4F6"/>
        </x:patternFill>
      </x:fill>
    </x:dxf>
    <x:dxf>
      <x:fill>
        <x:patternFill>
          <x:bgColor rgb="00E5E7EB"/>
        </x:patternFill>
      </x:fill>
    </x:dxf>
    <x:dxf>
      <x:font>
        <x:b/>
        <x:sz val="10"/>
        <x:color rgb="00991B1B"/>
        <x:name val="Arial"/>
      </x:font>
      <x:fill>
        <x:patternFill>
          <x:bgColor rgb="00FECACA"/>
        </x:patternFill>
      </x:fill>
    </x:dxf>
    <x:dxf>
      <x:font>
        <x:b/>
        <x:sz val="10"/>
        <x:color rgb="009A3412"/>
        <x:name val="Arial"/>
      </x:font>
      <x:fill>
        <x:patternFill>
          <x:bgColor rgb="00FED7AA"/>
        </x:patternFill>
      </x:fill>
    </x:dxf>
    <x:dxf>
      <x:font>
        <x:sz val="10"/>
        <x:color rgb="00065F46"/>
        <x:name val="Arial"/>
      </x:font>
      <x:fill>
        <x:patternFill>
          <x:bgColor rgb="00D1FAE5"/>
        </x:patternFill>
      </x:fill>
    </x:dxf>
    <x:dxf>
      <x:fill>
        <x:patternFill>
          <x:bgColor rgb="00DBEAFE"/>
        </x:patternFill>
      </x:fill>
    </x:dxf>
    <x:dxf>
      <x:fill>
        <x:patternFill>
          <x:bgColor rgb="00DCFCE7"/>
        </x:patternFill>
      </x:fill>
    </x:dxf>
    <x:dxf>
      <x:fill>
        <x:patternFill>
          <x:bgColor rgb="00FED7AA"/>
        </x:patternFill>
      </x:fill>
    </x:dxf>
    <x:dxf>
      <x:fill>
        <x:patternFill>
          <x:bgColor rgb="00FEE2E2"/>
        </x:patternFill>
      </x:fill>
    </x:dxf>
    <x:dxf>
      <x:font>
        <x:b/>
        <x:sz val="10"/>
        <x:color rgb="00065F46"/>
        <x:name val="Arial"/>
      </x:font>
      <x:fill>
        <x:patternFill>
          <x:bgColor rgb="0086EFAC"/>
        </x:patternFill>
      </x:fill>
    </x:dxf>
    <x:dxf>
      <x:font>
        <x:b/>
        <x:sz val="10"/>
        <x:color rgb="001E3A8A"/>
        <x:name val="Arial"/>
      </x:font>
      <x:fill>
        <x:patternFill>
          <x:bgColor rgb="0093C5FD"/>
        </x:patternFill>
      </x:fill>
    </x:dxf>
    <x:dxf>
      <x:font>
        <x:b/>
        <x:sz val="10"/>
        <x:color rgb="0078350F"/>
        <x:name val="Arial"/>
      </x:font>
      <x:fill>
        <x:patternFill>
          <x:bgColor rgb="00FDE68A"/>
        </x:patternFill>
      </x:fill>
    </x:dxf>
    <x:dxf>
      <x:font>
        <x:b/>
        <x:sz val="10"/>
        <x:color rgb="007C2D12"/>
        <x:name val="Arial"/>
      </x:font>
      <x:fill>
        <x:patternFill>
          <x:bgColor rgb="00FDBA74"/>
        </x:patternFill>
      </x:fill>
    </x:dxf>
    <x:dxf>
      <x:font>
        <x:b/>
        <x:sz val="10"/>
        <x:color rgb="007F1D1D"/>
        <x:name val="Arial"/>
      </x:font>
      <x:fill>
        <x:patternFill>
          <x:bgColor rgb="00FCA5A5"/>
        </x:patternFill>
      </x:fill>
    </x:dxf>
    <x:dxf>
      <x:font>
        <x:b/>
        <x:sz val="10"/>
        <x:color rgb="001E3A8A"/>
        <x:name val="Arial"/>
      </x:font>
      <x:fill>
        <x:patternFill>
          <x:bgColor rgb="00BFDBFE"/>
        </x:patternFill>
      </x:fill>
    </x:dxf>
    <x:dxf>
      <x:font>
        <x:b/>
        <x:sz val="10"/>
        <x:color rgb="007C2D12"/>
        <x:name val="Arial"/>
      </x:font>
      <x:fill>
        <x:patternFill>
          <x:bgColor rgb="00FED7AA"/>
        </x:patternFill>
      </x:fill>
    </x:dxf>
    <x:dxf>
      <x:font>
        <x:b/>
        <x:sz val="10"/>
        <x:color rgb="00374151"/>
        <x:name val="Arial"/>
      </x:font>
      <x:fill>
        <x:patternFill>
          <x:bgColor rgb="00E5E7EB"/>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539da527cd64a01" /><Relationship Type="http://schemas.openxmlformats.org/officeDocument/2006/relationships/theme" Target="/xl/theme/theme1.xml" Id="Rde39e4a851ba4ba1" /><Relationship Type="http://schemas.openxmlformats.org/officeDocument/2006/relationships/sharedStrings" Target="/xl/sharedStrings.xml" Id="Rb483c66aa0034a8f" /><Relationship Type="http://schemas.openxmlformats.org/officeDocument/2006/relationships/worksheet" Target="/xl/worksheets/sheet1.xml" Id="R2fa155bca9184c28" /><Relationship Type="http://schemas.openxmlformats.org/officeDocument/2006/relationships/worksheet" Target="/xl/worksheets/sheet2.xml" Id="Ra751f8589b5f4dc3" /><Relationship Type="http://schemas.openxmlformats.org/officeDocument/2006/relationships/worksheet" Target="/xl/worksheets/sheet3.xml" Id="R2ba836e4f62f4681" /><Relationship Type="http://schemas.openxmlformats.org/officeDocument/2006/relationships/worksheet" Target="/xl/worksheets/sheet4.xml" Id="Rcd96f3fadf154750" /><Relationship Type="http://schemas.openxmlformats.org/officeDocument/2006/relationships/worksheet" Target="/xl/worksheets/sheet5.xml" Id="Re2f9f7c512b6412f" /><Relationship Type="http://schemas.openxmlformats.org/officeDocument/2006/relationships/worksheet" Target="/xl/worksheets/sheet6.xml" Id="R3a9496baee504c9d" /><Relationship Type="http://schemas.openxmlformats.org/officeDocument/2006/relationships/worksheet" Target="/xl/worksheets/sheet7.xml" Id="R003202e93e884977" /><Relationship Type="http://schemas.openxmlformats.org/officeDocument/2006/relationships/worksheet" Target="/xl/worksheets/sheet8.xml" Id="Rb50ecf56ccf74679" /><Relationship Type="http://schemas.openxmlformats.org/officeDocument/2006/relationships/worksheet" Target="/xl/worksheets/sheet9.xml" Id="R3fda1d3bdfe44112" /><Relationship Type="http://schemas.openxmlformats.org/officeDocument/2006/relationships/worksheet" Target="/xl/worksheets/sheet10.xml" Id="R9a8442473fe54da2" /><Relationship Type="http://schemas.openxmlformats.org/officeDocument/2006/relationships/worksheet" Target="/xl/worksheets/sheet11.xml" Id="R1a189b3f5ce14818" /><Relationship Type="http://schemas.openxmlformats.org/officeDocument/2006/relationships/worksheet" Target="/xl/worksheets/sheet12.xml" Id="R3152d3b9b0544921" /><Relationship Type="http://schemas.openxmlformats.org/officeDocument/2006/relationships/worksheet" Target="/xl/worksheets/sheet13.xml" Id="R1437e39d35404035"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8" defaultRowHeight="15"/>
  <x:cols>
    <x:col min="1" max="1" width="2" customWidth="1"/>
    <x:col min="2" max="2" width="18" customWidth="1"/>
    <x:col min="3" max="3" width="95" customWidth="1"/>
  </x:cols>
  <x:sheetData>
    <x:row r="2">
      <x:c r="B2" s="1" t="inlineStr">
        <x:is>
          <x:t xml:space="preserve">AbarVa — Pilot Readiness Master Plan</x:t>
        </x:is>
      </x:c>
    </x:row>
    <x:row r="3">
      <x:c r="B3" s="2" t="inlineStr">
        <x:is>
          <x:t xml:space="preserve">Single source of truth for everything to do before signing &amp; launching the first pilot.</x:t>
        </x:is>
      </x:c>
    </x:row>
    <x:row r="4">
      <x:c r="B4" s="2" t="inlineStr">
        <x:is>
          <x:t xml:space="preserve">Owner: Anand Sundaram   |   Created: 2026-05-31   |   Target pilot kickoff: 2026-07-01</x:t>
        </x:is>
      </x:c>
    </x:row>
    <x:row r="5">
      <x:c r="B5" s="3" t="inlineStr">
        <x:is>
          <x:t xml:space="preserve"/>
        </x:is>
      </x:c>
      <x:c r="C5" s="4" t="inlineStr">
        <x:is>
          <x:t xml:space="preserve"/>
        </x:is>
      </x:c>
    </x:row>
    <x:row r="6">
      <x:c r="B6" s="3" t="inlineStr">
        <x:is>
          <x:t xml:space="preserve">Sheets</x:t>
        </x:is>
      </x:c>
      <x:c r="C6" s="4" t="inlineStr">
        <x:is>
          <x:t xml:space="preserve"/>
        </x:is>
      </x:c>
    </x:row>
    <x:row r="7">
      <x:c r="B7" s="3" t="inlineStr">
        <x:is>
          <x:t xml:space="preserve">Plan</x:t>
        </x:is>
      </x:c>
      <x:c r="C7" s="4" t="inlineStr">
        <x:is>
          <x:t xml:space="preserve">The master task list. Filter by Category / Priority / Status. This is what you knock off.</x:t>
        </x:is>
      </x:c>
    </x:row>
    <x:row r="8">
      <x:c r="B8" s="3" t="inlineStr">
        <x:is>
          <x:t xml:space="preserve">Dashboard</x:t>
        </x:is>
      </x:c>
      <x:c r="C8" s="4" t="inlineStr">
        <x:is>
          <x:t xml:space="preserve">Live counts by category and status — auto-calculated from Plan sheet.</x:t>
        </x:is>
      </x:c>
    </x:row>
    <x:row r="9">
      <x:c r="B9" s="3" t="inlineStr">
        <x:is>
          <x:t xml:space="preserve">Pricing</x:t>
        </x:is>
      </x:c>
      <x:c r="C9" s="4" t="inlineStr">
        <x:is>
          <x:t xml:space="preserve">Pilot + Year-1 commercial model. Edit blue cells to model scenarios.</x:t>
        </x:is>
      </x:c>
    </x:row>
    <x:row r="10">
      <x:c r="B10" s="3" t="inlineStr">
        <x:is>
          <x:t xml:space="preserve">Security Pack</x:t>
        </x:is>
      </x:c>
      <x:c r="C10" s="4" t="inlineStr">
        <x:is>
          <x:t xml:space="preserve">Pre-fill answers for SIG Lite / CAIQ vendor security questionnaires.</x:t>
        </x:is>
      </x:c>
    </x:row>
    <x:row r="11">
      <x:c r="B11" s="3" t="inlineStr">
        <x:is>
          <x:t xml:space="preserve">Redline Brief</x:t>
        </x:is>
      </x:c>
      <x:c r="C11" s="4" t="inlineStr">
        <x:is>
          <x:t xml:space="preserve">Your 8 non-negotiable contract clauses + fallback positions.</x:t>
        </x:is>
      </x:c>
    </x:row>
    <x:row r="12">
      <x:c r="B12" s="3" t="inlineStr">
        <x:is>
          <x:t xml:space="preserve">Risks</x:t>
        </x:is>
      </x:c>
      <x:c r="C12" s="4" t="inlineStr">
        <x:is>
          <x:t xml:space="preserve">Risk register — likelihood × impact, mitigation, owner.</x:t>
        </x:is>
      </x:c>
    </x:row>
    <x:row r="13">
      <x:c r="B13" s="3" t="inlineStr">
        <x:is>
          <x:t xml:space="preserve">🤖 Codex</x:t>
        </x:is>
      </x:c>
      <x:c r="C13" s="4" t="inlineStr">
        <x:is>
          <x:t xml:space="preserve">See docs/planning/CODEX_AUTONOMOUS_EXECUTION.md for autonomous multi-agent prompts (Waves 1-4 detailed + 5-6 sketched).</x:t>
        </x:is>
      </x:c>
    </x:row>
    <x:row r="14">
      <x:c r="B14" s="3" t="inlineStr">
        <x:is>
          <x:t xml:space="preserve">How to use</x:t>
        </x:is>
      </x:c>
      <x:c r="C14" s="4" t="inlineStr">
        <x:is>
          <x:t xml:space="preserve"/>
        </x:is>
      </x:c>
    </x:row>
    <x:row r="15">
      <x:c r="B15" s="3" t="inlineStr">
        <x:is>
          <x:t xml:space="preserve">1.</x:t>
        </x:is>
      </x:c>
      <x:c r="C15" s="4" t="inlineStr">
        <x:is>
          <x:t xml:space="preserve">Open Plan sheet. Pick a P0 task. Set Status to 'In progress'. Knock it off.</x:t>
        </x:is>
      </x:c>
    </x:row>
    <x:row r="16">
      <x:c r="B16" s="3" t="inlineStr">
        <x:is>
          <x:t xml:space="preserve">2.</x:t>
        </x:is>
      </x:c>
      <x:c r="C16" s="4" t="inlineStr">
        <x:is>
          <x:t xml:space="preserve">Update Status dropdown when done. Dashboard updates automatically.</x:t>
        </x:is>
      </x:c>
    </x:row>
    <x:row r="17">
      <x:c r="B17" s="3" t="inlineStr">
        <x:is>
          <x:t xml:space="preserve">3.</x:t>
        </x:is>
      </x:c>
      <x:c r="C17" s="4" t="inlineStr">
        <x:is>
          <x:t xml:space="preserve">Add new tasks at the bottom of Plan — just keep TaskID format (TXX) and Category consistent.</x:t>
        </x:is>
      </x:c>
    </x:row>
    <x:row r="18">
      <x:c r="B18" s="3" t="inlineStr">
        <x:is>
          <x:t xml:space="preserve">4.</x:t>
        </x:is>
      </x:c>
      <x:c r="C18" s="4" t="inlineStr">
        <x:is>
          <x:t xml:space="preserve">Pricing sheet — change the blue input cells to model different pilot/year-1 scenarios.</x:t>
        </x:is>
      </x:c>
    </x:row>
    <x:row r="19">
      <x:c r="B19" s="3" t="inlineStr">
        <x:is>
          <x:t xml:space="preserve">5.</x:t>
        </x:is>
      </x:c>
      <x:c r="C19" s="4" t="inlineStr">
        <x:is>
          <x:t xml:space="preserve">Before any client meeting, scan Security Pack + Redline Brief tabs.</x:t>
        </x:is>
      </x:c>
    </x:row>
    <x:row r="20">
      <x:c r="B20" s="3" t="inlineStr">
        <x:is>
          <x:t xml:space="preserve"/>
        </x:is>
      </x:c>
      <x:c r="C20" s="4" t="inlineStr">
        <x:is>
          <x:t xml:space="preserve"/>
        </x:is>
      </x:c>
    </x:row>
    <x:row r="21">
      <x:c r="B21" s="3" t="inlineStr">
        <x:is>
          <x:t xml:space="preserve">Legend — Priority</x:t>
        </x:is>
      </x:c>
      <x:c r="C21" s="4" t="inlineStr">
        <x:is>
          <x:t xml:space="preserve"/>
        </x:is>
      </x:c>
    </x:row>
    <x:row r="22">
      <x:c r="B22" s="3" t="inlineStr">
        <x:is>
          <x:t xml:space="preserve">P0</x:t>
        </x:is>
      </x:c>
      <x:c r="C22" s="4" t="inlineStr">
        <x:is>
          <x:t xml:space="preserve">Must be done before signing pilot contract</x:t>
        </x:is>
      </x:c>
    </x:row>
    <x:row r="23">
      <x:c r="B23" s="3" t="inlineStr">
        <x:is>
          <x:t xml:space="preserve">P1</x:t>
        </x:is>
      </x:c>
      <x:c r="C23" s="4" t="inlineStr">
        <x:is>
          <x:t xml:space="preserve">Must be done before pilot kickoff (data plane stood up)</x:t>
        </x:is>
      </x:c>
    </x:row>
    <x:row r="24">
      <x:c r="B24" s="3" t="inlineStr">
        <x:is>
          <x:t xml:space="preserve">P2</x:t>
        </x:is>
      </x:c>
      <x:c r="C24" s="4" t="inlineStr">
        <x:is>
          <x:t xml:space="preserve">Must be done during pilot (before year-1 conversion)</x:t>
        </x:is>
      </x:c>
    </x:row>
    <x:row r="25">
      <x:c r="B25" s="3" t="inlineStr">
        <x:is>
          <x:t xml:space="preserve">P3</x:t>
        </x:is>
      </x:c>
      <x:c r="C25" s="4" t="inlineStr">
        <x:is>
          <x:t xml:space="preserve">Nice to have / can defer to post-pilot</x:t>
        </x:is>
      </x:c>
    </x:row>
    <x:row r="26">
      <x:c r="B26" s="3" t="inlineStr">
        <x:is>
          <x:t xml:space="preserve"/>
        </x:is>
      </x:c>
      <x:c r="C26" s="4" t="inlineStr">
        <x:is>
          <x:t xml:space="preserve"/>
        </x:is>
      </x:c>
    </x:row>
    <x:row r="27">
      <x:c r="B27" s="3" t="inlineStr">
        <x:is>
          <x:t xml:space="preserve">Legend — Status</x:t>
        </x:is>
      </x:c>
      <x:c r="C27" s="4" t="inlineStr">
        <x:is>
          <x:t xml:space="preserve"/>
        </x:is>
      </x:c>
    </x:row>
    <x:row r="28">
      <x:c r="B28" s="3" t="inlineStr">
        <x:is>
          <x:t xml:space="preserve">Not started</x:t>
        </x:is>
      </x:c>
      <x:c r="C28" s="4" t="inlineStr">
        <x:is>
          <x:t xml:space="preserve">Not begun</x:t>
        </x:is>
      </x:c>
    </x:row>
    <x:row r="29">
      <x:c r="B29" s="3" t="inlineStr">
        <x:is>
          <x:t xml:space="preserve">In progress</x:t>
        </x:is>
      </x:c>
      <x:c r="C29" s="4" t="inlineStr">
        <x:is>
          <x:t xml:space="preserve">Actively working</x:t>
        </x:is>
      </x:c>
    </x:row>
    <x:row r="30">
      <x:c r="B30" s="3" t="inlineStr">
        <x:is>
          <x:t xml:space="preserve">Blocked</x:t>
        </x:is>
      </x:c>
      <x:c r="C30" s="4" t="inlineStr">
        <x:is>
          <x:t xml:space="preserve">Waiting on external party or decision</x:t>
        </x:is>
      </x:c>
    </x:row>
    <x:row r="31">
      <x:c r="B31" s="3" t="inlineStr">
        <x:is>
          <x:t xml:space="preserve">Done</x:t>
        </x:is>
      </x:c>
      <x:c r="C31" s="4" t="inlineStr">
        <x:is>
          <x:t xml:space="preserve">Complete</x:t>
        </x:is>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2" customWidth="1"/>
    <x:col min="2" max="2" width="18" customWidth="1"/>
    <x:col min="3" max="3" width="12" customWidth="1"/>
    <x:col min="4" max="4" width="12" customWidth="1"/>
    <x:col min="5" max="5" width="12" customWidth="1"/>
    <x:col min="6" max="6" width="3" customWidth="1"/>
    <x:col min="7" max="7" width="20" customWidth="1"/>
    <x:col min="8" max="8" width="10" customWidth="1"/>
    <x:col min="9" max="9" width="10" customWidth="1"/>
    <x:col min="10" max="10" width="12" customWidth="1"/>
    <x:col min="11" max="11" width="12" customWidth="1"/>
    <x:col min="13" max="13" width="14" customWidth="1"/>
    <x:col min="14" max="14" width="8" customWidth="1"/>
    <x:col min="15" max="15" width="8" customWidth="1"/>
  </x:cols>
  <x:sheetData>
    <x:row r="2">
      <x:c r="B2" s="1" t="inlineStr">
        <x:is>
          <x:t xml:space="preserve">Dashboard</x:t>
        </x:is>
      </x:c>
    </x:row>
    <x:row r="3">
      <x:c r="B3" s="2" t="inlineStr">
        <x:is>
          <x:t xml:space="preserve">Auto-calculated from the Plan sheet. Filter Plan to drill in.</x:t>
        </x:is>
      </x:c>
    </x:row>
    <x:row r="5">
      <x:c r="B5" s="5" t="inlineStr">
        <x:is>
          <x:t xml:space="preserve">Overall Progress</x:t>
        </x:is>
      </x:c>
      <x:c r="G5" s="5" t="inlineStr">
        <x:is>
          <x:t xml:space="preserve">By Category</x:t>
        </x:is>
      </x:c>
    </x:row>
    <x:row r="6">
      <x:c r="B6" s="6" t="inlineStr">
        <x:is>
          <x:t xml:space="preserve">Total tasks</x:t>
        </x:is>
      </x:c>
      <x:c r="C6" s="7" t="n">
        <x:f>COUNTA(Plan!A5:A333)</x:f>
        <x:v>329</x:v>
      </x:c>
      <x:c r="G6" s="8" t="inlineStr">
        <x:is>
          <x:t xml:space="preserve">Category</x:t>
        </x:is>
      </x:c>
      <x:c r="H6" s="8" t="inlineStr">
        <x:is>
          <x:t xml:space="preserve">Total</x:t>
        </x:is>
      </x:c>
      <x:c r="I6" s="8" t="inlineStr">
        <x:is>
          <x:t xml:space="preserve">Done</x:t>
        </x:is>
      </x:c>
      <x:c r="J6" s="8" t="inlineStr">
        <x:is>
          <x:t xml:space="preserve">In progress</x:t>
        </x:is>
      </x:c>
      <x:c r="K6" s="8" t="inlineStr">
        <x:is>
          <x:t xml:space="preserve">% Done</x:t>
        </x:is>
      </x:c>
    </x:row>
    <x:row r="7">
      <x:c r="B7" s="6" t="inlineStr">
        <x:is>
          <x:t xml:space="preserve">Done</x:t>
        </x:is>
      </x:c>
      <x:c r="C7" s="7" t="n">
        <x:f>COUNTIF(Plan!L5:L333,"Done")</x:f>
        <x:v>1</x:v>
      </x:c>
      <x:c r="G7" s="6" t="inlineStr">
        <x:is>
          <x:t xml:space="preserve">Business Setup</x:t>
        </x:is>
      </x:c>
      <x:c r="H7" s="9" t="n">
        <x:f>COUNTIF(Plan!B5:B333,"Business Setup")</x:f>
        <x:v>15</x:v>
      </x:c>
      <x:c r="I7" s="9" t="n">
        <x:f>COUNTIFS(Plan!B5:B333,"Business Setup",Plan!L5:L333,"Done")</x:f>
        <x:v>0</x:v>
      </x:c>
      <x:c r="J7" s="9" t="n">
        <x:f>COUNTIFS(Plan!B5:B333,"Business Setup",Plan!L5:L333,"In progress")</x:f>
        <x:v>0</x:v>
      </x:c>
      <x:c r="K7" s="10" t="n">
        <x:f>IFERROR(I7/H7,0)</x:f>
        <x:v>0</x:v>
      </x:c>
    </x:row>
    <x:row r="8">
      <x:c r="B8" s="6" t="inlineStr">
        <x:is>
          <x:t xml:space="preserve">In progress</x:t>
        </x:is>
      </x:c>
      <x:c r="C8" s="7" t="n">
        <x:f>COUNTIF(Plan!L5:L333,"In progress")</x:f>
        <x:v>3</x:v>
      </x:c>
      <x:c r="G8" s="6" t="inlineStr">
        <x:is>
          <x:t xml:space="preserve">Contract &amp; Legal</x:t>
        </x:is>
      </x:c>
      <x:c r="H8" s="9" t="n">
        <x:f>COUNTIF(Plan!B5:B333,"Contract &amp; Legal")</x:f>
        <x:v>12</x:v>
      </x:c>
      <x:c r="I8" s="9" t="n">
        <x:f>COUNTIFS(Plan!B5:B333,"Contract &amp; Legal",Plan!L5:L333,"Done")</x:f>
        <x:v>0</x:v>
      </x:c>
      <x:c r="J8" s="9" t="n">
        <x:f>COUNTIFS(Plan!B5:B333,"Contract &amp; Legal",Plan!L5:L333,"In progress")</x:f>
        <x:v>0</x:v>
      </x:c>
      <x:c r="K8" s="10" t="n">
        <x:f>IFERROR(I8/H8,0)</x:f>
        <x:v>0</x:v>
      </x:c>
    </x:row>
    <x:row r="9">
      <x:c r="B9" s="6" t="inlineStr">
        <x:is>
          <x:t xml:space="preserve">Blocked</x:t>
        </x:is>
      </x:c>
      <x:c r="C9" s="7" t="n">
        <x:f>COUNTIF(Plan!L5:L333,"Blocked")</x:f>
        <x:v>0</x:v>
      </x:c>
      <x:c r="G9" s="6" t="inlineStr">
        <x:is>
          <x:t xml:space="preserve">Architecture</x:t>
        </x:is>
      </x:c>
      <x:c r="H9" s="9" t="n">
        <x:f>COUNTIF(Plan!B5:B333,"Architecture")</x:f>
        <x:v>44</x:v>
      </x:c>
      <x:c r="I9" s="9" t="n">
        <x:f>COUNTIFS(Plan!B5:B333,"Architecture",Plan!L5:L333,"Done")</x:f>
        <x:v>0</x:v>
      </x:c>
      <x:c r="J9" s="9" t="n">
        <x:f>COUNTIFS(Plan!B5:B333,"Architecture",Plan!L5:L333,"In progress")</x:f>
        <x:v>0</x:v>
      </x:c>
      <x:c r="K9" s="10" t="n">
        <x:f>IFERROR(I9/H9,0)</x:f>
        <x:v>0</x:v>
      </x:c>
    </x:row>
    <x:row r="10">
      <x:c r="B10" s="6" t="inlineStr">
        <x:is>
          <x:t xml:space="preserve">Not started</x:t>
        </x:is>
      </x:c>
      <x:c r="C10" s="7" t="n">
        <x:f>COUNTIF(Plan!L5:L333,"Not started")</x:f>
        <x:v>325</x:v>
      </x:c>
      <x:c r="G10" s="6" t="inlineStr">
        <x:is>
          <x:t xml:space="preserve">Pilot Ops</x:t>
        </x:is>
      </x:c>
      <x:c r="H10" s="9" t="n">
        <x:f>COUNTIF(Plan!B5:B333,"Pilot Ops")</x:f>
        <x:v>7</x:v>
      </x:c>
      <x:c r="I10" s="9" t="n">
        <x:f>COUNTIFS(Plan!B5:B333,"Pilot Ops",Plan!L5:L333,"Done")</x:f>
        <x:v>0</x:v>
      </x:c>
      <x:c r="J10" s="9" t="n">
        <x:f>COUNTIFS(Plan!B5:B333,"Pilot Ops",Plan!L5:L333,"In progress")</x:f>
        <x:v>0</x:v>
      </x:c>
      <x:c r="K10" s="10" t="n">
        <x:f>IFERROR(I10/H10,0)</x:f>
        <x:v>0</x:v>
      </x:c>
    </x:row>
    <x:row r="11">
      <x:c r="B11" s="6" t="inlineStr">
        <x:is>
          <x:t xml:space="preserve">% Complete</x:t>
        </x:is>
      </x:c>
      <x:c r="C11" s="11" t="n">
        <x:f>IFERROR(C7/C6,0)</x:f>
        <x:v>0.00303951367781155</x:v>
      </x:c>
      <x:c r="G11" s="6" t="inlineStr">
        <x:is>
          <x:t xml:space="preserve">Commercial</x:t>
        </x:is>
      </x:c>
      <x:c r="H11" s="9" t="n">
        <x:f>COUNTIF(Plan!B5:B333,"Commercial")</x:f>
        <x:v>11</x:v>
      </x:c>
      <x:c r="I11" s="9" t="n">
        <x:f>COUNTIFS(Plan!B5:B333,"Commercial",Plan!L5:L333,"Done")</x:f>
        <x:v>0</x:v>
      </x:c>
      <x:c r="J11" s="9" t="n">
        <x:f>COUNTIFS(Plan!B5:B333,"Commercial",Plan!L5:L333,"In progress")</x:f>
        <x:v>0</x:v>
      </x:c>
      <x:c r="K11" s="10" t="n">
        <x:f>IFERROR(I11/H11,0)</x:f>
        <x:v>0</x:v>
      </x:c>
    </x:row>
    <x:row r="12">
      <x:c r="G12" s="6" t="inlineStr">
        <x:is>
          <x:t xml:space="preserve">Sales</x:t>
        </x:is>
      </x:c>
      <x:c r="H12" s="9" t="n">
        <x:f>COUNTIF(Plan!B5:B333,"Sales")</x:f>
        <x:v>50</x:v>
      </x:c>
      <x:c r="I12" s="9" t="n">
        <x:f>COUNTIFS(Plan!B5:B333,"Sales",Plan!L5:L333,"Done")</x:f>
        <x:v>0</x:v>
      </x:c>
      <x:c r="J12" s="9" t="n">
        <x:f>COUNTIFS(Plan!B5:B333,"Sales",Plan!L5:L333,"In progress")</x:f>
        <x:v>0</x:v>
      </x:c>
      <x:c r="K12" s="10" t="n">
        <x:f>IFERROR(I12/H12,0)</x:f>
        <x:v>0</x:v>
      </x:c>
    </x:row>
    <x:row r="13">
      <x:c r="B13" s="5" t="inlineStr">
        <x:is>
          <x:t xml:space="preserve">By Priority</x:t>
        </x:is>
      </x:c>
      <x:c r="G13" s="6" t="inlineStr">
        <x:is>
          <x:t xml:space="preserve">IP &amp; Trademark</x:t>
        </x:is>
      </x:c>
      <x:c r="H13" s="9" t="n">
        <x:f>COUNTIF(Plan!B5:B333,"IP &amp; Trademark")</x:f>
        <x:v>11</x:v>
      </x:c>
      <x:c r="I13" s="9" t="n">
        <x:f>COUNTIFS(Plan!B5:B333,"IP &amp; Trademark",Plan!L5:L333,"Done")</x:f>
        <x:v>0</x:v>
      </x:c>
      <x:c r="J13" s="9" t="n">
        <x:f>COUNTIFS(Plan!B5:B333,"IP &amp; Trademark",Plan!L5:L333,"In progress")</x:f>
        <x:v>0</x:v>
      </x:c>
      <x:c r="K13" s="10" t="n">
        <x:f>IFERROR(I13/H13,0)</x:f>
        <x:v>0</x:v>
      </x:c>
      <x:c r="M13" s="5" t="inlineStr">
        <x:is>
          <x:t xml:space="preserve">By Phase</x:t>
        </x:is>
      </x:c>
    </x:row>
    <x:row r="14">
      <x:c r="B14" s="8" t="inlineStr">
        <x:is>
          <x:t xml:space="preserve">Priority</x:t>
        </x:is>
      </x:c>
      <x:c r="C14" s="8" t="inlineStr">
        <x:is>
          <x:t xml:space="preserve">Total</x:t>
        </x:is>
      </x:c>
      <x:c r="D14" s="8" t="inlineStr">
        <x:is>
          <x:t xml:space="preserve">Done</x:t>
        </x:is>
      </x:c>
      <x:c r="E14" s="8" t="inlineStr">
        <x:is>
          <x:t xml:space="preserve">% Done</x:t>
        </x:is>
      </x:c>
      <x:c r="G14" s="6" t="inlineStr">
        <x:is>
          <x:t xml:space="preserve">Eng Governance</x:t>
        </x:is>
      </x:c>
      <x:c r="H14" s="9" t="n">
        <x:f>COUNTIF(Plan!B5:B333,"Eng Governance")</x:f>
        <x:v>29</x:v>
      </x:c>
      <x:c r="I14" s="9" t="n">
        <x:f>COUNTIFS(Plan!B5:B333,"Eng Governance",Plan!L5:L333,"Done")</x:f>
        <x:v>0</x:v>
      </x:c>
      <x:c r="J14" s="9" t="n">
        <x:f>COUNTIFS(Plan!B5:B333,"Eng Governance",Plan!L5:L333,"In progress")</x:f>
        <x:v>0</x:v>
      </x:c>
      <x:c r="K14" s="10" t="n">
        <x:f>IFERROR(I14/H14,0)</x:f>
        <x:v>0</x:v>
      </x:c>
      <x:c r="M14" s="8" t="inlineStr">
        <x:is>
          <x:t xml:space="preserve">Phase</x:t>
        </x:is>
      </x:c>
      <x:c r="N14" s="8" t="inlineStr">
        <x:is>
          <x:t xml:space="preserve">Total</x:t>
        </x:is>
      </x:c>
      <x:c r="O14" s="8" t="inlineStr">
        <x:is>
          <x:t xml:space="preserve">Done</x:t>
        </x:is>
      </x:c>
    </x:row>
    <x:row r="15">
      <x:c r="B15" s="12" t="inlineStr">
        <x:is>
          <x:t xml:space="preserve">P0</x:t>
        </x:is>
      </x:c>
      <x:c r="C15" s="9" t="n">
        <x:f>COUNTIF(Plan!E5:E333,"P0")</x:f>
        <x:v>216</x:v>
      </x:c>
      <x:c r="D15" s="9" t="n">
        <x:f>COUNTIFS(Plan!E5:E333,"P0",Plan!L5:L333,"Done")</x:f>
        <x:v>1</x:v>
      </x:c>
      <x:c r="E15" s="10" t="n">
        <x:f>IFERROR(D15/C15,0)</x:f>
        <x:v>0.004629629629629629</x:v>
      </x:c>
      <x:c r="G15" s="6" t="inlineStr">
        <x:is>
          <x:t xml:space="preserve">Operational Readiness</x:t>
        </x:is>
      </x:c>
      <x:c r="H15" s="9" t="n">
        <x:f>COUNTIF(Plan!B5:B333,"Operational Readiness")</x:f>
        <x:v>19</x:v>
      </x:c>
      <x:c r="I15" s="9" t="n">
        <x:f>COUNTIFS(Plan!B5:B333,"Operational Readiness",Plan!L5:L333,"Done")</x:f>
        <x:v>0</x:v>
      </x:c>
      <x:c r="J15" s="9" t="n">
        <x:f>COUNTIFS(Plan!B5:B333,"Operational Readiness",Plan!L5:L333,"In progress")</x:f>
        <x:v>0</x:v>
      </x:c>
      <x:c r="K15" s="10" t="n">
        <x:f>IFERROR(I15/H15,0)</x:f>
        <x:v>0</x:v>
      </x:c>
      <x:c r="M15" s="82" t="inlineStr">
        <x:is>
          <x:t xml:space="preserve">Pre-Resign</x:t>
        </x:is>
      </x:c>
      <x:c r="N15" s="9" t="n">
        <x:f>COUNTIF(Plan!K5:K333,"Pre-Resign")</x:f>
        <x:v>86</x:v>
      </x:c>
      <x:c r="O15" s="9" t="n">
        <x:f>COUNTIFS(Plan!K5:K333,"Pre-Resign",Plan!L5:L333,"Done")</x:f>
        <x:v>0</x:v>
      </x:c>
    </x:row>
    <x:row r="16">
      <x:c r="B16" s="13" t="inlineStr">
        <x:is>
          <x:t xml:space="preserve">P1</x:t>
        </x:is>
      </x:c>
      <x:c r="C16" s="9" t="n">
        <x:f>COUNTIF(Plan!E5:E333,"P1")</x:f>
        <x:v>90</x:v>
      </x:c>
      <x:c r="D16" s="9" t="n">
        <x:f>COUNTIFS(Plan!E5:E333,"P1",Plan!L5:L333,"Done")</x:f>
        <x:v>0</x:v>
      </x:c>
      <x:c r="E16" s="10" t="n">
        <x:f>IFERROR(D16/C16,0)</x:f>
        <x:v>0</x:v>
      </x:c>
      <x:c r="G16" s="6" t="inlineStr">
        <x:is>
          <x:t xml:space="preserve">Startup Credits</x:t>
        </x:is>
      </x:c>
      <x:c r="H16" s="9" t="n">
        <x:f>COUNTIF(Plan!B5:B333,"Startup Credits")</x:f>
        <x:v>13</x:v>
      </x:c>
      <x:c r="I16" s="9" t="n">
        <x:f>COUNTIFS(Plan!B5:B333,"Startup Credits",Plan!L5:L333,"Done")</x:f>
        <x:v>0</x:v>
      </x:c>
      <x:c r="J16" s="9" t="n">
        <x:f>COUNTIFS(Plan!B5:B333,"Startup Credits",Plan!L5:L333,"In progress")</x:f>
        <x:v>0</x:v>
      </x:c>
      <x:c r="K16" s="10" t="n">
        <x:f>IFERROR(I16/H16,0)</x:f>
        <x:v>0</x:v>
      </x:c>
      <x:c r="M16" s="40" t="inlineStr">
        <x:is>
          <x:t xml:space="preserve">At-Resign</x:t>
        </x:is>
      </x:c>
      <x:c r="N16" s="9" t="n">
        <x:f>COUNTIF(Plan!K5:K333,"At-Resign")</x:f>
        <x:v>0</x:v>
      </x:c>
      <x:c r="O16" s="9" t="n">
        <x:f>COUNTIFS(Plan!K5:K333,"At-Resign",Plan!L5:L333,"Done")</x:f>
        <x:v>0</x:v>
      </x:c>
    </x:row>
    <x:row r="17">
      <x:c r="B17" s="14" t="inlineStr">
        <x:is>
          <x:t xml:space="preserve">P2</x:t>
        </x:is>
      </x:c>
      <x:c r="C17" s="9" t="n">
        <x:f>COUNTIF(Plan!E5:E333,"P2")</x:f>
        <x:v>21</x:v>
      </x:c>
      <x:c r="D17" s="9" t="n">
        <x:f>COUNTIFS(Plan!E5:E333,"P2",Plan!L5:L333,"Done")</x:f>
        <x:v>0</x:v>
      </x:c>
      <x:c r="E17" s="10" t="n">
        <x:f>IFERROR(D17/C17,0)</x:f>
        <x:v>0</x:v>
      </x:c>
      <x:c r="G17" s="6" t="inlineStr">
        <x:is>
          <x:t xml:space="preserve">Internal Rehearsal</x:t>
        </x:is>
      </x:c>
      <x:c r="H17" s="9" t="n">
        <x:f>COUNTIF(Plan!B5:B333,"Internal Rehearsal")</x:f>
        <x:v>16</x:v>
      </x:c>
      <x:c r="I17" s="9" t="n">
        <x:f>COUNTIFS(Plan!B5:B333,"Internal Rehearsal",Plan!L5:L333,"Done")</x:f>
        <x:v>0</x:v>
      </x:c>
      <x:c r="J17" s="9" t="n">
        <x:f>COUNTIFS(Plan!B5:B333,"Internal Rehearsal",Plan!L5:L333,"In progress")</x:f>
        <x:v>0</x:v>
      </x:c>
      <x:c r="K17" s="10" t="n">
        <x:f>IFERROR(I17/H17,0)</x:f>
        <x:v>0</x:v>
      </x:c>
      <x:c r="M17" s="83" t="inlineStr">
        <x:is>
          <x:t xml:space="preserve">Post-Resign</x:t>
        </x:is>
      </x:c>
      <x:c r="N17" s="9" t="n">
        <x:f>COUNTIF(Plan!K5:K333,"Post-Resign")</x:f>
        <x:v>61</x:v>
      </x:c>
      <x:c r="O17" s="9" t="n">
        <x:f>COUNTIFS(Plan!K5:K333,"Post-Resign",Plan!L5:L333,"Done")</x:f>
        <x:v>0</x:v>
      </x:c>
    </x:row>
    <x:row r="18">
      <x:c r="B18" s="15" t="inlineStr">
        <x:is>
          <x:t xml:space="preserve">P3</x:t>
        </x:is>
      </x:c>
      <x:c r="C18" s="9" t="n">
        <x:f>COUNTIF(Plan!E5:E333,"P3")</x:f>
        <x:v>2</x:v>
      </x:c>
      <x:c r="D18" s="9" t="n">
        <x:f>COUNTIFS(Plan!E5:E333,"P3",Plan!L5:L333,"Done")</x:f>
        <x:v>0</x:v>
      </x:c>
      <x:c r="E18" s="10" t="n">
        <x:f>IFERROR(D18/C18,0)</x:f>
        <x:v>0</x:v>
      </x:c>
      <x:c r="G18" s="6" t="inlineStr">
        <x:is>
          <x:t xml:space="preserve">Pressure Test</x:t>
        </x:is>
      </x:c>
      <x:c r="H18" s="9" t="n">
        <x:f>COUNTIF(Plan!B5:B333,"Pressure Test")</x:f>
        <x:v>12</x:v>
      </x:c>
      <x:c r="I18" s="9" t="n">
        <x:f>COUNTIFS(Plan!B5:B333,"Pressure Test",Plan!L5:L333,"Done")</x:f>
        <x:v>0</x:v>
      </x:c>
      <x:c r="J18" s="9" t="n">
        <x:f>COUNTIFS(Plan!B5:B333,"Pressure Test",Plan!L5:L333,"In progress")</x:f>
        <x:v>0</x:v>
      </x:c>
      <x:c r="K18" s="10" t="n">
        <x:f>IFERROR(I18/H18,0)</x:f>
        <x:v>0</x:v>
      </x:c>
      <x:c r="M18" s="84" t="inlineStr">
        <x:is>
          <x:t xml:space="preserve">Anytime</x:t>
        </x:is>
      </x:c>
      <x:c r="N18" s="9" t="n">
        <x:f>COUNTIF(Plan!K5:K333,"Anytime")</x:f>
        <x:v>182</x:v>
      </x:c>
      <x:c r="O18" s="9" t="n">
        <x:f>COUNTIFS(Plan!K5:K333,"Anytime",Plan!L5:L333,"Done")</x:f>
        <x:v>1</x:v>
      </x:c>
    </x:row>
    <x:row r="19">
      <x:c r="G19" s="6" t="inlineStr">
        <x:is>
          <x:t xml:space="preserve">Adversarial Test</x:t>
        </x:is>
      </x:c>
      <x:c r="H19" s="9" t="n">
        <x:f>COUNTIF(Plan!B5:B333,"Adversarial Test")</x:f>
        <x:v>17</x:v>
      </x:c>
      <x:c r="I19" s="9" t="n">
        <x:f>COUNTIFS(Plan!B5:B333,"Adversarial Test",Plan!L5:L333,"Done")</x:f>
        <x:v>0</x:v>
      </x:c>
      <x:c r="J19" s="9" t="n">
        <x:f>COUNTIFS(Plan!B5:B333,"Adversarial Test",Plan!L5:L333,"In progress")</x:f>
        <x:v>0</x:v>
      </x:c>
      <x:c r="K19" s="10" t="n">
        <x:f>IFERROR(I19/H19,0)</x:f>
        <x:v>0</x:v>
      </x:c>
    </x:row>
    <x:row r="20">
      <x:c r="B20" s="37" t="inlineStr">
        <x:is>
          <x:t xml:space="preserve">By Ease (knock-off ladder)</x:t>
        </x:is>
      </x:c>
      <x:c r="F20" s="36" t="n"/>
      <x:c r="G20" s="6" t="inlineStr">
        <x:is>
          <x:t xml:space="preserve">AI Liability Defense</x:t>
        </x:is>
      </x:c>
      <x:c r="H20" s="9" t="n">
        <x:f>COUNTIF(Plan!B5:B333,"AI Liability Defense")</x:f>
        <x:v>49</x:v>
      </x:c>
      <x:c r="I20" s="9" t="n">
        <x:f>COUNTIFS(Plan!B5:B333,"AI Liability Defense",Plan!L5:L333,"Done")</x:f>
        <x:v>1</x:v>
      </x:c>
      <x:c r="J20" s="9" t="n">
        <x:f>COUNTIFS(Plan!B5:B333,"AI Liability Defense",Plan!L5:L333,"In progress")</x:f>
        <x:v>3</x:v>
      </x:c>
      <x:c r="K20" s="10" t="n">
        <x:f>IFERROR(I20/H20,0)</x:f>
        <x:v>0.02040816326530612</x:v>
      </x:c>
    </x:row>
    <x:row r="21">
      <x:c r="B21" s="8" t="inlineStr">
        <x:is>
          <x:t xml:space="preserve">Ease bucket</x:t>
        </x:is>
      </x:c>
      <x:c r="C21" s="8" t="inlineStr">
        <x:is>
          <x:t xml:space="preserve">Total</x:t>
        </x:is>
      </x:c>
      <x:c r="D21" s="8" t="inlineStr">
        <x:is>
          <x:t xml:space="preserve">Done</x:t>
        </x:is>
      </x:c>
      <x:c r="E21" s="8" t="inlineStr">
        <x:is>
          <x:t xml:space="preserve">% Done</x:t>
        </x:is>
      </x:c>
      <x:c r="F21" s="36" t="n"/>
      <x:c r="G21" s="36" t="n"/>
      <x:c r="H21" s="36" t="n"/>
      <x:c r="I21" s="36" t="n"/>
      <x:c r="J21" s="36" t="n"/>
      <x:c r="K21" s="36" t="n"/>
    </x:row>
    <x:row r="22">
      <x:c r="B22" s="38" t="inlineStr">
        <x:is>
          <x:t xml:space="preserve">1. QUICK WIN</x:t>
        </x:is>
      </x:c>
      <x:c r="C22" s="9" t="n">
        <x:f>COUNTIF(Plan!F5:F333,"1. QUICK WIN")</x:f>
        <x:v>35</x:v>
      </x:c>
      <x:c r="D22" s="9" t="n">
        <x:f>COUNTIFS(Plan!F5:F333,"1. QUICK WIN",Plan!L5:L333,"Done")</x:f>
        <x:v>0</x:v>
      </x:c>
      <x:c r="E22" s="10" t="n">
        <x:f>IFERROR(D22/C22,0)</x:f>
        <x:v>0</x:v>
      </x:c>
      <x:c r="F22" s="36" t="n"/>
      <x:c r="G22" s="6" t="inlineStr">
        <x:is>
          <x:t xml:space="preserve">Employer Conflict</x:t>
        </x:is>
      </x:c>
      <x:c r="H22" s="9" t="n">
        <x:f>COUNTIF(Plan!B5:B333,"Employer Conflict")</x:f>
        <x:v>24</x:v>
      </x:c>
      <x:c r="I22" s="9" t="n">
        <x:f>COUNTIFS(Plan!B5:B333,"Employer Conflict",Plan!L5:L333,"Done")</x:f>
        <x:v>0</x:v>
      </x:c>
      <x:c r="J22" s="9" t="n">
        <x:f>COUNTIFS(Plan!B5:B333,"Employer Conflict",Plan!L5:L333,"In progress")</x:f>
        <x:v>0</x:v>
      </x:c>
      <x:c r="K22" s="10" t="n">
        <x:f>IFERROR(I22/H22,0)</x:f>
        <x:v>0</x:v>
      </x:c>
    </x:row>
    <x:row r="23">
      <x:c r="B23" s="39" t="inlineStr">
        <x:is>
          <x:t xml:space="preserve">2. CLAUDE DOES IT</x:t>
        </x:is>
      </x:c>
      <x:c r="C23" s="9" t="n">
        <x:f>COUNTIF(Plan!F5:F333,"2. CLAUDE DOES IT")</x:f>
        <x:v>189</x:v>
      </x:c>
      <x:c r="D23" s="9" t="n">
        <x:f>COUNTIFS(Plan!F5:F333,"2. CLAUDE DOES IT",Plan!L5:L333,"Done")</x:f>
        <x:v>1</x:v>
      </x:c>
      <x:c r="E23" s="10" t="n">
        <x:f>IFERROR(D23/C23,0)</x:f>
        <x:v>0.005291005291005291</x:v>
      </x:c>
      <x:c r="F23" s="36" t="n"/>
      <x:c r="G23" s="36" t="n"/>
      <x:c r="H23" s="36" t="n"/>
      <x:c r="I23" s="36" t="n"/>
      <x:c r="J23" s="36" t="n"/>
      <x:c r="K23" s="36" t="n"/>
    </x:row>
    <x:row r="24">
      <x:c r="B24" s="40" t="inlineStr">
        <x:is>
          <x:t xml:space="preserve">3. CLAUDE + YOU</x:t>
        </x:is>
      </x:c>
      <x:c r="C24" s="9" t="n">
        <x:f>COUNTIF(Plan!F5:F333,"3. CLAUDE + YOU")</x:f>
        <x:v>26</x:v>
      </x:c>
      <x:c r="D24" s="9" t="n">
        <x:f>COUNTIFS(Plan!F5:F333,"3. CLAUDE + YOU",Plan!L5:L333,"Done")</x:f>
        <x:v>0</x:v>
      </x:c>
      <x:c r="E24" s="10" t="n">
        <x:f>IFERROR(D24/C24,0)</x:f>
        <x:v>0</x:v>
      </x:c>
      <x:c r="F24" s="36" t="n"/>
      <x:c r="G24" s="36" t="n"/>
      <x:c r="H24" s="36" t="n"/>
      <x:c r="I24" s="36" t="n"/>
      <x:c r="J24" s="36" t="n"/>
      <x:c r="K24" s="36" t="n"/>
    </x:row>
    <x:row r="25">
      <x:c r="B25" s="41" t="inlineStr">
        <x:is>
          <x:t xml:space="preserve">4. CLAUDE + PRO</x:t>
        </x:is>
      </x:c>
      <x:c r="C25" s="9" t="n">
        <x:f>COUNTIF(Plan!F5:F333,"4. CLAUDE + PRO")</x:f>
        <x:v>13</x:v>
      </x:c>
      <x:c r="D25" s="9" t="n">
        <x:f>COUNTIFS(Plan!F5:F333,"4. CLAUDE + PRO",Plan!L5:L333,"Done")</x:f>
        <x:v>0</x:v>
      </x:c>
      <x:c r="E25" s="10" t="n">
        <x:f>IFERROR(D25/C25,0)</x:f>
        <x:v>0</x:v>
      </x:c>
      <x:c r="F25" s="36" t="n"/>
      <x:c r="G25" s="36" t="n"/>
      <x:c r="H25" s="36" t="n"/>
      <x:c r="I25" s="36" t="n"/>
      <x:c r="J25" s="36" t="n"/>
      <x:c r="K25" s="36" t="n"/>
    </x:row>
    <x:row r="26">
      <x:c r="B26" s="42" t="inlineStr">
        <x:is>
          <x:t xml:space="preserve">5. EXTERNAL</x:t>
        </x:is>
      </x:c>
      <x:c r="C26" s="9" t="n">
        <x:f>COUNTIF(Plan!F5:F333,"5. EXTERNAL")</x:f>
        <x:v>66</x:v>
      </x:c>
      <x:c r="D26" s="9" t="n">
        <x:f>COUNTIFS(Plan!F5:F333,"5. EXTERNAL",Plan!L5:L333,"Done")</x:f>
        <x:v>0</x:v>
      </x:c>
      <x:c r="E26" s="10" t="n">
        <x:f>IFERROR(D26/C26,0)</x:f>
        <x:v>0</x:v>
      </x:c>
      <x:c r="F26" s="36" t="n"/>
      <x:c r="G26" s="36" t="n"/>
      <x:c r="H26" s="36" t="n"/>
      <x:c r="I26" s="36" t="n"/>
      <x:c r="J26" s="36" t="n"/>
      <x:c r="K26" s="36" t="n"/>
    </x:row>
    <x:row r="27">
      <x:c r="B27" s="81" t="inlineStr">
        <x:is>
          <x:t xml:space="preserve">🚨 UPSTREAM BLOCKER — Accenture conflict review BEFORE close sprints</x:t>
        </x:is>
      </x:c>
    </x:row>
    <x:row r="28">
      <x:c r="B28" s="70" t="inlineStr">
        <x:is>
          <x:t xml:space="preserve">Filter Plan by Category = 'Employer Conflict'. ALL P0. Resolve before continuing PHS/KK close sprints. ~1-2 week lawyer review.</x:t>
        </x:is>
      </x:c>
    </x:row>
    <x:row r="29">
      <x:c r="B29" s="69" t="inlineStr">
        <x:is>
          <x:t xml:space="preserve">🎯 PROSPECT PRIORITY — All 3 Have Demo Access; Closing Motion, Not Pitching</x:t>
        </x:is>
      </x:c>
      <x:c r="L29" s="36" t="n"/>
      <x:c r="M29" s="36" t="n"/>
    </x:row>
    <x:row r="30">
      <x:c r="B30" s="70" t="inlineStr">
        <x:is>
          <x:t xml:space="preserve">2-week sprints on PHS + KK in parallel. Surekha = nurture until July 1 start, then sprint.</x:t>
        </x:is>
      </x:c>
      <x:c r="L30" s="36" t="n"/>
      <x:c r="M30" s="36" t="n"/>
    </x:row>
    <x:row r="31">
      <x:c r="B31" s="36" t="n"/>
      <x:c r="C31" s="36" t="n"/>
      <x:c r="D31" s="36" t="n"/>
      <x:c r="E31" s="36" t="n"/>
      <x:c r="F31" s="36" t="n"/>
      <x:c r="G31" s="36" t="n"/>
      <x:c r="H31" s="36" t="n"/>
      <x:c r="I31" s="36" t="n"/>
      <x:c r="J31" s="36" t="n"/>
      <x:c r="K31" s="36" t="n"/>
      <x:c r="L31" s="36" t="n"/>
      <x:c r="M31" s="36" t="n"/>
    </x:row>
    <x:row r="32">
      <x:c r="B32" s="73" t="inlineStr">
        <x:is>
          <x:t xml:space="preserve">1</x:t>
        </x:is>
      </x:c>
      <x:c r="C32" s="72" t="inlineStr">
        <x:is>
          <x:t xml:space="preserve">PHS CDAO</x:t>
        </x:is>
      </x:c>
      <x:c r="D32" s="18" t="inlineStr">
        <x:is>
          <x:t xml:space="preserve">🟡 MED-HIGH risk</x:t>
        </x:is>
      </x:c>
      <x:c r="E32" s="18" t="inlineStr">
        <x:is>
          <x:t xml:space="preserve">Sprint but DON'T SIGN until lawyer opinion + Accenture exit</x:t>
        </x:is>
      </x:c>
      <x:c r="F32" s="18" t="inlineStr">
        <x:is>
          <x:t xml:space="preserve">Lawyer Q: 15yr preexisting personal relationship defense</x:t>
        </x:is>
      </x:c>
      <x:c r="G32" s="18" t="inlineStr">
        <x:is>
          <x:t xml:space="preserve">You</x:t>
        </x:is>
      </x:c>
      <x:c r="H32" s="36" t="n"/>
      <x:c r="I32" s="36" t="n"/>
      <x:c r="J32" s="36" t="n"/>
      <x:c r="K32" s="36" t="n"/>
      <x:c r="L32" s="36" t="n"/>
      <x:c r="M32" s="36" t="n"/>
    </x:row>
    <x:row r="33">
      <x:c r="B33" s="79" t="inlineStr">
        <x:is>
          <x:t xml:space="preserve">2</x:t>
        </x:is>
      </x:c>
      <x:c r="C33" s="72" t="inlineStr">
        <x:is>
          <x:t xml:space="preserve">KK / Delta</x:t>
        </x:is>
      </x:c>
      <x:c r="D33" s="18" t="inlineStr">
        <x:is>
          <x:t xml:space="preserve">🟢 LOW risk (likely clean)</x:t>
        </x:is>
      </x:c>
      <x:c r="E33" s="18" t="inlineStr">
        <x:is>
          <x:t xml:space="preserve">Sprint as planned; could be first signing</x:t>
        </x:is>
      </x:c>
      <x:c r="F33" s="18" t="inlineStr">
        <x:is>
          <x:t xml:space="preserve">Lawyer Q: 2022 work outside lookback?</x:t>
        </x:is>
      </x:c>
      <x:c r="G33" s="18" t="inlineStr">
        <x:is>
          <x:t xml:space="preserve">You</x:t>
        </x:is>
      </x:c>
      <x:c r="H33" s="36" t="n"/>
      <x:c r="I33" s="36" t="n"/>
      <x:c r="J33" s="36" t="n"/>
      <x:c r="K33" s="36" t="n"/>
      <x:c r="L33" s="36" t="n"/>
      <x:c r="M33" s="36" t="n"/>
    </x:row>
    <x:row r="34">
      <x:c r="B34" s="79" t="inlineStr">
        <x:is>
          <x:t xml:space="preserve">3</x:t>
        </x:is>
      </x:c>
      <x:c r="C34" s="72" t="inlineStr">
        <x:is>
          <x:t xml:space="preserve">Surekha @ Morgan Street</x:t>
        </x:is>
      </x:c>
      <x:c r="D34" s="18" t="inlineStr">
        <x:is>
          <x:t xml:space="preserve">🟢 CLEAN (confirm)</x:t>
        </x:is>
      </x:c>
      <x:c r="E34" s="18" t="inlineStr">
        <x:is>
          <x:t xml:space="preserve">Nurture until July 1, sprint after; just confirm not Accenture client</x:t>
        </x:is>
      </x:c>
      <x:c r="F34" s="18" t="inlineStr">
        <x:is>
          <x:t xml:space="preserve">Lawyer Q: confirm not on Accenture client list</x:t>
        </x:is>
      </x:c>
      <x:c r="G34" s="18" t="inlineStr">
        <x:is>
          <x:t xml:space="preserve">You</x:t>
        </x:is>
      </x:c>
      <x:c r="H34" s="36" t="n"/>
      <x:c r="I34" s="36" t="n"/>
      <x:c r="J34" s="36" t="n"/>
      <x:c r="K34" s="36" t="n"/>
      <x:c r="L34" s="36" t="n"/>
      <x:c r="M34" s="36" t="n"/>
    </x:row>
    <x:row r="35">
      <x:c r="B35" s="79" t="inlineStr">
        <x:is>
          <x:t xml:space="preserve">3</x:t>
        </x:is>
      </x:c>
      <x:c r="C35" s="72" t="inlineStr">
        <x:is>
          <x:t xml:space="preserve">Surekha @ Morgan Street</x:t>
        </x:is>
      </x:c>
      <x:c r="D35" s="18" t="inlineStr">
        <x:is>
          <x:t xml:space="preserve">Has demo access; joins role July 1</x:t>
        </x:is>
      </x:c>
      <x:c r="E35" s="18" t="inlineStr">
        <x:is>
          <x:t xml:space="preserve">Stay warm — DON'T over-pitch pre-start</x:t>
        </x:is>
      </x:c>
      <x:c r="F35" s="18" t="inlineStr">
        <x:is>
          <x:t xml:space="preserve">Light touch: 1-2 value-add messages over 5 weeks</x:t>
        </x:is>
      </x:c>
      <x:c r="G35" s="18" t="inlineStr">
        <x:is>
          <x:t xml:space="preserve">You</x:t>
        </x:is>
      </x:c>
      <x:c r="H35" s="36" t="n"/>
      <x:c r="I35" s="36" t="n"/>
      <x:c r="J35" s="36" t="n"/>
      <x:c r="K35" s="36" t="n"/>
      <x:c r="L35" s="36" t="n"/>
      <x:c r="M35" s="36" t="n"/>
    </x:row>
    <x:row r="36">
      <x:c r="B36" s="36" t="n"/>
      <x:c r="C36" s="36" t="n"/>
      <x:c r="D36" s="36" t="n"/>
      <x:c r="E36" s="36" t="n"/>
      <x:c r="F36" s="36" t="n"/>
      <x:c r="G36" s="36" t="n"/>
      <x:c r="H36" s="36" t="n"/>
      <x:c r="I36" s="36" t="n"/>
      <x:c r="J36" s="36" t="n"/>
      <x:c r="K36" s="36" t="n"/>
      <x:c r="L36" s="36" t="n"/>
      <x:c r="M36" s="36" t="n"/>
    </x:row>
    <x:row r="37">
      <x:c r="B37" s="36" t="n"/>
      <x:c r="C37" s="36" t="n"/>
      <x:c r="D37" s="36" t="n"/>
      <x:c r="E37" s="36" t="n"/>
      <x:c r="F37" s="36" t="n"/>
      <x:c r="G37" s="36" t="n"/>
      <x:c r="H37" s="36" t="n"/>
      <x:c r="I37" s="36" t="n"/>
      <x:c r="J37" s="36" t="n"/>
      <x:c r="K37" s="36" t="n"/>
      <x:c r="L37" s="36" t="n"/>
      <x:c r="M37" s="36" t="n"/>
    </x:row>
    <x:row r="38">
      <x:c r="B38" s="75" t="inlineStr">
        <x:is>
          <x:t xml:space="preserve">📅 2-WEEK SPRINT — PHS + KK in Parallel</x:t>
        </x:is>
      </x:c>
      <x:c r="L38" s="36" t="n"/>
      <x:c r="M38" s="36" t="n"/>
    </x:row>
    <x:row r="39">
      <x:c r="B39" s="8" t="inlineStr">
        <x:is>
          <x:t xml:space="preserve">DAY</x:t>
        </x:is>
      </x:c>
      <x:c r="C39" s="8" t="inlineStr">
        <x:is>
          <x:t xml:space="preserve">PHS CDAO (close motion)</x:t>
        </x:is>
      </x:c>
      <x:c r="D39" s="64" t="n"/>
      <x:c r="E39" s="64" t="n"/>
      <x:c r="F39" s="35" t="n"/>
      <x:c r="G39" s="8" t="inlineStr">
        <x:is>
          <x:t xml:space="preserve">KK / Delta (close OR no-go)</x:t>
        </x:is>
      </x:c>
      <x:c r="H39" s="64" t="n"/>
      <x:c r="I39" s="64" t="n"/>
      <x:c r="J39" s="64" t="n"/>
      <x:c r="K39" s="35" t="n"/>
      <x:c r="L39" s="36" t="n"/>
      <x:c r="M39" s="36" t="n"/>
    </x:row>
    <x:row r="40" ht="36" customHeight="1">
      <x:c r="B40" s="30" t="inlineStr">
        <x:is>
          <x:t xml:space="preserve">Day 1-2</x:t>
        </x:is>
      </x:c>
      <x:c r="C40" s="18" t="inlineStr">
        <x:is>
          <x:t xml:space="preserve">Usage debrief call w/ CDAO — what did they try? Where did they get stuck? What's missing for their context?</x:t>
        </x:is>
      </x:c>
      <x:c r="D40" s="64" t="n"/>
      <x:c r="E40" s="64" t="n"/>
      <x:c r="F40" s="35" t="n"/>
      <x:c r="G40" s="18" t="inlineStr">
        <x:is>
          <x:t xml:space="preserve">Usage debrief w/ KK + team — what did they try? Did it land for AI-led product dev intent?</x:t>
        </x:is>
      </x:c>
      <x:c r="H40" s="64" t="n"/>
      <x:c r="I40" s="64" t="n"/>
      <x:c r="J40" s="64" t="n"/>
      <x:c r="K40" s="35" t="n"/>
      <x:c r="L40" s="36" t="n"/>
      <x:c r="M40" s="36" t="n"/>
    </x:row>
    <x:row r="41" ht="36" customHeight="1">
      <x:c r="B41" s="30" t="inlineStr">
        <x:is>
          <x:t xml:space="preserve">Day 2-3</x:t>
        </x:is>
      </x:c>
      <x:c r="C41" s="18" t="inlineStr">
        <x:is>
          <x:t xml:space="preserve">Load PHS-style data into their tenant (synthetic healthcare scaled to their size); customize Move catalog for healthcare</x:t>
        </x:is>
      </x:c>
      <x:c r="D41" s="64" t="n"/>
      <x:c r="E41" s="64" t="n"/>
      <x:c r="F41" s="35" t="n"/>
      <x:c r="G41" s="18" t="inlineStr">
        <x:is>
          <x:t xml:space="preserve">STRATEGIC DECISION: build 'Software Delivery' corpus wave or not? Decide BEFORE further work.</x:t>
        </x:is>
      </x:c>
      <x:c r="H41" s="64" t="n"/>
      <x:c r="I41" s="64" t="n"/>
      <x:c r="J41" s="64" t="n"/>
      <x:c r="K41" s="35" t="n"/>
      <x:c r="L41" s="36" t="n"/>
      <x:c r="M41" s="36" t="n"/>
    </x:row>
    <x:row r="42" ht="36" customHeight="1">
      <x:c r="B42" s="30" t="inlineStr">
        <x:is>
          <x:t xml:space="preserve">Day 3-4</x:t>
        </x:is>
      </x:c>
      <x:c r="C42" s="18" t="inlineStr">
        <x:is>
          <x:t xml:space="preserve">Identify full decision-maker chain: CDAO authorize? Or CIO/CFO joint? Map IT sourcing colleague</x:t>
        </x:is>
      </x:c>
      <x:c r="D42" s="64" t="n"/>
      <x:c r="E42" s="64" t="n"/>
      <x:c r="F42" s="35" t="n"/>
      <x:c r="G42" s="18" t="inlineStr">
        <x:is>
          <x:t xml:space="preserve">If decision = NO corpus: pivot KK to Play A (governance/measurement layer) + Source wedge. Honest framing.</x:t>
        </x:is>
      </x:c>
      <x:c r="H42" s="64" t="n"/>
      <x:c r="I42" s="64" t="n"/>
      <x:c r="J42" s="64" t="n"/>
      <x:c r="K42" s="35" t="n"/>
      <x:c r="L42" s="36" t="n"/>
      <x:c r="M42" s="36" t="n"/>
    </x:row>
    <x:row r="43" ht="36" customHeight="1">
      <x:c r="B43" s="30" t="inlineStr">
        <x:is>
          <x:t xml:space="preserve">Day 4-5</x:t>
        </x:is>
      </x:c>
      <x:c r="C43" s="18" t="inlineStr">
        <x:is>
          <x:t xml:space="preserve">Joint working session (90 min) — walk through THEIR PHS view: 3 candidate Moves + value math + Azure+Databricks fit</x:t>
        </x:is>
      </x:c>
      <x:c r="D43" s="64" t="n"/>
      <x:c r="E43" s="64" t="n"/>
      <x:c r="F43" s="35" t="n"/>
      <x:c r="G43" s="18" t="inlineStr">
        <x:is>
          <x:t xml:space="preserve">Joint working session — pitch Play A. Confirm whether 'methodology' or 'measurement/governance' is primary itch.</x:t>
        </x:is>
      </x:c>
      <x:c r="H43" s="64" t="n"/>
      <x:c r="I43" s="64" t="n"/>
      <x:c r="J43" s="64" t="n"/>
      <x:c r="K43" s="35" t="n"/>
      <x:c r="L43" s="36" t="n"/>
      <x:c r="M43" s="36" t="n"/>
    </x:row>
    <x:row r="44" ht="36" customHeight="1">
      <x:c r="B44" s="30" t="inlineStr">
        <x:is>
          <x:t xml:space="preserve">Day 5-7</x:t>
        </x:is>
      </x:c>
      <x:c r="C44" s="18" t="inlineStr">
        <x:is>
          <x:t xml:space="preserve">Draft pilot SOW tailored to PHS with success criteria + IT sourcing add-on (Source module)</x:t>
        </x:is>
      </x:c>
      <x:c r="D44" s="64" t="n"/>
      <x:c r="E44" s="64" t="n"/>
      <x:c r="F44" s="35" t="n"/>
      <x:c r="G44" s="18" t="inlineStr">
        <x:is>
          <x:t xml:space="preserve">If green light: draft Lane A (CTO core) + Lane B (AI-dev measurement) SOW. If red light: nurture, move on.</x:t>
        </x:is>
      </x:c>
      <x:c r="H44" s="64" t="n"/>
      <x:c r="I44" s="64" t="n"/>
      <x:c r="J44" s="64" t="n"/>
      <x:c r="K44" s="35" t="n"/>
      <x:c r="L44" s="36" t="n"/>
      <x:c r="M44" s="36" t="n"/>
    </x:row>
    <x:row r="45" ht="36" customHeight="1">
      <x:c r="B45" s="30" t="inlineStr">
        <x:is>
          <x:t xml:space="preserve">Day 7-10</x:t>
        </x:is>
      </x:c>
      <x:c r="C45" s="18" t="inlineStr">
        <x:is>
          <x:t xml:space="preserve">Iterate SOW with CDAO + IT sourcing colleague. Align commercial terms (price, payment, founder hours).</x:t>
        </x:is>
      </x:c>
      <x:c r="D45" s="64" t="n"/>
      <x:c r="E45" s="64" t="n"/>
      <x:c r="F45" s="35" t="n"/>
      <x:c r="G45" s="18" t="inlineStr">
        <x:is>
          <x:t xml:space="preserve">Iterate SOW with KK. Validate value levers with Delta actual numbers ($3B IT, $100s of millions app dev).</x:t>
        </x:is>
      </x:c>
      <x:c r="H45" s="64" t="n"/>
      <x:c r="I45" s="64" t="n"/>
      <x:c r="J45" s="64" t="n"/>
      <x:c r="K45" s="35" t="n"/>
      <x:c r="L45" s="36" t="n"/>
      <x:c r="M45" s="36" t="n"/>
    </x:row>
    <x:row r="46" ht="36" customHeight="1">
      <x:c r="B46" s="30" t="inlineStr">
        <x:is>
          <x:t xml:space="preserve">Day 10-12</x:t>
        </x:is>
      </x:c>
      <x:c r="C46" s="18" t="inlineStr">
        <x:is>
          <x:t xml:space="preserve">Schedule decision meeting. Pre-handle legal/procurement questions. Insurance + SOC 2 status doc.</x:t>
        </x:is>
      </x:c>
      <x:c r="D46" s="64" t="n"/>
      <x:c r="E46" s="64" t="n"/>
      <x:c r="F46" s="35" t="n"/>
      <x:c r="G46" s="18" t="inlineStr">
        <x:is>
          <x:t xml:space="preserve">Schedule decision meeting OR document 'what would need to be true' for future.</x:t>
        </x:is>
      </x:c>
      <x:c r="H46" s="64" t="n"/>
      <x:c r="I46" s="64" t="n"/>
      <x:c r="J46" s="64" t="n"/>
      <x:c r="K46" s="35" t="n"/>
      <x:c r="L46" s="36" t="n"/>
      <x:c r="M46" s="36" t="n"/>
    </x:row>
    <x:row r="47" ht="36" customHeight="1">
      <x:c r="B47" s="30" t="inlineStr">
        <x:is>
          <x:t xml:space="preserve">Day 12-14</x:t>
        </x:is>
      </x:c>
      <x:c r="C47" s="18" t="inlineStr">
        <x:is>
          <x:t xml:space="preserve">Verbal alignment + pilot SOW agreed in principle. Kickoff date scheduled.</x:t>
        </x:is>
      </x:c>
      <x:c r="D47" s="64" t="n"/>
      <x:c r="E47" s="64" t="n"/>
      <x:c r="F47" s="35" t="n"/>
      <x:c r="G47" s="18" t="inlineStr">
        <x:is>
          <x:t xml:space="preserve">Outcome: signed alignment or clean no-go. Don't drag KK if not fit.</x:t>
        </x:is>
      </x:c>
      <x:c r="H47" s="64" t="n"/>
      <x:c r="I47" s="64" t="n"/>
      <x:c r="J47" s="64" t="n"/>
      <x:c r="K47" s="35" t="n"/>
      <x:c r="L47" s="36" t="n"/>
      <x:c r="M47" s="36" t="n"/>
    </x:row>
    <x:row r="48">
      <x:c r="B48" s="36" t="n"/>
      <x:c r="C48" s="36" t="n"/>
      <x:c r="D48" s="36" t="n"/>
      <x:c r="E48" s="36" t="n"/>
      <x:c r="F48" s="36" t="n"/>
      <x:c r="G48" s="36" t="n"/>
      <x:c r="H48" s="36" t="n"/>
      <x:c r="I48" s="36" t="n"/>
      <x:c r="J48" s="36" t="n"/>
      <x:c r="K48" s="36" t="n"/>
      <x:c r="L48" s="36" t="n"/>
      <x:c r="M48" s="36" t="n"/>
    </x:row>
    <x:row r="49">
      <x:c r="B49" s="36" t="n"/>
      <x:c r="C49" s="36" t="n"/>
      <x:c r="D49" s="36" t="n"/>
      <x:c r="E49" s="36" t="n"/>
      <x:c r="F49" s="36" t="n"/>
      <x:c r="G49" s="36" t="n"/>
      <x:c r="H49" s="36" t="n"/>
      <x:c r="I49" s="36" t="n"/>
      <x:c r="J49" s="36" t="n"/>
      <x:c r="K49" s="36" t="n"/>
      <x:c r="L49" s="36" t="n"/>
      <x:c r="M49" s="36" t="n"/>
    </x:row>
    <x:row r="50">
      <x:c r="B50" s="80" t="inlineStr">
        <x:is>
          <x:t xml:space="preserve">🌱 SUREKHA NURTURE — She joins July 1, sprint after</x:t>
        </x:is>
      </x:c>
      <x:c r="L50" s="36" t="n"/>
      <x:c r="M50" s="36" t="n"/>
    </x:row>
    <x:row r="51">
      <x:c r="B51" s="76" t="inlineStr">
        <x:is>
          <x:t xml:space="preserve">☐</x:t>
        </x:is>
      </x:c>
      <x:c r="C51" s="36" t="inlineStr">
        <x:is>
          <x:t xml:space="preserve">Week 1 (now): LinkedIn connect with thoughtful note about her new role — NOT pitch</x:t>
        </x:is>
      </x:c>
      <x:c r="L51" s="36" t="n"/>
      <x:c r="M51" s="36" t="n"/>
    </x:row>
    <x:row r="52">
      <x:c r="B52" s="76" t="inlineStr">
        <x:is>
          <x:t xml:space="preserve">☐</x:t>
        </x:is>
      </x:c>
      <x:c r="C52" s="36" t="inlineStr">
        <x:is>
          <x:t xml:space="preserve">Week 2-3: Share 1 thoughtful piece (industry insight or framework) — value, not sales</x:t>
        </x:is>
      </x:c>
      <x:c r="L52" s="36" t="n"/>
      <x:c r="M52" s="36" t="n"/>
    </x:row>
    <x:row r="53">
      <x:c r="B53" s="76" t="inlineStr">
        <x:is>
          <x:t xml:space="preserve">☐</x:t>
        </x:is>
      </x:c>
      <x:c r="C53" s="36" t="inlineStr">
        <x:is>
          <x:t xml:space="preserve">Week 4-5: Reference a peer's success or relevant case — keep warm</x:t>
        </x:is>
      </x:c>
      <x:c r="L53" s="36" t="n"/>
      <x:c r="M53" s="36" t="n"/>
    </x:row>
    <x:row r="54">
      <x:c r="B54" s="76" t="inlineStr">
        <x:is>
          <x:t xml:space="preserve">☐</x:t>
        </x:is>
      </x:c>
      <x:c r="C54" s="36" t="inlineStr">
        <x:is>
          <x:t xml:space="preserve">Week 5 (~July 1): 'Heard you're starting — would love a 30-min in your first week to share the 100-day framework'</x:t>
        </x:is>
      </x:c>
      <x:c r="L54" s="36" t="n"/>
      <x:c r="M54" s="36" t="n"/>
    </x:row>
    <x:row r="55">
      <x:c r="B55" s="76" t="inlineStr">
        <x:is>
          <x:t xml:space="preserve">☐</x:t>
        </x:is>
      </x:c>
      <x:c r="C55" s="36" t="inlineStr">
        <x:is>
          <x:t xml:space="preserve">Week 6 (~July 7): Discovery call → working session → pilot SOW (full sprint)</x:t>
        </x:is>
      </x:c>
      <x:c r="L55" s="36" t="n"/>
      <x:c r="M55" s="36" t="n"/>
    </x:row>
    <x:row r="56">
      <x:c r="B56" s="76" t="inlineStr">
        <x:is>
          <x:t xml:space="preserve">☐</x:t>
        </x:is>
      </x:c>
      <x:c r="C56" s="36" t="inlineStr">
        <x:is>
          <x:t xml:space="preserve">DON'T: pitch hard pre-start; she has bandwidth issues + no authority yet</x:t>
        </x:is>
      </x:c>
      <x:c r="L56" s="36" t="n"/>
      <x:c r="M56" s="36" t="n"/>
    </x:row>
    <x:row r="57">
      <x:c r="B57" s="36" t="n"/>
      <x:c r="C57" s="36" t="n"/>
      <x:c r="D57" s="36" t="n"/>
      <x:c r="E57" s="36" t="n"/>
      <x:c r="F57" s="36" t="n"/>
      <x:c r="G57" s="36" t="n"/>
      <x:c r="H57" s="36" t="n"/>
      <x:c r="I57" s="36" t="n"/>
      <x:c r="J57" s="36" t="n"/>
      <x:c r="K57" s="36" t="n"/>
      <x:c r="L57" s="36" t="n"/>
      <x:c r="M57" s="36" t="n"/>
    </x:row>
    <x:row r="58">
      <x:c r="B58" s="36" t="n"/>
      <x:c r="C58" s="36" t="n"/>
      <x:c r="D58" s="36" t="n"/>
      <x:c r="E58" s="36" t="n"/>
      <x:c r="F58" s="36" t="n"/>
      <x:c r="G58" s="36" t="n"/>
      <x:c r="H58" s="36" t="n"/>
      <x:c r="I58" s="36" t="n"/>
      <x:c r="J58" s="36" t="n"/>
      <x:c r="K58" s="36" t="n"/>
      <x:c r="L58" s="36" t="n"/>
      <x:c r="M58" s="36" t="n"/>
    </x:row>
    <x:row r="59">
      <x:c r="B59" s="77" t="inlineStr">
        <x:is>
          <x:t xml:space="preserve">🔱 STRATEGIC DECISION GATE — Drives KK Play</x:t>
        </x:is>
      </x:c>
      <x:c r="L59" s="36" t="n"/>
      <x:c r="M59" s="36" t="n"/>
    </x:row>
    <x:row r="60" ht="50" customHeight="1">
      <x:c r="B60" s="76" t="inlineStr">
        <x:is>
          <x:t xml:space="preserve">☐</x:t>
        </x:is>
      </x:c>
      <x:c r="C60" s="78" t="inlineStr">
        <x:is>
          <x:t xml:space="preserve">Decide: build 'Software Delivery / AI-Led Dev' corpus wave? (6-12 weeks investment; unlocks CTO-buyer TAM). MUST decide by Day 2-3 of KK sprint. If yes, KK can be pitched as full fit. If no, KK pivots to Play A or C only.</x:t>
        </x:is>
      </x:c>
      <x:c r="L60" s="36" t="n"/>
      <x:c r="M60" s="36" t="n"/>
    </x:row>
    <x:row r="61">
      <x:c r="B61" s="36" t="n"/>
      <x:c r="L61" s="36" t="n"/>
      <x:c r="M61" s="36" t="n"/>
    </x:row>
    <x:row r="62">
      <x:c r="B62" s="36" t="n"/>
      <x:c r="L62" s="36" t="n"/>
      <x:c r="M62" s="36" t="n"/>
    </x:row>
    <x:row r="63">
      <x:c r="B63" s="36" t="n"/>
      <x:c r="C63" s="36" t="n"/>
      <x:c r="D63" s="36" t="n"/>
      <x:c r="E63" s="36" t="n"/>
      <x:c r="F63" s="36" t="n"/>
      <x:c r="G63" s="36" t="n"/>
      <x:c r="H63" s="36" t="n"/>
      <x:c r="I63" s="36" t="n"/>
      <x:c r="J63" s="36" t="n"/>
      <x:c r="K63" s="36" t="n"/>
      <x:c r="L63" s="36" t="n"/>
      <x:c r="M63" s="36" t="n"/>
    </x:row>
    <x:row r="64">
      <x:c r="B64" s="36" t="n"/>
      <x:c r="C64" s="36" t="n"/>
      <x:c r="D64" s="36" t="n"/>
      <x:c r="E64" s="36" t="n"/>
      <x:c r="F64" s="36" t="n"/>
      <x:c r="G64" s="36" t="n"/>
      <x:c r="H64" s="36" t="n"/>
      <x:c r="I64" s="36" t="n"/>
      <x:c r="J64" s="36" t="n"/>
      <x:c r="K64" s="36" t="n"/>
      <x:c r="L64" s="36" t="n"/>
      <x:c r="M64" s="36" t="n"/>
    </x:row>
    <x:row r="65">
      <x:c r="B65" s="36" t="n"/>
      <x:c r="C65" s="36" t="n"/>
      <x:c r="D65" s="36" t="n"/>
      <x:c r="E65" s="36" t="n"/>
      <x:c r="F65" s="36" t="n"/>
      <x:c r="G65" s="36" t="n"/>
      <x:c r="H65" s="36" t="n"/>
      <x:c r="I65" s="36" t="n"/>
      <x:c r="J65" s="36" t="n"/>
      <x:c r="K65" s="36" t="n"/>
      <x:c r="L65" s="36" t="n"/>
      <x:c r="M65" s="36" t="n"/>
    </x:row>
    <x:row r="66">
      <x:c r="B66" s="36" t="n"/>
      <x:c r="C66" s="36" t="n"/>
      <x:c r="D66" s="36" t="n"/>
      <x:c r="E66" s="36" t="n"/>
      <x:c r="F66" s="36" t="n"/>
      <x:c r="G66" s="36" t="n"/>
      <x:c r="H66" s="36" t="n"/>
      <x:c r="I66" s="36" t="n"/>
      <x:c r="J66" s="36" t="n"/>
      <x:c r="K66" s="36" t="n"/>
      <x:c r="L66" s="36" t="n"/>
      <x:c r="M66" s="36" t="n"/>
    </x:row>
    <x:row r="67">
      <x:c r="B67" s="36" t="n"/>
      <x:c r="C67" s="36" t="n"/>
      <x:c r="D67" s="36" t="n"/>
      <x:c r="E67" s="36" t="n"/>
      <x:c r="F67" s="36" t="n"/>
      <x:c r="G67" s="36" t="n"/>
      <x:c r="H67" s="36" t="n"/>
      <x:c r="I67" s="36" t="n"/>
      <x:c r="J67" s="36" t="n"/>
      <x:c r="K67" s="36" t="n"/>
      <x:c r="L67" s="36" t="n"/>
      <x:c r="M67" s="36" t="n"/>
    </x:row>
    <x:row r="68">
      <x:c r="B68" s="36" t="n"/>
      <x:c r="C68" s="36" t="n"/>
      <x:c r="D68" s="36" t="n"/>
      <x:c r="E68" s="36" t="n"/>
      <x:c r="F68" s="36" t="n"/>
      <x:c r="G68" s="36" t="n"/>
      <x:c r="H68" s="36" t="n"/>
      <x:c r="I68" s="36" t="n"/>
      <x:c r="J68" s="36" t="n"/>
      <x:c r="K68" s="36" t="n"/>
      <x:c r="L68" s="36" t="n"/>
      <x:c r="M68" s="36" t="n"/>
    </x:row>
    <x:row r="69">
      <x:c r="B69" s="36" t="n"/>
      <x:c r="C69" s="36" t="n"/>
      <x:c r="D69" s="36" t="n"/>
      <x:c r="E69" s="36" t="n"/>
      <x:c r="F69" s="36" t="n"/>
      <x:c r="G69" s="36" t="n"/>
      <x:c r="H69" s="36" t="n"/>
      <x:c r="I69" s="36" t="n"/>
      <x:c r="J69" s="36" t="n"/>
      <x:c r="K69" s="36" t="n"/>
      <x:c r="L69" s="36" t="n"/>
      <x:c r="M69" s="36" t="n"/>
    </x:row>
    <x:row r="70">
      <x:c r="B70" s="36" t="n"/>
      <x:c r="C70" s="36" t="n"/>
      <x:c r="D70" s="36" t="n"/>
      <x:c r="E70" s="36" t="n"/>
      <x:c r="F70" s="36" t="n"/>
      <x:c r="G70" s="36" t="n"/>
      <x:c r="H70" s="36" t="n"/>
      <x:c r="I70" s="36" t="n"/>
      <x:c r="J70" s="36" t="n"/>
      <x:c r="K70" s="36" t="n"/>
      <x:c r="L70" s="36" t="n"/>
      <x:c r="M70" s="36" t="n"/>
    </x:row>
    <x:row r="71">
      <x:c r="B71" s="36" t="n"/>
      <x:c r="C71" s="36" t="n"/>
      <x:c r="D71" s="36" t="n"/>
      <x:c r="E71" s="36" t="n"/>
      <x:c r="F71" s="36" t="n"/>
      <x:c r="G71" s="36" t="n"/>
      <x:c r="H71" s="36" t="n"/>
      <x:c r="I71" s="36" t="n"/>
      <x:c r="J71" s="36" t="n"/>
      <x:c r="K71" s="36" t="n"/>
      <x:c r="L71" s="36" t="n"/>
      <x:c r="M71" s="36" t="n"/>
    </x:row>
    <x:row r="72">
      <x:c r="B72" s="36" t="n"/>
      <x:c r="C72" s="36" t="n"/>
      <x:c r="D72" s="36" t="n"/>
      <x:c r="E72" s="36" t="n"/>
      <x:c r="F72" s="36" t="n"/>
      <x:c r="G72" s="36" t="n"/>
      <x:c r="H72" s="36" t="n"/>
      <x:c r="I72" s="36" t="n"/>
      <x:c r="J72" s="36" t="n"/>
      <x:c r="K72" s="36" t="n"/>
      <x:c r="L72" s="36" t="n"/>
      <x:c r="M72" s="36" t="n"/>
    </x:row>
    <x:row r="73">
      <x:c r="B73" s="36" t="n"/>
      <x:c r="C73" s="36" t="n"/>
      <x:c r="D73" s="36" t="n"/>
      <x:c r="E73" s="36" t="n"/>
      <x:c r="F73" s="36" t="n"/>
      <x:c r="G73" s="36" t="n"/>
      <x:c r="H73" s="36" t="n"/>
      <x:c r="I73" s="36" t="n"/>
      <x:c r="J73" s="36" t="n"/>
      <x:c r="K73" s="36" t="n"/>
      <x:c r="L73" s="36" t="n"/>
      <x:c r="M73" s="36" t="n"/>
    </x:row>
    <x:row r="74">
      <x:c r="B74" s="36" t="n"/>
      <x:c r="C74" s="36" t="n"/>
      <x:c r="D74" s="36" t="n"/>
      <x:c r="E74" s="36" t="n"/>
      <x:c r="F74" s="36" t="n"/>
      <x:c r="G74" s="36" t="n"/>
      <x:c r="H74" s="36" t="n"/>
      <x:c r="I74" s="36" t="n"/>
      <x:c r="J74" s="36" t="n"/>
      <x:c r="K74" s="36" t="n"/>
      <x:c r="L74" s="36" t="n"/>
      <x:c r="M74" s="36" t="n"/>
    </x:row>
    <x:row r="75">
      <x:c r="B75" s="36" t="n"/>
      <x:c r="C75" s="36" t="n"/>
      <x:c r="D75" s="36" t="n"/>
      <x:c r="E75" s="36" t="n"/>
      <x:c r="F75" s="36" t="n"/>
      <x:c r="G75" s="36" t="n"/>
      <x:c r="H75" s="36" t="n"/>
      <x:c r="I75" s="36" t="n"/>
      <x:c r="J75" s="36" t="n"/>
      <x:c r="K75" s="36" t="n"/>
      <x:c r="L75" s="36" t="n"/>
      <x:c r="M75" s="36" t="n"/>
    </x:row>
    <x:row r="76">
      <x:c r="B76" s="36" t="n"/>
      <x:c r="C76" s="36" t="n"/>
      <x:c r="D76" s="36" t="n"/>
      <x:c r="E76" s="36" t="n"/>
      <x:c r="F76" s="36" t="n"/>
      <x:c r="G76" s="36" t="n"/>
      <x:c r="H76" s="36" t="n"/>
      <x:c r="I76" s="36" t="n"/>
      <x:c r="J76" s="36" t="n"/>
      <x:c r="K76" s="36" t="n"/>
      <x:c r="L76" s="36" t="n"/>
      <x:c r="M76" s="36" t="n"/>
    </x:row>
    <x:row r="77">
      <x:c r="B77" s="36" t="n"/>
      <x:c r="C77" s="36" t="n"/>
      <x:c r="D77" s="36" t="n"/>
      <x:c r="E77" s="36" t="n"/>
      <x:c r="F77" s="36" t="n"/>
      <x:c r="G77" s="36" t="n"/>
      <x:c r="H77" s="36" t="n"/>
      <x:c r="I77" s="36" t="n"/>
      <x:c r="J77" s="36" t="n"/>
      <x:c r="K77" s="36" t="n"/>
      <x:c r="L77" s="36" t="n"/>
      <x:c r="M77" s="36" t="n"/>
    </x:row>
    <x:row r="78">
      <x:c r="B78" s="36" t="n"/>
      <x:c r="C78" s="36" t="n"/>
      <x:c r="D78" s="36" t="n"/>
      <x:c r="E78" s="36" t="n"/>
      <x:c r="F78" s="36" t="n"/>
      <x:c r="G78" s="36" t="n"/>
      <x:c r="H78" s="36" t="n"/>
      <x:c r="I78" s="36" t="n"/>
      <x:c r="J78" s="36" t="n"/>
      <x:c r="K78" s="36" t="n"/>
      <x:c r="L78" s="36" t="n"/>
      <x:c r="M78" s="36" t="n"/>
    </x:row>
    <x:row r="79">
      <x:c r="B79" s="36" t="n"/>
      <x:c r="C79" s="36" t="n"/>
      <x:c r="D79" s="36" t="n"/>
      <x:c r="E79" s="36" t="n"/>
      <x:c r="F79" s="36" t="n"/>
      <x:c r="G79" s="36" t="n"/>
      <x:c r="H79" s="36" t="n"/>
      <x:c r="I79" s="36" t="n"/>
      <x:c r="J79" s="36" t="n"/>
      <x:c r="K79" s="36" t="n"/>
      <x:c r="L79" s="36" t="n"/>
      <x:c r="M79" s="36" t="n"/>
    </x:row>
  </x:sheetData>
  <x:mergeCells>
    <x:mergeCell ref="C54:K54"/>
    <x:mergeCell ref="C39:F39"/>
    <x:mergeCell ref="G43:K43"/>
    <x:mergeCell ref="C55:K55"/>
    <x:mergeCell ref="B30:K30"/>
    <x:mergeCell ref="G42:K42"/>
    <x:mergeCell ref="M13:O13"/>
    <x:mergeCell ref="C56:K56"/>
    <x:mergeCell ref="B5:E5"/>
    <x:mergeCell ref="B20:E20"/>
    <x:mergeCell ref="G39:K39"/>
    <x:mergeCell ref="C51:K51"/>
    <x:mergeCell ref="C60:K62"/>
    <x:mergeCell ref="B50:K50"/>
    <x:mergeCell ref="C52:K52"/>
    <x:mergeCell ref="C42:F42"/>
    <x:mergeCell ref="B59:K59"/>
    <x:mergeCell ref="C45:F45"/>
    <x:mergeCell ref="B27:K27"/>
    <x:mergeCell ref="C53:K53"/>
    <x:mergeCell ref="G5:K5"/>
    <x:mergeCell ref="C47:F47"/>
    <x:mergeCell ref="G45:K45"/>
    <x:mergeCell ref="C41:F41"/>
    <x:mergeCell ref="C44:F44"/>
    <x:mergeCell ref="C40:F40"/>
    <x:mergeCell ref="B13:E13"/>
    <x:mergeCell ref="C43:F43"/>
    <x:mergeCell ref="G47:K47"/>
    <x:mergeCell ref="C46:F46"/>
    <x:mergeCell ref="B29:K29"/>
    <x:mergeCell ref="G41:K41"/>
    <x:mergeCell ref="G44:K44"/>
    <x:mergeCell ref="B38:K38"/>
    <x:mergeCell ref="G46:K46"/>
    <x:mergeCell ref="B28:K28"/>
    <x:mergeCell ref="G40:K40"/>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7" customWidth="1"/>
    <x:col min="2" max="2" width="22" customWidth="1"/>
    <x:col min="3" max="3" width="40" customWidth="1"/>
    <x:col min="4" max="4" width="46" customWidth="1"/>
    <x:col min="5" max="5" width="9" customWidth="1"/>
    <x:col min="6" max="6" width="18" customWidth="1"/>
    <x:col min="7" max="7" width="8" customWidth="1"/>
    <x:col min="8" max="8" width="14" customWidth="1"/>
    <x:col min="9" max="9" width="22" customWidth="1"/>
    <x:col min="10" max="10" width="22" customWidth="1"/>
    <x:col min="11" max="11" width="12" customWidth="1"/>
    <x:col min="12" max="12" width="13" customWidth="1"/>
    <x:col min="13" max="13" width="24" customWidth="1"/>
  </x:cols>
  <x:sheetData>
    <x:row r="1">
      <x:c r="A1" s="1" t="inlineStr">
        <x:is>
          <x:t xml:space="preserve">AbarVa Pilot Readiness — Master Task List</x:t>
        </x:is>
      </x:c>
    </x:row>
    <x:row r="2">
      <x:c r="A2" s="2" t="inlineStr">
        <x:is>
          <x:t xml:space="preserve">Sorted: Category → Ease → Priority. Use Phase column to filter Pre-Resign vs Post-Resign work.</x:t>
        </x:is>
      </x:c>
    </x:row>
    <x:row r="4">
      <x:c r="A4" s="8" t="inlineStr">
        <x:is>
          <x:t xml:space="preserve">TaskID</x:t>
        </x:is>
      </x:c>
      <x:c r="B4" s="8" t="inlineStr">
        <x:is>
          <x:t xml:space="preserve">Category</x:t>
        </x:is>
      </x:c>
      <x:c r="C4" s="8" t="inlineStr">
        <x:is>
          <x:t xml:space="preserve">Task</x:t>
        </x:is>
      </x:c>
      <x:c r="D4" s="8" t="inlineStr">
        <x:is>
          <x:t xml:space="preserve">Detail / Why</x:t>
        </x:is>
      </x:c>
      <x:c r="E4" s="8" t="inlineStr">
        <x:is>
          <x:t xml:space="preserve">Priority</x:t>
        </x:is>
      </x:c>
      <x:c r="F4" s="8" t="inlineStr">
        <x:is>
          <x:t xml:space="preserve">Ease</x:t>
        </x:is>
      </x:c>
      <x:c r="G4" s="8" t="inlineStr">
        <x:is>
          <x:t xml:space="preserve">Owner</x:t>
        </x:is>
      </x:c>
      <x:c r="H4" s="8" t="inlineStr">
        <x:is>
          <x:t xml:space="preserve">Deps</x:t>
        </x:is>
      </x:c>
      <x:c r="I4" s="8" t="inlineStr">
        <x:is>
          <x:t xml:space="preserve">How To</x:t>
        </x:is>
      </x:c>
      <x:c r="J4" s="8" t="inlineStr">
        <x:is>
          <x:t xml:space="preserve">Cost</x:t>
        </x:is>
      </x:c>
      <x:c r="K4" s="8" t="inlineStr">
        <x:is>
          <x:t xml:space="preserve">Phase</x:t>
        </x:is>
      </x:c>
      <x:c r="L4" s="8" t="inlineStr">
        <x:is>
          <x:t xml:space="preserve">Status</x:t>
        </x:is>
      </x:c>
      <x:c r="M4" s="8" t="inlineStr">
        <x:is>
          <x:t xml:space="preserve">Notes</x:t>
        </x:is>
      </x:c>
    </x:row>
    <x:row r="5">
      <x:c r="A5" s="18" t="inlineStr">
        <x:is>
          <x:t xml:space="preserve">T203</x:t>
        </x:is>
      </x:c>
      <x:c r="B5" s="18" t="inlineStr">
        <x:is>
          <x:t xml:space="preserve">AI Liability Defense</x:t>
        </x:is>
      </x:c>
      <x:c r="C5" s="18" t="inlineStr">
        <x:is>
          <x:t xml:space="preserve">ADR: AI as advisor, never decision-maker (architectural invariant)</x:t>
        </x:is>
      </x:c>
      <x:c r="D5" s="18" t="inlineStr">
        <x:is>
          <x:t xml:space="preserve">Codifies: every consequential action requires a human approval gate; no code path from AI agent to external mutation without human commit. Enforce in dependency-cruiser. The most important ADR in the codebase.</x:t>
        </x:is>
      </x:c>
      <x:c r="E5" s="31" t="inlineStr">
        <x:is>
          <x:t xml:space="preserve">P0</x:t>
        </x:is>
      </x:c>
      <x:c r="F5" s="39" t="inlineStr">
        <x:is>
          <x:t xml:space="preserve">2. CLAUDE DOES IT</x:t>
        </x:is>
      </x:c>
      <x:c r="G5" s="18" t="inlineStr">
        <x:is>
          <x:t xml:space="preserve">Anand</x:t>
        </x:is>
      </x:c>
      <x:c r="H5" s="18" t="inlineStr">
        <x:is>
          <x:t xml:space="preserve"/>
        </x:is>
      </x:c>
      <x:c r="I5" s="45" t="inlineStr">
        <x:is>
          <x:t xml:space="preserve">Claude (draft)</x:t>
        </x:is>
      </x:c>
      <x:c r="J5" s="52" t="inlineStr">
        <x:is>
          <x:t xml:space="preserve">$0</x:t>
        </x:is>
      </x:c>
      <x:c r="K5" s="84" t="inlineStr">
        <x:is>
          <x:t xml:space="preserve">Anytime</x:t>
        </x:is>
      </x:c>
      <x:c r="L5" s="44" t="str">
        <x:v>Done</x:v>
      </x:c>
      <x:c r="M5" s="18" t="str">
        <x:v>PR #2715: https://github.com/anandsundaram-hash/abarva/pull/2715</x:v>
      </x:c>
    </x:row>
    <x:row r="6">
      <x:c r="A6" s="18" t="inlineStr">
        <x:is>
          <x:t xml:space="preserve">T204</x:t>
        </x:is>
      </x:c>
      <x:c r="B6" s="18" t="inlineStr">
        <x:is>
          <x:t xml:space="preserve">AI Liability Defense</x:t>
        </x:is>
      </x:c>
      <x:c r="C6" s="18" t="inlineStr">
        <x:is>
          <x:t xml:space="preserve">Enforce 'no auto-action' rule in dependency-cruiser config</x:t>
        </x:is>
      </x:c>
      <x:c r="D6" s="18" t="inlineStr">
        <x:is>
          <x:t xml:space="preserve">Forbidden: AI agent code → external mutation (DB write outside approval table, API call to client systems, email send, etc.) without crossing a human approval gate.</x:t>
        </x:is>
      </x:c>
      <x:c r="E6" s="31" t="inlineStr">
        <x:is>
          <x:t xml:space="preserve">P0</x:t>
        </x:is>
      </x:c>
      <x:c r="F6" s="39" t="inlineStr">
        <x:is>
          <x:t xml:space="preserve">2. CLAUDE DOES IT</x:t>
        </x:is>
      </x:c>
      <x:c r="G6" s="18" t="inlineStr">
        <x:is>
          <x:t xml:space="preserve">Anand</x:t>
        </x:is>
      </x:c>
      <x:c r="H6" s="18" t="inlineStr">
        <x:is>
          <x:t xml:space="preserve"/>
        </x:is>
      </x:c>
      <x:c r="I6" s="45" t="inlineStr">
        <x:is>
          <x:t xml:space="preserve">Claude (code)</x:t>
        </x:is>
      </x:c>
      <x:c r="J6" s="52" t="inlineStr">
        <x:is>
          <x:t xml:space="preserve">$0</x:t>
        </x:is>
      </x:c>
      <x:c r="K6" s="84" t="inlineStr">
        <x:is>
          <x:t xml:space="preserve">Anytime</x:t>
        </x:is>
      </x:c>
      <x:c r="L6" s="44" t="inlineStr">
        <x:is>
          <x:t xml:space="preserve">Not started</x:t>
        </x:is>
      </x:c>
      <x:c r="M6" s="18" t="inlineStr">
        <x:is>
          <x:t xml:space="preserve"/>
        </x:is>
      </x:c>
    </x:row>
    <x:row r="7">
      <x:c r="A7" s="18" t="inlineStr">
        <x:is>
          <x:t xml:space="preserve">T205</x:t>
        </x:is>
      </x:c>
      <x:c r="B7" s="18" t="inlineStr">
        <x:is>
          <x:t xml:space="preserve">AI Liability Defense</x:t>
        </x:is>
      </x:c>
      <x:c r="C7" s="18" t="inlineStr">
        <x:is>
          <x:t xml:space="preserve">Every AI output visually marked 'AI Draft' / 'Pending Review' / 'Suggested'</x:t>
        </x:is>
      </x:c>
      <x:c r="D7" s="18" t="inlineStr">
        <x:is>
          <x:t xml:space="preserve">Design-system component: AILabel, AISuggestionFrame. Used everywhere AI generates content. Not buried — visible.</x:t>
        </x:is>
      </x:c>
      <x:c r="E7" s="31" t="inlineStr">
        <x:is>
          <x:t xml:space="preserve">P0</x:t>
        </x:is>
      </x:c>
      <x:c r="F7" s="39" t="inlineStr">
        <x:is>
          <x:t xml:space="preserve">2. CLAUDE DOES IT</x:t>
        </x:is>
      </x:c>
      <x:c r="G7" s="18" t="inlineStr">
        <x:is>
          <x:t xml:space="preserve">Anand</x:t>
        </x:is>
      </x:c>
      <x:c r="H7" s="18" t="inlineStr">
        <x:is>
          <x:t xml:space="preserve"/>
        </x:is>
      </x:c>
      <x:c r="I7" s="45" t="inlineStr">
        <x:is>
          <x:t xml:space="preserve">Claude (code)</x:t>
        </x:is>
      </x:c>
      <x:c r="J7" s="52" t="inlineStr">
        <x:is>
          <x:t xml:space="preserve">$0</x:t>
        </x:is>
      </x:c>
      <x:c r="K7" s="82" t="inlineStr">
        <x:is>
          <x:t xml:space="preserve">Pre-Resign</x:t>
        </x:is>
      </x:c>
      <x:c r="L7" s="44" t="inlineStr">
        <x:is>
          <x:t xml:space="preserve">Not started</x:t>
        </x:is>
      </x:c>
      <x:c r="M7" s="18" t="inlineStr">
        <x:is>
          <x:t xml:space="preserve"/>
        </x:is>
      </x:c>
    </x:row>
    <x:row r="8">
      <x:c r="A8" s="18" t="inlineStr">
        <x:is>
          <x:t xml:space="preserve">T206</x:t>
        </x:is>
      </x:c>
      <x:c r="B8" s="18" t="inlineStr">
        <x:is>
          <x:t xml:space="preserve">AI Liability Defense</x:t>
        </x:is>
      </x:c>
      <x:c r="C8" s="18" t="inlineStr">
        <x:is>
          <x:t xml:space="preserve">Approval-gate dialog: 'I have reviewed and accept responsibility' checkbox before commit</x:t>
        </x:is>
      </x:c>
      <x:c r="D8" s="18" t="inlineStr">
        <x:is>
          <x:t xml:space="preserve">Standard component for every consequential action. Checkbox + free-text justification field. Stored as evidence.</x:t>
        </x:is>
      </x:c>
      <x:c r="E8" s="31" t="inlineStr">
        <x:is>
          <x:t xml:space="preserve">P0</x:t>
        </x:is>
      </x:c>
      <x:c r="F8" s="39" t="inlineStr">
        <x:is>
          <x:t xml:space="preserve">2. CLAUDE DOES IT</x:t>
        </x:is>
      </x:c>
      <x:c r="G8" s="18" t="inlineStr">
        <x:is>
          <x:t xml:space="preserve">Anand</x:t>
        </x:is>
      </x:c>
      <x:c r="H8" s="18" t="inlineStr">
        <x:is>
          <x:t xml:space="preserve"/>
        </x:is>
      </x:c>
      <x:c r="I8" s="45" t="inlineStr">
        <x:is>
          <x:t xml:space="preserve">Claude (code)</x:t>
        </x:is>
      </x:c>
      <x:c r="J8" s="52" t="inlineStr">
        <x:is>
          <x:t xml:space="preserve">$0</x:t>
        </x:is>
      </x:c>
      <x:c r="K8" s="84" t="inlineStr">
        <x:is>
          <x:t xml:space="preserve">Anytime</x:t>
        </x:is>
      </x:c>
      <x:c r="L8" s="44" t="inlineStr">
        <x:is>
          <x:t xml:space="preserve">Not started</x:t>
        </x:is>
      </x:c>
      <x:c r="M8" s="18" t="inlineStr">
        <x:is>
          <x:t xml:space="preserve"/>
        </x:is>
      </x:c>
    </x:row>
    <x:row r="9">
      <x:c r="A9" s="18" t="inlineStr">
        <x:is>
          <x:t xml:space="preserve">T207</x:t>
        </x:is>
      </x:c>
      <x:c r="B9" s="18" t="inlineStr">
        <x:is>
          <x:t xml:space="preserve">AI Liability Defense</x:t>
        </x:is>
      </x:c>
      <x:c r="C9" s="18" t="inlineStr">
        <x:is>
          <x:t xml:space="preserve">Free-text justification field on every approval — forces user to articulate THEIR reasoning</x:t>
        </x:is>
      </x:c>
      <x:c r="D9" s="18" t="inlineStr">
        <x:is>
          <x:t xml:space="preserve">Minimum 20 chars. Stored verbatim in audit log. Critical anti-rubber-stamp defense.</x:t>
        </x:is>
      </x:c>
      <x:c r="E9" s="31" t="inlineStr">
        <x:is>
          <x:t xml:space="preserve">P0</x:t>
        </x:is>
      </x:c>
      <x:c r="F9" s="39" t="inlineStr">
        <x:is>
          <x:t xml:space="preserve">2. CLAUDE DOES IT</x:t>
        </x:is>
      </x:c>
      <x:c r="G9" s="18" t="inlineStr">
        <x:is>
          <x:t xml:space="preserve">Anand</x:t>
        </x:is>
      </x:c>
      <x:c r="H9" s="18" t="inlineStr">
        <x:is>
          <x:t xml:space="preserve"/>
        </x:is>
      </x:c>
      <x:c r="I9" s="45" t="inlineStr">
        <x:is>
          <x:t xml:space="preserve">Claude (code)</x:t>
        </x:is>
      </x:c>
      <x:c r="J9" s="52" t="inlineStr">
        <x:is>
          <x:t xml:space="preserve">$0</x:t>
        </x:is>
      </x:c>
      <x:c r="K9" s="84" t="inlineStr">
        <x:is>
          <x:t xml:space="preserve">Anytime</x:t>
        </x:is>
      </x:c>
      <x:c r="L9" s="44" t="inlineStr">
        <x:is>
          <x:t xml:space="preserve">Not started</x:t>
        </x:is>
      </x:c>
      <x:c r="M9" s="18" t="inlineStr">
        <x:is>
          <x:t xml:space="preserve"/>
        </x:is>
      </x:c>
    </x:row>
    <x:row r="10">
      <x:c r="A10" s="18" t="inlineStr">
        <x:is>
          <x:t xml:space="preserve">T208</x:t>
        </x:is>
      </x:c>
      <x:c r="B10" s="18" t="inlineStr">
        <x:is>
          <x:t xml:space="preserve">AI Liability Defense</x:t>
        </x:is>
      </x:c>
      <x:c r="C10" s="18" t="inlineStr">
        <x:is>
          <x:t xml:space="preserve">Confidence indicators on every AI output (low/med/high + rationale)</x:t>
        </x:is>
      </x:c>
      <x:c r="D10" s="18" t="inlineStr">
        <x:is>
          <x:t xml:space="preserve">User sees how confident the system is. Low-confidence outputs trigger extra review prompts.</x:t>
        </x:is>
      </x:c>
      <x:c r="E10" s="31" t="inlineStr">
        <x:is>
          <x:t xml:space="preserve">P0</x:t>
        </x:is>
      </x:c>
      <x:c r="F10" s="39" t="inlineStr">
        <x:is>
          <x:t xml:space="preserve">2. CLAUDE DOES IT</x:t>
        </x:is>
      </x:c>
      <x:c r="G10" s="18" t="inlineStr">
        <x:is>
          <x:t xml:space="preserve">Anand</x:t>
        </x:is>
      </x:c>
      <x:c r="H10" s="18" t="inlineStr">
        <x:is>
          <x:t xml:space="preserve"/>
        </x:is>
      </x:c>
      <x:c r="I10" s="45" t="inlineStr">
        <x:is>
          <x:t xml:space="preserve">Claude (code)</x:t>
        </x:is>
      </x:c>
      <x:c r="J10" s="52" t="inlineStr">
        <x:is>
          <x:t xml:space="preserve">$0</x:t>
        </x:is>
      </x:c>
      <x:c r="K10" s="84" t="inlineStr">
        <x:is>
          <x:t xml:space="preserve">Anytime</x:t>
        </x:is>
      </x:c>
      <x:c r="L10" s="44" t="inlineStr">
        <x:is>
          <x:t xml:space="preserve">Not started</x:t>
        </x:is>
      </x:c>
      <x:c r="M10" s="18" t="inlineStr">
        <x:is>
          <x:t xml:space="preserve"/>
        </x:is>
      </x:c>
    </x:row>
    <x:row r="11">
      <x:c r="A11" s="18" t="inlineStr">
        <x:is>
          <x:t xml:space="preserve">T209</x:t>
        </x:is>
      </x:c>
      <x:c r="B11" s="18" t="inlineStr">
        <x:is>
          <x:t xml:space="preserve">AI Liability Defense</x:t>
        </x:is>
      </x:c>
      <x:c r="C11" s="18" t="inlineStr">
        <x:is>
          <x:t xml:space="preserve">Source citations on every AI claim (link to source data that grounded it)</x:t>
        </x:is>
      </x:c>
      <x:c r="D11" s="18" t="inlineStr">
        <x:is>
          <x:t xml:space="preserve">Every assertion clickable → shows source chunks. Critical for 'I verified this' user defense.</x:t>
        </x:is>
      </x:c>
      <x:c r="E11" s="31" t="inlineStr">
        <x:is>
          <x:t xml:space="preserve">P0</x:t>
        </x:is>
      </x:c>
      <x:c r="F11" s="39" t="inlineStr">
        <x:is>
          <x:t xml:space="preserve">2. CLAUDE DOES IT</x:t>
        </x:is>
      </x:c>
      <x:c r="G11" s="18" t="inlineStr">
        <x:is>
          <x:t xml:space="preserve">Anand</x:t>
        </x:is>
      </x:c>
      <x:c r="H11" s="18" t="inlineStr">
        <x:is>
          <x:t xml:space="preserve"/>
        </x:is>
      </x:c>
      <x:c r="I11" s="45" t="inlineStr">
        <x:is>
          <x:t xml:space="preserve">Claude (code)</x:t>
        </x:is>
      </x:c>
      <x:c r="J11" s="52" t="inlineStr">
        <x:is>
          <x:t xml:space="preserve">$0</x:t>
        </x:is>
      </x:c>
      <x:c r="K11" s="84" t="inlineStr">
        <x:is>
          <x:t xml:space="preserve">Anytime</x:t>
        </x:is>
      </x:c>
      <x:c r="L11" s="44" t="inlineStr">
        <x:is>
          <x:t xml:space="preserve">Not started</x:t>
        </x:is>
      </x:c>
      <x:c r="M11" s="18" t="inlineStr">
        <x:is>
          <x:t xml:space="preserve"/>
        </x:is>
      </x:c>
    </x:row>
    <x:row r="12">
      <x:c r="A12" s="18" t="inlineStr">
        <x:is>
          <x:t xml:space="preserve">T210</x:t>
        </x:is>
      </x:c>
      <x:c r="B12" s="18" t="inlineStr">
        <x:is>
          <x:t xml:space="preserve">AI Liability Defense</x:t>
        </x:is>
      </x:c>
      <x:c r="C12" s="18" t="inlineStr">
        <x:is>
          <x:t xml:space="preserve">'Edit before commit' always available — never force accept-as-is</x:t>
        </x:is>
      </x:c>
      <x:c r="D12" s="18" t="inlineStr">
        <x:is>
          <x:t xml:space="preserve">User can modify any AI output before approval. Modifications also stored as evidence of human authorship.</x:t>
        </x:is>
      </x:c>
      <x:c r="E12" s="31" t="inlineStr">
        <x:is>
          <x:t xml:space="preserve">P0</x:t>
        </x:is>
      </x:c>
      <x:c r="F12" s="39" t="inlineStr">
        <x:is>
          <x:t xml:space="preserve">2. CLAUDE DOES IT</x:t>
        </x:is>
      </x:c>
      <x:c r="G12" s="18" t="inlineStr">
        <x:is>
          <x:t xml:space="preserve">Anand</x:t>
        </x:is>
      </x:c>
      <x:c r="H12" s="18" t="inlineStr">
        <x:is>
          <x:t xml:space="preserve"/>
        </x:is>
      </x:c>
      <x:c r="I12" s="45" t="inlineStr">
        <x:is>
          <x:t xml:space="preserve">Claude (code)</x:t>
        </x:is>
      </x:c>
      <x:c r="J12" s="52" t="inlineStr">
        <x:is>
          <x:t xml:space="preserve">$0</x:t>
        </x:is>
      </x:c>
      <x:c r="K12" s="84" t="inlineStr">
        <x:is>
          <x:t xml:space="preserve">Anytime</x:t>
        </x:is>
      </x:c>
      <x:c r="L12" s="44" t="inlineStr">
        <x:is>
          <x:t xml:space="preserve">Not started</x:t>
        </x:is>
      </x:c>
      <x:c r="M12" s="18" t="inlineStr">
        <x:is>
          <x:t xml:space="preserve"/>
        </x:is>
      </x:c>
    </x:row>
    <x:row r="13">
      <x:c r="A13" s="18" t="inlineStr">
        <x:is>
          <x:t xml:space="preserve">T211</x:t>
        </x:is>
      </x:c>
      <x:c r="B13" s="18" t="inlineStr">
        <x:is>
          <x:t xml:space="preserve">AI Liability Defense</x:t>
        </x:is>
      </x:c>
      <x:c r="C13" s="18" t="inlineStr">
        <x:is>
          <x:t xml:space="preserve">Persistent disclaimer footer in all agent surfaces</x:t>
        </x:is>
      </x:c>
      <x:c r="D13" s="18" t="inlineStr">
        <x:is>
          <x:t xml:space="preserve">Small but always-visible: 'AI may produce errors. You are responsible for decisions taken based on this output.'</x:t>
        </x:is>
      </x:c>
      <x:c r="E13" s="31" t="inlineStr">
        <x:is>
          <x:t xml:space="preserve">P0</x:t>
        </x:is>
      </x:c>
      <x:c r="F13" s="39" t="inlineStr">
        <x:is>
          <x:t xml:space="preserve">2. CLAUDE DOES IT</x:t>
        </x:is>
      </x:c>
      <x:c r="G13" s="18" t="inlineStr">
        <x:is>
          <x:t xml:space="preserve">Anand</x:t>
        </x:is>
      </x:c>
      <x:c r="H13" s="18" t="inlineStr">
        <x:is>
          <x:t xml:space="preserve"/>
        </x:is>
      </x:c>
      <x:c r="I13" s="45" t="inlineStr">
        <x:is>
          <x:t xml:space="preserve">Claude (code)</x:t>
        </x:is>
      </x:c>
      <x:c r="J13" s="52" t="inlineStr">
        <x:is>
          <x:t xml:space="preserve">$0</x:t>
        </x:is>
      </x:c>
      <x:c r="K13" s="84" t="inlineStr">
        <x:is>
          <x:t xml:space="preserve">Anytime</x:t>
        </x:is>
      </x:c>
      <x:c r="L13" s="44" t="inlineStr">
        <x:is>
          <x:t xml:space="preserve">Not started</x:t>
        </x:is>
      </x:c>
      <x:c r="M13" s="18" t="inlineStr">
        <x:is>
          <x:t xml:space="preserve"/>
        </x:is>
      </x:c>
    </x:row>
    <x:row r="14">
      <x:c r="A14" s="18" t="inlineStr">
        <x:is>
          <x:t xml:space="preserve">T212</x:t>
        </x:is>
      </x:c>
      <x:c r="B14" s="18" t="inlineStr">
        <x:is>
          <x:t xml:space="preserve">AI Liability Defense</x:t>
        </x:is>
      </x:c>
      <x:c r="C14" s="18" t="inlineStr">
        <x:is>
          <x:t xml:space="preserve">Click-wrap acknowledgment on first user login (per-tenant, per-user)</x:t>
        </x:is>
      </x:c>
      <x:c r="D14" s="18" t="inlineStr">
        <x:is>
          <x:t xml:space="preserve">Modal on first login: 'I understand AbarVa provides AI-generated suggestions. I am responsible for reviewing and validating all outputs before making decisions or taking action.' Capture timestamp, user, IP, consent text version. Stored immutably.</x:t>
        </x:is>
      </x:c>
      <x:c r="E14" s="31" t="inlineStr">
        <x:is>
          <x:t xml:space="preserve">P0</x:t>
        </x:is>
      </x:c>
      <x:c r="F14" s="39" t="inlineStr">
        <x:is>
          <x:t xml:space="preserve">2. CLAUDE DOES IT</x:t>
        </x:is>
      </x:c>
      <x:c r="G14" s="18" t="inlineStr">
        <x:is>
          <x:t xml:space="preserve">Anand</x:t>
        </x:is>
      </x:c>
      <x:c r="H14" s="18" t="inlineStr">
        <x:is>
          <x:t xml:space="preserve"/>
        </x:is>
      </x:c>
      <x:c r="I14" s="45" t="inlineStr">
        <x:is>
          <x:t xml:space="preserve">Claude (code)</x:t>
        </x:is>
      </x:c>
      <x:c r="J14" s="52" t="inlineStr">
        <x:is>
          <x:t xml:space="preserve">$0</x:t>
        </x:is>
      </x:c>
      <x:c r="K14" s="84" t="inlineStr">
        <x:is>
          <x:t xml:space="preserve">Anytime</x:t>
        </x:is>
      </x:c>
      <x:c r="L14" s="44" t="inlineStr">
        <x:is>
          <x:t xml:space="preserve">Not started</x:t>
        </x:is>
      </x:c>
      <x:c r="M14" s="18" t="inlineStr">
        <x:is>
          <x:t xml:space="preserve"/>
        </x:is>
      </x:c>
    </x:row>
    <x:row r="15">
      <x:c r="A15" s="18" t="inlineStr">
        <x:is>
          <x:t xml:space="preserve">T214</x:t>
        </x:is>
      </x:c>
      <x:c r="B15" s="18" t="inlineStr">
        <x:is>
          <x:t xml:space="preserve">AI Liability Defense</x:t>
        </x:is>
      </x:c>
      <x:c r="C15" s="18" t="inlineStr">
        <x:is>
          <x:t xml:space="preserve">Required 'Responsible AI Use' training module before access (~10 min)</x:t>
        </x:is>
      </x:c>
      <x:c r="D15" s="18" t="inlineStr">
        <x:is>
          <x:t xml:space="preserve">Interactive: covers hallucination, verification duty, approval responsibility. Completion blocks app access. Annual refresh.</x:t>
        </x:is>
      </x:c>
      <x:c r="E15" s="31" t="inlineStr">
        <x:is>
          <x:t xml:space="preserve">P0</x:t>
        </x:is>
      </x:c>
      <x:c r="F15" s="39" t="inlineStr">
        <x:is>
          <x:t xml:space="preserve">2. CLAUDE DOES IT</x:t>
        </x:is>
      </x:c>
      <x:c r="G15" s="18" t="inlineStr">
        <x:is>
          <x:t xml:space="preserve">Anand</x:t>
        </x:is>
      </x:c>
      <x:c r="H15" s="18" t="inlineStr">
        <x:is>
          <x:t xml:space="preserve"/>
        </x:is>
      </x:c>
      <x:c r="I15" s="45" t="inlineStr">
        <x:is>
          <x:t xml:space="preserve">Claude (content+code)</x:t>
        </x:is>
      </x:c>
      <x:c r="J15" s="52" t="inlineStr">
        <x:is>
          <x:t xml:space="preserve">$0</x:t>
        </x:is>
      </x:c>
      <x:c r="K15" s="84" t="inlineStr">
        <x:is>
          <x:t xml:space="preserve">Anytime</x:t>
        </x:is>
      </x:c>
      <x:c r="L15" s="44" t="inlineStr">
        <x:is>
          <x:t xml:space="preserve">Not started</x:t>
        </x:is>
      </x:c>
      <x:c r="M15" s="18" t="inlineStr">
        <x:is>
          <x:t xml:space="preserve"/>
        </x:is>
      </x:c>
    </x:row>
    <x:row r="16">
      <x:c r="A16" s="18" t="inlineStr">
        <x:is>
          <x:t xml:space="preserve">T216</x:t>
        </x:is>
      </x:c>
      <x:c r="B16" s="18" t="inlineStr">
        <x:is>
          <x:t xml:space="preserve">AI Liability Defense</x:t>
        </x:is>
      </x:c>
      <x:c r="C16" s="18" t="inlineStr">
        <x:is>
          <x:t xml:space="preserve">Evidence bundle auto-generated on every consequential action</x:t>
        </x:is>
      </x:c>
      <x:c r="D16" s="18" t="inlineStr">
        <x:is>
          <x:t xml:space="preserve">Bundle = AI suggestion + sources cited + human review timestamp + reviewer ID + justification text + execution timestamp. Attached to every Move/gate/commit. Reportable per-tenant.</x:t>
        </x:is>
      </x:c>
      <x:c r="E16" s="31" t="inlineStr">
        <x:is>
          <x:t xml:space="preserve">P0</x:t>
        </x:is>
      </x:c>
      <x:c r="F16" s="39" t="inlineStr">
        <x:is>
          <x:t xml:space="preserve">2. CLAUDE DOES IT</x:t>
        </x:is>
      </x:c>
      <x:c r="G16" s="18" t="inlineStr">
        <x:is>
          <x:t xml:space="preserve">Anand</x:t>
        </x:is>
      </x:c>
      <x:c r="H16" s="18" t="inlineStr">
        <x:is>
          <x:t xml:space="preserve">T041</x:t>
        </x:is>
      </x:c>
      <x:c r="I16" s="45" t="inlineStr">
        <x:is>
          <x:t xml:space="preserve">Claude (code)</x:t>
        </x:is>
      </x:c>
      <x:c r="J16" s="52" t="inlineStr">
        <x:is>
          <x:t xml:space="preserve">$0</x:t>
        </x:is>
      </x:c>
      <x:c r="K16" s="84" t="inlineStr">
        <x:is>
          <x:t xml:space="preserve">Anytime</x:t>
        </x:is>
      </x:c>
      <x:c r="L16" s="44" t="inlineStr">
        <x:is>
          <x:t xml:space="preserve">Not started</x:t>
        </x:is>
      </x:c>
      <x:c r="M16" s="18" t="inlineStr">
        <x:is>
          <x:t xml:space="preserve"/>
        </x:is>
      </x:c>
    </x:row>
    <x:row r="17">
      <x:c r="A17" s="18" t="inlineStr">
        <x:is>
          <x:t xml:space="preserve">T217</x:t>
        </x:is>
      </x:c>
      <x:c r="B17" s="18" t="inlineStr">
        <x:is>
          <x:t xml:space="preserve">AI Liability Defense</x:t>
        </x:is>
      </x:c>
      <x:c r="C17" s="18" t="inlineStr">
        <x:is>
          <x:t xml:space="preserve">Client-exportable approval audit logs</x:t>
        </x:is>
      </x:c>
      <x:c r="D17" s="18" t="inlineStr">
        <x:is>
          <x:t xml:space="preserve">Client can self-serve export their audit log for any time period. They hold proof too — bilateral evidence.</x:t>
        </x:is>
      </x:c>
      <x:c r="E17" s="31" t="inlineStr">
        <x:is>
          <x:t xml:space="preserve">P0</x:t>
        </x:is>
      </x:c>
      <x:c r="F17" s="39" t="inlineStr">
        <x:is>
          <x:t xml:space="preserve">2. CLAUDE DOES IT</x:t>
        </x:is>
      </x:c>
      <x:c r="G17" s="18" t="inlineStr">
        <x:is>
          <x:t xml:space="preserve">Anand</x:t>
        </x:is>
      </x:c>
      <x:c r="H17" s="18" t="inlineStr">
        <x:is>
          <x:t xml:space="preserve">T041</x:t>
        </x:is>
      </x:c>
      <x:c r="I17" s="45" t="inlineStr">
        <x:is>
          <x:t xml:space="preserve">Claude (code)</x:t>
        </x:is>
      </x:c>
      <x:c r="J17" s="52" t="inlineStr">
        <x:is>
          <x:t xml:space="preserve">$0</x:t>
        </x:is>
      </x:c>
      <x:c r="K17" s="84" t="inlineStr">
        <x:is>
          <x:t xml:space="preserve">Anytime</x:t>
        </x:is>
      </x:c>
      <x:c r="L17" s="44" t="inlineStr">
        <x:is>
          <x:t xml:space="preserve">Not started</x:t>
        </x:is>
      </x:c>
      <x:c r="M17" s="18" t="inlineStr">
        <x:is>
          <x:t xml:space="preserve"/>
        </x:is>
      </x:c>
    </x:row>
    <x:row r="18">
      <x:c r="A18" s="18" t="inlineStr">
        <x:is>
          <x:t xml:space="preserve">T223</x:t>
        </x:is>
      </x:c>
      <x:c r="B18" s="18" t="inlineStr">
        <x:is>
          <x:t xml:space="preserve">AI Liability Defense</x:t>
        </x:is>
      </x:c>
      <x:c r="C18" s="18" t="inlineStr">
        <x:is>
          <x:t xml:space="preserve">ESCALATE: AI Ethics / Responsible AI policy → P0 + publish at abarva.com/responsible-ai</x:t>
        </x:is>
      </x:c>
      <x:c r="D18" s="18" t="inlineStr">
        <x:is>
          <x:t xml:space="preserve">Was P1 in Operational Readiness. Escalate. Public commitment + boundary statement. Procurement reads this.</x:t>
        </x:is>
      </x:c>
      <x:c r="E18" s="31" t="inlineStr">
        <x:is>
          <x:t xml:space="preserve">P0</x:t>
        </x:is>
      </x:c>
      <x:c r="F18" s="39" t="inlineStr">
        <x:is>
          <x:t xml:space="preserve">2. CLAUDE DOES IT</x:t>
        </x:is>
      </x:c>
      <x:c r="G18" s="18" t="inlineStr">
        <x:is>
          <x:t xml:space="preserve">Anand</x:t>
        </x:is>
      </x:c>
      <x:c r="H18" s="18" t="inlineStr">
        <x:is>
          <x:t xml:space="preserve"/>
        </x:is>
      </x:c>
      <x:c r="I18" s="45" t="inlineStr">
        <x:is>
          <x:t xml:space="preserve">Claude (draft)</x:t>
        </x:is>
      </x:c>
      <x:c r="J18" s="52" t="inlineStr">
        <x:is>
          <x:t xml:space="preserve">$0</x:t>
        </x:is>
      </x:c>
      <x:c r="K18" s="83" t="inlineStr">
        <x:is>
          <x:t xml:space="preserve">Post-Resign</x:t>
        </x:is>
      </x:c>
      <x:c r="L18" s="44" t="inlineStr">
        <x:is>
          <x:t xml:space="preserve">Not started</x:t>
        </x:is>
      </x:c>
      <x:c r="M18" s="18" t="inlineStr">
        <x:is>
          <x:t xml:space="preserve"/>
        </x:is>
      </x:c>
    </x:row>
    <x:row r="19">
      <x:c r="A19" s="18" t="inlineStr">
        <x:is>
          <x:t xml:space="preserve">T224</x:t>
        </x:is>
      </x:c>
      <x:c r="B19" s="18" t="inlineStr">
        <x:is>
          <x:t xml:space="preserve">AI Liability Defense</x:t>
        </x:is>
      </x:c>
      <x:c r="C19" s="18" t="inlineStr">
        <x:is>
          <x:t xml:space="preserve">Model card: capabilities, limitations, training data sources, version history</x:t>
        </x:is>
      </x:c>
      <x:c r="D19" s="18" t="inlineStr">
        <x:is>
          <x:t xml:space="preserve">Standardized format (Google/Hugging Face style). Lives at abarva.com/model-card. Updated each major model change.</x:t>
        </x:is>
      </x:c>
      <x:c r="E19" s="31" t="inlineStr">
        <x:is>
          <x:t xml:space="preserve">P0</x:t>
        </x:is>
      </x:c>
      <x:c r="F19" s="39" t="inlineStr">
        <x:is>
          <x:t xml:space="preserve">2. CLAUDE DOES IT</x:t>
        </x:is>
      </x:c>
      <x:c r="G19" s="18" t="inlineStr">
        <x:is>
          <x:t xml:space="preserve">Anand</x:t>
        </x:is>
      </x:c>
      <x:c r="H19" s="18" t="inlineStr">
        <x:is>
          <x:t xml:space="preserve"/>
        </x:is>
      </x:c>
      <x:c r="I19" s="45" t="inlineStr">
        <x:is>
          <x:t xml:space="preserve">Claude (draft)</x:t>
        </x:is>
      </x:c>
      <x:c r="J19" s="52" t="inlineStr">
        <x:is>
          <x:t xml:space="preserve">$0</x:t>
        </x:is>
      </x:c>
      <x:c r="K19" s="83" t="inlineStr">
        <x:is>
          <x:t xml:space="preserve">Post-Resign</x:t>
        </x:is>
      </x:c>
      <x:c r="L19" s="44" t="inlineStr">
        <x:is>
          <x:t xml:space="preserve">Not started</x:t>
        </x:is>
      </x:c>
      <x:c r="M19" s="18" t="inlineStr">
        <x:is>
          <x:t xml:space="preserve"/>
        </x:is>
      </x:c>
    </x:row>
    <x:row r="20">
      <x:c r="A20" s="18" t="inlineStr">
        <x:is>
          <x:t xml:space="preserve">T225</x:t>
        </x:is>
      </x:c>
      <x:c r="B20" s="18" t="inlineStr">
        <x:is>
          <x:t xml:space="preserve">AI Liability Defense</x:t>
        </x:is>
      </x:c>
      <x:c r="C20" s="18" t="inlineStr">
        <x:is>
          <x:t xml:space="preserve">Known limitations + hallucination disclosure page (dated, maintained)</x:t>
        </x:is>
      </x:c>
      <x:c r="D20" s="18" t="inlineStr">
        <x:is>
          <x:t xml:space="preserve">Frank, public list of what AbarVa is bad at. Counter-intuitively strong defense — shows transparency, sets expectations.</x:t>
        </x:is>
      </x:c>
      <x:c r="E20" s="31" t="inlineStr">
        <x:is>
          <x:t xml:space="preserve">P0</x:t>
        </x:is>
      </x:c>
      <x:c r="F20" s="39" t="inlineStr">
        <x:is>
          <x:t xml:space="preserve">2. CLAUDE DOES IT</x:t>
        </x:is>
      </x:c>
      <x:c r="G20" s="18" t="inlineStr">
        <x:is>
          <x:t xml:space="preserve">Anand</x:t>
        </x:is>
      </x:c>
      <x:c r="H20" s="18" t="inlineStr">
        <x:is>
          <x:t xml:space="preserve"/>
        </x:is>
      </x:c>
      <x:c r="I20" s="45" t="inlineStr">
        <x:is>
          <x:t xml:space="preserve">Claude (draft)</x:t>
        </x:is>
      </x:c>
      <x:c r="J20" s="52" t="inlineStr">
        <x:is>
          <x:t xml:space="preserve">$0</x:t>
        </x:is>
      </x:c>
      <x:c r="K20" s="83" t="inlineStr">
        <x:is>
          <x:t xml:space="preserve">Post-Resign</x:t>
        </x:is>
      </x:c>
      <x:c r="L20" s="44" t="inlineStr">
        <x:is>
          <x:t xml:space="preserve">Not started</x:t>
        </x:is>
      </x:c>
      <x:c r="M20" s="18" t="inlineStr">
        <x:is>
          <x:t xml:space="preserve"/>
        </x:is>
      </x:c>
    </x:row>
    <x:row r="21">
      <x:c r="A21" s="18" t="inlineStr">
        <x:is>
          <x:t xml:space="preserve">T231</x:t>
        </x:is>
      </x:c>
      <x:c r="B21" s="18" t="inlineStr">
        <x:is>
          <x:t xml:space="preserve">AI Liability Defense</x:t>
        </x:is>
      </x:c>
      <x:c r="C21" s="18" t="inlineStr">
        <x:is>
          <x:t xml:space="preserve">Cross-module audit: catalog every consequential action across Intelligence / Moves / Source / Tower / Setup</x:t>
        </x:is>
      </x:c>
      <x:c r="D21" s="18" t="inlineStr">
        <x:is>
          <x:t xml:space="preserve">1 spreadsheet listing every action that mutates state, sends external, or commits a decision. Per row: module / surface / action / current gate / required gate. Drives all retrofit work below.</x:t>
        </x:is>
      </x:c>
      <x:c r="E21" s="31" t="inlineStr">
        <x:is>
          <x:t xml:space="preserve">P0</x:t>
        </x:is>
      </x:c>
      <x:c r="F21" s="39" t="inlineStr">
        <x:is>
          <x:t xml:space="preserve">2. CLAUDE DOES IT</x:t>
        </x:is>
      </x:c>
      <x:c r="G21" s="18" t="inlineStr">
        <x:is>
          <x:t xml:space="preserve">Anand</x:t>
        </x:is>
      </x:c>
      <x:c r="H21" s="18" t="inlineStr">
        <x:is>
          <x:t xml:space="preserve">T203</x:t>
        </x:is>
      </x:c>
      <x:c r="I21" s="45" t="inlineStr">
        <x:is>
          <x:t xml:space="preserve">Claude (code-scan) + you</x:t>
        </x:is>
      </x:c>
      <x:c r="J21" s="52" t="inlineStr">
        <x:is>
          <x:t xml:space="preserve">$0</x:t>
        </x:is>
      </x:c>
      <x:c r="K21" s="84" t="inlineStr">
        <x:is>
          <x:t xml:space="preserve">Anytime</x:t>
        </x:is>
      </x:c>
      <x:c r="L21" s="44" t="inlineStr">
        <x:is>
          <x:t xml:space="preserve">Not started</x:t>
        </x:is>
      </x:c>
      <x:c r="M21" s="18" t="inlineStr">
        <x:is>
          <x:t xml:space="preserve"/>
        </x:is>
      </x:c>
    </x:row>
    <x:row r="22">
      <x:c r="A22" s="18" t="inlineStr">
        <x:is>
          <x:t xml:space="preserve">T232</x:t>
        </x:is>
      </x:c>
      <x:c r="B22" s="18" t="inlineStr">
        <x:is>
          <x:t xml:space="preserve">AI Liability Defense</x:t>
        </x:is>
      </x:c>
      <x:c r="C22" s="18" t="inlineStr">
        <x:is>
          <x:t xml:space="preserve">Cross-module audit: catalog every AI-generated UI element across all surfaces</x:t>
        </x:is>
      </x:c>
      <x:c r="D22" s="18" t="inlineStr">
        <x:is>
          <x:t xml:space="preserve">Every place the system shows a generated suggestion/draft/summary/score. Per row: module / surface / element / has label? / has citation? / has confidence? Drives label retrofit.</x:t>
        </x:is>
      </x:c>
      <x:c r="E22" s="31" t="inlineStr">
        <x:is>
          <x:t xml:space="preserve">P0</x:t>
        </x:is>
      </x:c>
      <x:c r="F22" s="39" t="inlineStr">
        <x:is>
          <x:t xml:space="preserve">2. CLAUDE DOES IT</x:t>
        </x:is>
      </x:c>
      <x:c r="G22" s="18" t="inlineStr">
        <x:is>
          <x:t xml:space="preserve">Anand</x:t>
        </x:is>
      </x:c>
      <x:c r="H22" s="18" t="inlineStr">
        <x:is>
          <x:t xml:space="preserve">T203</x:t>
        </x:is>
      </x:c>
      <x:c r="I22" s="45" t="inlineStr">
        <x:is>
          <x:t xml:space="preserve">Claude (code-scan) + you</x:t>
        </x:is>
      </x:c>
      <x:c r="J22" s="52" t="inlineStr">
        <x:is>
          <x:t xml:space="preserve">$0</x:t>
        </x:is>
      </x:c>
      <x:c r="K22" s="84" t="inlineStr">
        <x:is>
          <x:t xml:space="preserve">Anytime</x:t>
        </x:is>
      </x:c>
      <x:c r="L22" s="44" t="inlineStr">
        <x:is>
          <x:t xml:space="preserve">Not started</x:t>
        </x:is>
      </x:c>
      <x:c r="M22" s="18" t="inlineStr">
        <x:is>
          <x:t xml:space="preserve"/>
        </x:is>
      </x:c>
    </x:row>
    <x:row r="23">
      <x:c r="A23" s="18" t="inlineStr">
        <x:is>
          <x:t xml:space="preserve">T233</x:t>
        </x:is>
      </x:c>
      <x:c r="B23" s="18" t="inlineStr">
        <x:is>
          <x:t xml:space="preserve">AI Liability Defense</x:t>
        </x:is>
      </x:c>
      <x:c r="C23" s="18" t="inlineStr">
        <x:is>
          <x:t xml:space="preserve">Intelligence: retrofit pattern recommendations with AI labels + source citations + confidence</x:t>
        </x:is>
      </x:c>
      <x:c r="D23" s="18" t="inlineStr">
        <x:is>
          <x:t xml:space="preserve">Every pattern surfaced shows: 'AI Suggestion' label, link to source corpus chunks that grounded it, confidence score with rationale.</x:t>
        </x:is>
      </x:c>
      <x:c r="E23" s="31" t="inlineStr">
        <x:is>
          <x:t xml:space="preserve">P0</x:t>
        </x:is>
      </x:c>
      <x:c r="F23" s="39" t="inlineStr">
        <x:is>
          <x:t xml:space="preserve">2. CLAUDE DOES IT</x:t>
        </x:is>
      </x:c>
      <x:c r="G23" s="18" t="inlineStr">
        <x:is>
          <x:t xml:space="preserve">Anand</x:t>
        </x:is>
      </x:c>
      <x:c r="H23" s="18" t="inlineStr">
        <x:is>
          <x:t xml:space="preserve">T205,T209,T208</x:t>
        </x:is>
      </x:c>
      <x:c r="I23" s="45" t="inlineStr">
        <x:is>
          <x:t xml:space="preserve">Claude (code)</x:t>
        </x:is>
      </x:c>
      <x:c r="J23" s="52" t="inlineStr">
        <x:is>
          <x:t xml:space="preserve">$0</x:t>
        </x:is>
      </x:c>
      <x:c r="K23" s="84" t="inlineStr">
        <x:is>
          <x:t xml:space="preserve">Anytime</x:t>
        </x:is>
      </x:c>
      <x:c r="L23" s="44" t="inlineStr">
        <x:is>
          <x:t xml:space="preserve">Not started</x:t>
        </x:is>
      </x:c>
      <x:c r="M23" s="18" t="inlineStr">
        <x:is>
          <x:t xml:space="preserve"/>
        </x:is>
      </x:c>
    </x:row>
    <x:row r="24">
      <x:c r="A24" s="18" t="inlineStr">
        <x:is>
          <x:t xml:space="preserve">T234</x:t>
        </x:is>
      </x:c>
      <x:c r="B24" s="18" t="inlineStr">
        <x:is>
          <x:t xml:space="preserve">AI Liability Defense</x:t>
        </x:is>
      </x:c>
      <x:c r="C24" s="18" t="inlineStr">
        <x:is>
          <x:t xml:space="preserve">Intelligence: gate pattern → Move promotion behind approval dialog + justification</x:t>
        </x:is>
      </x:c>
      <x:c r="D24" s="18" t="inlineStr">
        <x:is>
          <x:t xml:space="preserve">User cannot promote a pattern to a Move candidate without explicit click + free-text reason. Evidence bundle generated.</x:t>
        </x:is>
      </x:c>
      <x:c r="E24" s="31" t="inlineStr">
        <x:is>
          <x:t xml:space="preserve">P0</x:t>
        </x:is>
      </x:c>
      <x:c r="F24" s="39" t="inlineStr">
        <x:is>
          <x:t xml:space="preserve">2. CLAUDE DOES IT</x:t>
        </x:is>
      </x:c>
      <x:c r="G24" s="18" t="inlineStr">
        <x:is>
          <x:t xml:space="preserve">Anand</x:t>
        </x:is>
      </x:c>
      <x:c r="H24" s="18" t="inlineStr">
        <x:is>
          <x:t xml:space="preserve">T206,T207,T216</x:t>
        </x:is>
      </x:c>
      <x:c r="I24" s="45" t="inlineStr">
        <x:is>
          <x:t xml:space="preserve">Claude (code)</x:t>
        </x:is>
      </x:c>
      <x:c r="J24" s="52" t="inlineStr">
        <x:is>
          <x:t xml:space="preserve">$0</x:t>
        </x:is>
      </x:c>
      <x:c r="K24" s="84" t="inlineStr">
        <x:is>
          <x:t xml:space="preserve">Anytime</x:t>
        </x:is>
      </x:c>
      <x:c r="L24" s="44" t="inlineStr">
        <x:is>
          <x:t xml:space="preserve">Not started</x:t>
        </x:is>
      </x:c>
      <x:c r="M24" s="18" t="inlineStr">
        <x:is>
          <x:t xml:space="preserve"/>
        </x:is>
      </x:c>
    </x:row>
    <x:row r="25">
      <x:c r="A25" s="18" t="inlineStr">
        <x:is>
          <x:t xml:space="preserve">T235</x:t>
        </x:is>
      </x:c>
      <x:c r="B25" s="18" t="inlineStr">
        <x:is>
          <x:t xml:space="preserve">AI Liability Defense</x:t>
        </x:is>
      </x:c>
      <x:c r="C25" s="18" t="inlineStr">
        <x:is>
          <x:t xml:space="preserve">Moves: every gate approval requires justification field + evidence bundle (extends R8 / GATE_APPROVAL_STRICT_MODE)</x:t>
        </x:is>
      </x:c>
      <x:c r="D25" s="18" t="inlineStr">
        <x:is>
          <x:t xml:space="preserve">Existing approval flow gets free-text reason field + auto-generated evidence bundle (AI inputs + sources + reviewer + timestamp). Cannot approve without filling.</x:t>
        </x:is>
      </x:c>
      <x:c r="E25" s="31" t="inlineStr">
        <x:is>
          <x:t xml:space="preserve">P0</x:t>
        </x:is>
      </x:c>
      <x:c r="F25" s="39" t="inlineStr">
        <x:is>
          <x:t xml:space="preserve">2. CLAUDE DOES IT</x:t>
        </x:is>
      </x:c>
      <x:c r="G25" s="18" t="inlineStr">
        <x:is>
          <x:t xml:space="preserve">Anand</x:t>
        </x:is>
      </x:c>
      <x:c r="H25" s="18" t="inlineStr">
        <x:is>
          <x:t xml:space="preserve">T206,T207,T216</x:t>
        </x:is>
      </x:c>
      <x:c r="I25" s="45" t="inlineStr">
        <x:is>
          <x:t xml:space="preserve">Claude (code)</x:t>
        </x:is>
      </x:c>
      <x:c r="J25" s="52" t="inlineStr">
        <x:is>
          <x:t xml:space="preserve">$0</x:t>
        </x:is>
      </x:c>
      <x:c r="K25" s="84" t="inlineStr">
        <x:is>
          <x:t xml:space="preserve">Anytime</x:t>
        </x:is>
      </x:c>
      <x:c r="L25" s="44" t="str">
        <x:v>In progress</x:v>
      </x:c>
      <x:c r="M25" s="18" t="str">
        <x:v>codex/moves-ai-liability-retrofit: adds 20-char human gate rationale and shared AI decision evidence packet to Moves phase-gate approval paths.</x:v>
      </x:c>
    </x:row>
    <x:row r="26">
      <x:c r="A26" s="18" t="inlineStr">
        <x:is>
          <x:t xml:space="preserve">T236</x:t>
        </x:is>
      </x:c>
      <x:c r="B26" s="18" t="inlineStr">
        <x:is>
          <x:t xml:space="preserve">AI Liability Defense</x:t>
        </x:is>
      </x:c>
      <x:c r="C26" s="18" t="inlineStr">
        <x:is>
          <x:t xml:space="preserve">Moves: all AI-drafted artifacts (briefs, summaries, next-steps) get 'AI Draft' label + edit-before-commit</x:t>
        </x:is>
      </x:c>
      <x:c r="D26" s="18" t="inlineStr">
        <x:is>
          <x:t xml:space="preserve">Move workspace shows every drafted artifact as draft. User edits, then commits. Modifications also captured in evidence.</x:t>
        </x:is>
      </x:c>
      <x:c r="E26" s="31" t="inlineStr">
        <x:is>
          <x:t xml:space="preserve">P0</x:t>
        </x:is>
      </x:c>
      <x:c r="F26" s="39" t="inlineStr">
        <x:is>
          <x:t xml:space="preserve">2. CLAUDE DOES IT</x:t>
        </x:is>
      </x:c>
      <x:c r="G26" s="18" t="inlineStr">
        <x:is>
          <x:t xml:space="preserve">Anand</x:t>
        </x:is>
      </x:c>
      <x:c r="H26" s="18" t="inlineStr">
        <x:is>
          <x:t xml:space="preserve">T205</x:t>
        </x:is>
      </x:c>
      <x:c r="I26" s="45" t="inlineStr">
        <x:is>
          <x:t xml:space="preserve">Claude (code)</x:t>
        </x:is>
      </x:c>
      <x:c r="J26" s="52" t="inlineStr">
        <x:is>
          <x:t xml:space="preserve">$0</x:t>
        </x:is>
      </x:c>
      <x:c r="K26" s="82" t="inlineStr">
        <x:is>
          <x:t xml:space="preserve">Pre-Resign</x:t>
        </x:is>
      </x:c>
      <x:c r="L26" s="44" t="str">
        <x:v>In progress</x:v>
      </x:c>
      <x:c r="M26" s="18" t="str">
        <x:v>codex/moves-ai-liability-retrofit: labels Moves deliverables as AI Draft and keeps edit-before-commit / human-review language visible.</x:v>
      </x:c>
    </x:row>
    <x:row r="27">
      <x:c r="A27" s="18" t="inlineStr">
        <x:is>
          <x:t xml:space="preserve">T237</x:t>
        </x:is>
      </x:c>
      <x:c r="B27" s="18" t="inlineStr">
        <x:is>
          <x:t xml:space="preserve">AI Liability Defense</x:t>
        </x:is>
      </x:c>
      <x:c r="C27" s="18" t="inlineStr">
        <x:is>
          <x:t xml:space="preserve">Moves: stage advance requires explicit human commit (no AI auto-advance) + advance reason</x:t>
        </x:is>
      </x:c>
      <x:c r="D27" s="18" t="inlineStr">
        <x:is>
          <x:t xml:space="preserve">Even when AI suggests 'ready to advance,' user must click + state why. Audit trail records who, when, why.</x:t>
        </x:is>
      </x:c>
      <x:c r="E27" s="31" t="inlineStr">
        <x:is>
          <x:t xml:space="preserve">P0</x:t>
        </x:is>
      </x:c>
      <x:c r="F27" s="39" t="inlineStr">
        <x:is>
          <x:t xml:space="preserve">2. CLAUDE DOES IT</x:t>
        </x:is>
      </x:c>
      <x:c r="G27" s="18" t="inlineStr">
        <x:is>
          <x:t xml:space="preserve">Anand</x:t>
        </x:is>
      </x:c>
      <x:c r="H27" s="18" t="inlineStr">
        <x:is>
          <x:t xml:space="preserve">T206</x:t>
        </x:is>
      </x:c>
      <x:c r="I27" s="45" t="inlineStr">
        <x:is>
          <x:t xml:space="preserve">Claude (code)</x:t>
        </x:is>
      </x:c>
      <x:c r="J27" s="52" t="inlineStr">
        <x:is>
          <x:t xml:space="preserve">$0</x:t>
        </x:is>
      </x:c>
      <x:c r="K27" s="84" t="inlineStr">
        <x:is>
          <x:t xml:space="preserve">Anytime</x:t>
        </x:is>
      </x:c>
      <x:c r="L27" s="44" t="str">
        <x:v>In progress</x:v>
      </x:c>
      <x:c r="M27" s="18" t="str">
        <x:v>codex/moves-ai-liability-retrofit: requires explicit human rationale before phase advance through API and agent tool paths.</x:v>
      </x:c>
    </x:row>
    <x:row r="28">
      <x:c r="A28" s="18" t="inlineStr">
        <x:is>
          <x:t xml:space="preserve">T238</x:t>
        </x:is>
      </x:c>
      <x:c r="B28" s="18" t="inlineStr">
        <x:is>
          <x:t xml:space="preserve">AI Liability Defense</x:t>
        </x:is>
      </x:c>
      <x:c r="C28" s="18" t="inlineStr">
        <x:is>
          <x:t xml:space="preserve">Source: vendor recommendations get AI labels + source citations + confidence + risk caveats</x:t>
        </x:is>
      </x:c>
      <x:c r="D28" s="18" t="inlineStr">
        <x:is>
          <x:t xml:space="preserve">Procurement = high-stakes. Every Sentinel-recommended vendor shows label, sources, confidence, and known limitations of the recommendation.</x:t>
        </x:is>
      </x:c>
      <x:c r="E28" s="31" t="inlineStr">
        <x:is>
          <x:t xml:space="preserve">P0</x:t>
        </x:is>
      </x:c>
      <x:c r="F28" s="39" t="inlineStr">
        <x:is>
          <x:t xml:space="preserve">2. CLAUDE DOES IT</x:t>
        </x:is>
      </x:c>
      <x:c r="G28" s="18" t="inlineStr">
        <x:is>
          <x:t xml:space="preserve">Anand</x:t>
        </x:is>
      </x:c>
      <x:c r="H28" s="18" t="inlineStr">
        <x:is>
          <x:t xml:space="preserve">T205,T209,T208</x:t>
        </x:is>
      </x:c>
      <x:c r="I28" s="45" t="inlineStr">
        <x:is>
          <x:t xml:space="preserve">Claude (code)</x:t>
        </x:is>
      </x:c>
      <x:c r="J28" s="52" t="inlineStr">
        <x:is>
          <x:t xml:space="preserve">$0</x:t>
        </x:is>
      </x:c>
      <x:c r="K28" s="84" t="inlineStr">
        <x:is>
          <x:t xml:space="preserve">Anytime</x:t>
        </x:is>
      </x:c>
      <x:c r="L28" s="44" t="inlineStr">
        <x:is>
          <x:t xml:space="preserve">Not started</x:t>
        </x:is>
      </x:c>
      <x:c r="M28" s="18" t="inlineStr">
        <x:is>
          <x:t xml:space="preserve"/>
        </x:is>
      </x:c>
    </x:row>
    <x:row r="29">
      <x:c r="A29" s="18" t="inlineStr">
        <x:is>
          <x:t xml:space="preserve">T239</x:t>
        </x:is>
      </x:c>
      <x:c r="B29" s="18" t="inlineStr">
        <x:is>
          <x:t xml:space="preserve">AI Liability Defense</x:t>
        </x:is>
      </x:c>
      <x:c r="C29" s="18" t="inlineStr">
        <x:is>
          <x:t xml:space="preserve">Source: any external action (RFP send, contract draft commit, vendor notification) behind explicit human gate</x:t>
        </x:is>
      </x:c>
      <x:c r="D29" s="18" t="inlineStr">
        <x:is>
          <x:t xml:space="preserve">AI drafts; human reviews; human sends. No code path from agent → external transmission without a human click and justification.</x:t>
        </x:is>
      </x:c>
      <x:c r="E29" s="31" t="inlineStr">
        <x:is>
          <x:t xml:space="preserve">P0</x:t>
        </x:is>
      </x:c>
      <x:c r="F29" s="39" t="inlineStr">
        <x:is>
          <x:t xml:space="preserve">2. CLAUDE DOES IT</x:t>
        </x:is>
      </x:c>
      <x:c r="G29" s="18" t="inlineStr">
        <x:is>
          <x:t xml:space="preserve">Anand</x:t>
        </x:is>
      </x:c>
      <x:c r="H29" s="18" t="inlineStr">
        <x:is>
          <x:t xml:space="preserve">T206,T204</x:t>
        </x:is>
      </x:c>
      <x:c r="I29" s="45" t="inlineStr">
        <x:is>
          <x:t xml:space="preserve">Claude (code)</x:t>
        </x:is>
      </x:c>
      <x:c r="J29" s="52" t="inlineStr">
        <x:is>
          <x:t xml:space="preserve">$0</x:t>
        </x:is>
      </x:c>
      <x:c r="K29" s="82" t="inlineStr">
        <x:is>
          <x:t xml:space="preserve">Pre-Resign</x:t>
        </x:is>
      </x:c>
      <x:c r="L29" s="44" t="inlineStr">
        <x:is>
          <x:t xml:space="preserve">Not started</x:t>
        </x:is>
      </x:c>
      <x:c r="M29" s="18" t="inlineStr">
        <x:is>
          <x:t xml:space="preserve"/>
        </x:is>
      </x:c>
    </x:row>
    <x:row r="30">
      <x:c r="A30" s="18" t="inlineStr">
        <x:is>
          <x:t xml:space="preserve">T240</x:t>
        </x:is>
      </x:c>
      <x:c r="B30" s="18" t="inlineStr">
        <x:is>
          <x:t xml:space="preserve">AI Liability Defense</x:t>
        </x:is>
      </x:c>
      <x:c r="C30" s="18" t="inlineStr">
        <x:is>
          <x:t xml:space="preserve">Source: savings/cost estimates marked as estimates with assumptions visible</x:t>
        </x:is>
      </x:c>
      <x:c r="D30" s="18" t="inlineStr">
        <x:is>
          <x:t xml:space="preserve">Every dollar figure AI generates shows the assumptions used. User accepts assumptions explicitly before estimate is committed to a deliverable.</x:t>
        </x:is>
      </x:c>
      <x:c r="E30" s="31" t="inlineStr">
        <x:is>
          <x:t xml:space="preserve">P0</x:t>
        </x:is>
      </x:c>
      <x:c r="F30" s="39" t="inlineStr">
        <x:is>
          <x:t xml:space="preserve">2. CLAUDE DOES IT</x:t>
        </x:is>
      </x:c>
      <x:c r="G30" s="18" t="inlineStr">
        <x:is>
          <x:t xml:space="preserve">Anand</x:t>
        </x:is>
      </x:c>
      <x:c r="H30" s="18" t="inlineStr">
        <x:is>
          <x:t xml:space="preserve">T209</x:t>
        </x:is>
      </x:c>
      <x:c r="I30" s="45" t="inlineStr">
        <x:is>
          <x:t xml:space="preserve">Claude (code)</x:t>
        </x:is>
      </x:c>
      <x:c r="J30" s="52" t="inlineStr">
        <x:is>
          <x:t xml:space="preserve">$0</x:t>
        </x:is>
      </x:c>
      <x:c r="K30" s="84" t="inlineStr">
        <x:is>
          <x:t xml:space="preserve">Anytime</x:t>
        </x:is>
      </x:c>
      <x:c r="L30" s="44" t="inlineStr">
        <x:is>
          <x:t xml:space="preserve">Not started</x:t>
        </x:is>
      </x:c>
      <x:c r="M30" s="18" t="inlineStr">
        <x:is>
          <x:t xml:space="preserve"/>
        </x:is>
      </x:c>
    </x:row>
    <x:row r="31">
      <x:c r="A31" s="18" t="inlineStr">
        <x:is>
          <x:t xml:space="preserve">T241</x:t>
        </x:is>
      </x:c>
      <x:c r="B31" s="18" t="inlineStr">
        <x:is>
          <x:t xml:space="preserve">AI Liability Defense</x:t>
        </x:is>
      </x:c>
      <x:c r="C31" s="18" t="inlineStr">
        <x:is>
          <x:t xml:space="preserve">Tower: AI-generated insights/narratives in executive dashboards marked + cited</x:t>
        </x:is>
      </x:c>
      <x:c r="D31" s="18" t="inlineStr">
        <x:is>
          <x:t xml:space="preserve">Atlas insights shown with 'AI-generated' label, sources cited, generation timestamp. Executives know what's AI vs raw data.</x:t>
        </x:is>
      </x:c>
      <x:c r="E31" s="31" t="inlineStr">
        <x:is>
          <x:t xml:space="preserve">P0</x:t>
        </x:is>
      </x:c>
      <x:c r="F31" s="39" t="inlineStr">
        <x:is>
          <x:t xml:space="preserve">2. CLAUDE DOES IT</x:t>
        </x:is>
      </x:c>
      <x:c r="G31" s="18" t="inlineStr">
        <x:is>
          <x:t xml:space="preserve">Anand</x:t>
        </x:is>
      </x:c>
      <x:c r="H31" s="18" t="inlineStr">
        <x:is>
          <x:t xml:space="preserve">T205,T209</x:t>
        </x:is>
      </x:c>
      <x:c r="I31" s="45" t="inlineStr">
        <x:is>
          <x:t xml:space="preserve">Claude (code)</x:t>
        </x:is>
      </x:c>
      <x:c r="J31" s="52" t="inlineStr">
        <x:is>
          <x:t xml:space="preserve">$0</x:t>
        </x:is>
      </x:c>
      <x:c r="K31" s="84" t="inlineStr">
        <x:is>
          <x:t xml:space="preserve">Anytime</x:t>
        </x:is>
      </x:c>
      <x:c r="L31" s="44" t="inlineStr">
        <x:is>
          <x:t xml:space="preserve">Not started</x:t>
        </x:is>
      </x:c>
      <x:c r="M31" s="18" t="inlineStr">
        <x:is>
          <x:t xml:space="preserve"/>
        </x:is>
      </x:c>
    </x:row>
    <x:row r="32">
      <x:c r="A32" s="18" t="inlineStr">
        <x:is>
          <x:t xml:space="preserve">T242</x:t>
        </x:is>
      </x:c>
      <x:c r="B32" s="18" t="inlineStr">
        <x:is>
          <x:t xml:space="preserve">AI Liability Defense</x:t>
        </x:is>
      </x:c>
      <x:c r="C32" s="18" t="inlineStr">
        <x:is>
          <x:t xml:space="preserve">Tower: trend predictions get confidence intervals + 'AI prediction' label + assumption disclosure</x:t>
        </x:is>
      </x:c>
      <x:c r="D32" s="18" t="inlineStr">
        <x:is>
          <x:t xml:space="preserve">Forecasts are predictions, not facts. Confidence intervals shown. Assumptions visible.</x:t>
        </x:is>
      </x:c>
      <x:c r="E32" s="31" t="inlineStr">
        <x:is>
          <x:t xml:space="preserve">P0</x:t>
        </x:is>
      </x:c>
      <x:c r="F32" s="39" t="inlineStr">
        <x:is>
          <x:t xml:space="preserve">2. CLAUDE DOES IT</x:t>
        </x:is>
      </x:c>
      <x:c r="G32" s="18" t="inlineStr">
        <x:is>
          <x:t xml:space="preserve">Anand</x:t>
        </x:is>
      </x:c>
      <x:c r="H32" s="18" t="inlineStr">
        <x:is>
          <x:t xml:space="preserve">T208</x:t>
        </x:is>
      </x:c>
      <x:c r="I32" s="45" t="inlineStr">
        <x:is>
          <x:t xml:space="preserve">Claude (code)</x:t>
        </x:is>
      </x:c>
      <x:c r="J32" s="52" t="inlineStr">
        <x:is>
          <x:t xml:space="preserve">$0</x:t>
        </x:is>
      </x:c>
      <x:c r="K32" s="84" t="inlineStr">
        <x:is>
          <x:t xml:space="preserve">Anytime</x:t>
        </x:is>
      </x:c>
      <x:c r="L32" s="44" t="inlineStr">
        <x:is>
          <x:t xml:space="preserve">Not started</x:t>
        </x:is>
      </x:c>
      <x:c r="M32" s="18" t="inlineStr">
        <x:is>
          <x:t xml:space="preserve"/>
        </x:is>
      </x:c>
    </x:row>
    <x:row r="33">
      <x:c r="A33" s="18" t="inlineStr">
        <x:is>
          <x:t xml:space="preserve">T243</x:t>
        </x:is>
      </x:c>
      <x:c r="B33" s="18" t="inlineStr">
        <x:is>
          <x:t xml:space="preserve">AI Liability Defense</x:t>
        </x:is>
      </x:c>
      <x:c r="C33" s="18" t="inlineStr">
        <x:is>
          <x:t xml:space="preserve">Tower: AI-driven alerts require human acknowledge before triggering action</x:t>
        </x:is>
      </x:c>
      <x:c r="D33" s="18" t="inlineStr">
        <x:is>
          <x:t xml:space="preserve">Alert fires → human acknowledges/dismisses with reason → action taken or not. Never auto-action on AI alert.</x:t>
        </x:is>
      </x:c>
      <x:c r="E33" s="31" t="inlineStr">
        <x:is>
          <x:t xml:space="preserve">P0</x:t>
        </x:is>
      </x:c>
      <x:c r="F33" s="39" t="inlineStr">
        <x:is>
          <x:t xml:space="preserve">2. CLAUDE DOES IT</x:t>
        </x:is>
      </x:c>
      <x:c r="G33" s="18" t="inlineStr">
        <x:is>
          <x:t xml:space="preserve">Anand</x:t>
        </x:is>
      </x:c>
      <x:c r="H33" s="18" t="inlineStr">
        <x:is>
          <x:t xml:space="preserve">T206</x:t>
        </x:is>
      </x:c>
      <x:c r="I33" s="45" t="inlineStr">
        <x:is>
          <x:t xml:space="preserve">Claude (code)</x:t>
        </x:is>
      </x:c>
      <x:c r="J33" s="52" t="inlineStr">
        <x:is>
          <x:t xml:space="preserve">$0</x:t>
        </x:is>
      </x:c>
      <x:c r="K33" s="84" t="inlineStr">
        <x:is>
          <x:t xml:space="preserve">Anytime</x:t>
        </x:is>
      </x:c>
      <x:c r="L33" s="44" t="inlineStr">
        <x:is>
          <x:t xml:space="preserve">Not started</x:t>
        </x:is>
      </x:c>
      <x:c r="M33" s="18" t="inlineStr">
        <x:is>
          <x:t xml:space="preserve"/>
        </x:is>
      </x:c>
    </x:row>
    <x:row r="34">
      <x:c r="A34" s="18" t="inlineStr">
        <x:is>
          <x:t xml:space="preserve">T244</x:t>
        </x:is>
      </x:c>
      <x:c r="B34" s="18" t="inlineStr">
        <x:is>
          <x:t xml:space="preserve">AI Liability Defense</x:t>
        </x:is>
      </x:c>
      <x:c r="C34" s="18" t="inlineStr">
        <x:is>
          <x:t xml:space="preserve">Setup: AI-suggested tenant configurations require admin approval + reason</x:t>
        </x:is>
      </x:c>
      <x:c r="D34" s="18" t="inlineStr">
        <x:is>
          <x:t xml:space="preserve">Steward never auto-applies a config. Suggests + admin approves + reason recorded.</x:t>
        </x:is>
      </x:c>
      <x:c r="E34" s="31" t="inlineStr">
        <x:is>
          <x:t xml:space="preserve">P0</x:t>
        </x:is>
      </x:c>
      <x:c r="F34" s="39" t="inlineStr">
        <x:is>
          <x:t xml:space="preserve">2. CLAUDE DOES IT</x:t>
        </x:is>
      </x:c>
      <x:c r="G34" s="18" t="inlineStr">
        <x:is>
          <x:t xml:space="preserve">Anand</x:t>
        </x:is>
      </x:c>
      <x:c r="H34" s="18" t="inlineStr">
        <x:is>
          <x:t xml:space="preserve">T206</x:t>
        </x:is>
      </x:c>
      <x:c r="I34" s="45" t="inlineStr">
        <x:is>
          <x:t xml:space="preserve">Claude (code)</x:t>
        </x:is>
      </x:c>
      <x:c r="J34" s="52" t="inlineStr">
        <x:is>
          <x:t xml:space="preserve">$0</x:t>
        </x:is>
      </x:c>
      <x:c r="K34" s="84" t="inlineStr">
        <x:is>
          <x:t xml:space="preserve">Anytime</x:t>
        </x:is>
      </x:c>
      <x:c r="L34" s="44" t="inlineStr">
        <x:is>
          <x:t xml:space="preserve">Not started</x:t>
        </x:is>
      </x:c>
      <x:c r="M34" s="18" t="inlineStr">
        <x:is>
          <x:t xml:space="preserve"/>
        </x:is>
      </x:c>
    </x:row>
    <x:row r="35">
      <x:c r="A35" s="18" t="inlineStr">
        <x:is>
          <x:t xml:space="preserve">T245</x:t>
        </x:is>
      </x:c>
      <x:c r="B35" s="18" t="inlineStr">
        <x:is>
          <x:t xml:space="preserve">AI Liability Defense</x:t>
        </x:is>
      </x:c>
      <x:c r="C35" s="18" t="inlineStr">
        <x:is>
          <x:t xml:space="preserve">Setup: AI-detected anomalies require human triage acknowledgment before any auto-remediation</x:t>
        </x:is>
      </x:c>
      <x:c r="D35" s="18" t="inlineStr">
        <x:is>
          <x:t xml:space="preserve">No silent auto-fix. Anomaly surfaced → admin sees + decides + acts.</x:t>
        </x:is>
      </x:c>
      <x:c r="E35" s="31" t="inlineStr">
        <x:is>
          <x:t xml:space="preserve">P0</x:t>
        </x:is>
      </x:c>
      <x:c r="F35" s="39" t="inlineStr">
        <x:is>
          <x:t xml:space="preserve">2. CLAUDE DOES IT</x:t>
        </x:is>
      </x:c>
      <x:c r="G35" s="18" t="inlineStr">
        <x:is>
          <x:t xml:space="preserve">Anand</x:t>
        </x:is>
      </x:c>
      <x:c r="H35" s="18" t="inlineStr">
        <x:is>
          <x:t xml:space="preserve">T206</x:t>
        </x:is>
      </x:c>
      <x:c r="I35" s="45" t="inlineStr">
        <x:is>
          <x:t xml:space="preserve">Claude (code)</x:t>
        </x:is>
      </x:c>
      <x:c r="J35" s="52" t="inlineStr">
        <x:is>
          <x:t xml:space="preserve">$0</x:t>
        </x:is>
      </x:c>
      <x:c r="K35" s="84" t="inlineStr">
        <x:is>
          <x:t xml:space="preserve">Anytime</x:t>
        </x:is>
      </x:c>
      <x:c r="L35" s="44" t="inlineStr">
        <x:is>
          <x:t xml:space="preserve">Not started</x:t>
        </x:is>
      </x:c>
      <x:c r="M35" s="18" t="inlineStr">
        <x:is>
          <x:t xml:space="preserve"/>
        </x:is>
      </x:c>
    </x:row>
    <x:row r="36">
      <x:c r="A36" s="18" t="inlineStr">
        <x:is>
          <x:t xml:space="preserve">T246</x:t>
        </x:is>
      </x:c>
      <x:c r="B36" s="18" t="inlineStr">
        <x:is>
          <x:t xml:space="preserve">AI Liability Defense</x:t>
        </x:is>
      </x:c>
      <x:c r="C36" s="18" t="inlineStr">
        <x:is>
          <x:t xml:space="preserve">Agent chat surfaces: persistent disclaimer footer present in all 4 fronts (Nexus/Sentinel/Atlas/Steward)</x:t>
        </x:is>
      </x:c>
      <x:c r="D36" s="18" t="inlineStr">
        <x:is>
          <x:t xml:space="preserve">Standard footer component. Always visible. Disclaimer copy from Responsible AI policy.</x:t>
        </x:is>
      </x:c>
      <x:c r="E36" s="31" t="inlineStr">
        <x:is>
          <x:t xml:space="preserve">P0</x:t>
        </x:is>
      </x:c>
      <x:c r="F36" s="39" t="inlineStr">
        <x:is>
          <x:t xml:space="preserve">2. CLAUDE DOES IT</x:t>
        </x:is>
      </x:c>
      <x:c r="G36" s="18" t="inlineStr">
        <x:is>
          <x:t xml:space="preserve">Anand</x:t>
        </x:is>
      </x:c>
      <x:c r="H36" s="18" t="inlineStr">
        <x:is>
          <x:t xml:space="preserve">T205</x:t>
        </x:is>
      </x:c>
      <x:c r="I36" s="45" t="inlineStr">
        <x:is>
          <x:t xml:space="preserve">Claude (code)</x:t>
        </x:is>
      </x:c>
      <x:c r="J36" s="52" t="inlineStr">
        <x:is>
          <x:t xml:space="preserve">$0</x:t>
        </x:is>
      </x:c>
      <x:c r="K36" s="84" t="inlineStr">
        <x:is>
          <x:t xml:space="preserve">Anytime</x:t>
        </x:is>
      </x:c>
      <x:c r="L36" s="44" t="inlineStr">
        <x:is>
          <x:t xml:space="preserve">Not started</x:t>
        </x:is>
      </x:c>
      <x:c r="M36" s="18" t="inlineStr">
        <x:is>
          <x:t xml:space="preserve"/>
        </x:is>
      </x:c>
    </x:row>
    <x:row r="37">
      <x:c r="A37" s="18" t="inlineStr">
        <x:is>
          <x:t xml:space="preserve">T247</x:t>
        </x:is>
      </x:c>
      <x:c r="B37" s="18" t="inlineStr">
        <x:is>
          <x:t xml:space="preserve">AI Liability Defense</x:t>
        </x:is>
      </x:c>
      <x:c r="C37" s="18" t="inlineStr">
        <x:is>
          <x:t xml:space="preserve">Agent chat: any agent-initiated action requires explicit human approval in-chat</x:t>
        </x:is>
      </x:c>
      <x:c r="D37" s="18" t="inlineStr">
        <x:is>
          <x:t xml:space="preserve">If user says 'Sentinel, source 3 vendors for X' — agent drafts list + waits for user 'go' before any external action. No agent auto-execution.</x:t>
        </x:is>
      </x:c>
      <x:c r="E37" s="31" t="inlineStr">
        <x:is>
          <x:t xml:space="preserve">P0</x:t>
        </x:is>
      </x:c>
      <x:c r="F37" s="39" t="inlineStr">
        <x:is>
          <x:t xml:space="preserve">2. CLAUDE DOES IT</x:t>
        </x:is>
      </x:c>
      <x:c r="G37" s="18" t="inlineStr">
        <x:is>
          <x:t xml:space="preserve">Anand</x:t>
        </x:is>
      </x:c>
      <x:c r="H37" s="18" t="inlineStr">
        <x:is>
          <x:t xml:space="preserve">T206,T204</x:t>
        </x:is>
      </x:c>
      <x:c r="I37" s="45" t="inlineStr">
        <x:is>
          <x:t xml:space="preserve">Claude (code)</x:t>
        </x:is>
      </x:c>
      <x:c r="J37" s="52" t="inlineStr">
        <x:is>
          <x:t xml:space="preserve">$0</x:t>
        </x:is>
      </x:c>
      <x:c r="K37" s="84" t="inlineStr">
        <x:is>
          <x:t xml:space="preserve">Anytime</x:t>
        </x:is>
      </x:c>
      <x:c r="L37" s="44" t="inlineStr">
        <x:is>
          <x:t xml:space="preserve">Not started</x:t>
        </x:is>
      </x:c>
      <x:c r="M37" s="18" t="inlineStr">
        <x:is>
          <x:t xml:space="preserve"/>
        </x:is>
      </x:c>
    </x:row>
    <x:row r="38">
      <x:c r="A38" s="18" t="inlineStr">
        <x:is>
          <x:t xml:space="preserve">T248</x:t>
        </x:is>
      </x:c>
      <x:c r="B38" s="18" t="inlineStr">
        <x:is>
          <x:t xml:space="preserve">AI Liability Defense</x:t>
        </x:is>
      </x:c>
      <x:c r="C38" s="18" t="inlineStr">
        <x:is>
          <x:t xml:space="preserve">Agent chat: responses cite sources where the claim came from (RAG-grounded citations)</x:t>
        </x:is>
      </x:c>
      <x:c r="D38" s="18" t="inlineStr">
        <x:is>
          <x:t xml:space="preserve">Every factual claim in agent response shows [1] [2] [3] links to source chunks. Ungrounded claims marked 'general knowledge'.</x:t>
        </x:is>
      </x:c>
      <x:c r="E38" s="31" t="inlineStr">
        <x:is>
          <x:t xml:space="preserve">P0</x:t>
        </x:is>
      </x:c>
      <x:c r="F38" s="39" t="inlineStr">
        <x:is>
          <x:t xml:space="preserve">2. CLAUDE DOES IT</x:t>
        </x:is>
      </x:c>
      <x:c r="G38" s="18" t="inlineStr">
        <x:is>
          <x:t xml:space="preserve">Anand</x:t>
        </x:is>
      </x:c>
      <x:c r="H38" s="18" t="inlineStr">
        <x:is>
          <x:t xml:space="preserve">T209</x:t>
        </x:is>
      </x:c>
      <x:c r="I38" s="45" t="inlineStr">
        <x:is>
          <x:t xml:space="preserve">Claude (code)</x:t>
        </x:is>
      </x:c>
      <x:c r="J38" s="52" t="inlineStr">
        <x:is>
          <x:t xml:space="preserve">$0</x:t>
        </x:is>
      </x:c>
      <x:c r="K38" s="84" t="inlineStr">
        <x:is>
          <x:t xml:space="preserve">Anytime</x:t>
        </x:is>
      </x:c>
      <x:c r="L38" s="44" t="inlineStr">
        <x:is>
          <x:t xml:space="preserve">Not started</x:t>
        </x:is>
      </x:c>
      <x:c r="M38" s="18" t="inlineStr">
        <x:is>
          <x:t xml:space="preserve"/>
        </x:is>
      </x:c>
    </x:row>
    <x:row r="39">
      <x:c r="A39" s="18" t="inlineStr">
        <x:is>
          <x:t xml:space="preserve">T250</x:t>
        </x:is>
      </x:c>
      <x:c r="B39" s="18" t="inlineStr">
        <x:is>
          <x:t xml:space="preserve">AI Liability Defense</x:t>
        </x:is>
      </x:c>
      <x:c r="C39" s="18" t="inlineStr">
        <x:is>
          <x:t xml:space="preserve">CI gate: E2E test asserts AI label + citation + gate present in every surface (per audit catalog)</x:t>
        </x:is>
      </x:c>
      <x:c r="D39" s="18" t="inlineStr">
        <x:is>
          <x:t xml:space="preserve">Regression prevention. New surface added without the pattern = CI fails. Test reads the audit catalog as truth source.</x:t>
        </x:is>
      </x:c>
      <x:c r="E39" s="31" t="inlineStr">
        <x:is>
          <x:t xml:space="preserve">P0</x:t>
        </x:is>
      </x:c>
      <x:c r="F39" s="39" t="inlineStr">
        <x:is>
          <x:t xml:space="preserve">2. CLAUDE DOES IT</x:t>
        </x:is>
      </x:c>
      <x:c r="G39" s="18" t="inlineStr">
        <x:is>
          <x:t xml:space="preserve">Anand</x:t>
        </x:is>
      </x:c>
      <x:c r="H39" s="18" t="inlineStr">
        <x:is>
          <x:t xml:space="preserve">T204</x:t>
        </x:is>
      </x:c>
      <x:c r="I39" s="45" t="inlineStr">
        <x:is>
          <x:t xml:space="preserve">Claude (workflow)</x:t>
        </x:is>
      </x:c>
      <x:c r="J39" s="52" t="inlineStr">
        <x:is>
          <x:t xml:space="preserve">$0</x:t>
        </x:is>
      </x:c>
      <x:c r="K39" s="84" t="inlineStr">
        <x:is>
          <x:t xml:space="preserve">Anytime</x:t>
        </x:is>
      </x:c>
      <x:c r="L39" s="44" t="inlineStr">
        <x:is>
          <x:t xml:space="preserve">Not started</x:t>
        </x:is>
      </x:c>
      <x:c r="M39" s="18" t="inlineStr">
        <x:is>
          <x:t xml:space="preserve"/>
        </x:is>
      </x:c>
    </x:row>
    <x:row r="40">
      <x:c r="A40" s="18" t="inlineStr">
        <x:is>
          <x:t xml:space="preserve">T213</x:t>
        </x:is>
      </x:c>
      <x:c r="B40" s="18" t="inlineStr">
        <x:is>
          <x:t xml:space="preserve">AI Liability Defense</x:t>
        </x:is>
      </x:c>
      <x:c r="C40" s="18" t="inlineStr">
        <x:is>
          <x:t xml:space="preserve">Annual re-acknowledgment requirement</x:t>
        </x:is>
      </x:c>
      <x:c r="D40" s="18" t="inlineStr">
        <x:is>
          <x:t xml:space="preserve">On anniversary, user must re-accept. New consent text version triggers immediate re-acknowledgment.</x:t>
        </x:is>
      </x:c>
      <x:c r="E40" s="32" t="inlineStr">
        <x:is>
          <x:t xml:space="preserve">P1</x:t>
        </x:is>
      </x:c>
      <x:c r="F40" s="39" t="inlineStr">
        <x:is>
          <x:t xml:space="preserve">2. CLAUDE DOES IT</x:t>
        </x:is>
      </x:c>
      <x:c r="G40" s="18" t="inlineStr">
        <x:is>
          <x:t xml:space="preserve">Anand</x:t>
        </x:is>
      </x:c>
      <x:c r="H40" s="18" t="inlineStr">
        <x:is>
          <x:t xml:space="preserve"/>
        </x:is>
      </x:c>
      <x:c r="I40" s="45" t="inlineStr">
        <x:is>
          <x:t xml:space="preserve">Claude (code)</x:t>
        </x:is>
      </x:c>
      <x:c r="J40" s="52" t="inlineStr">
        <x:is>
          <x:t xml:space="preserve">$0</x:t>
        </x:is>
      </x:c>
      <x:c r="K40" s="84" t="inlineStr">
        <x:is>
          <x:t xml:space="preserve">Anytime</x:t>
        </x:is>
      </x:c>
      <x:c r="L40" s="44" t="inlineStr">
        <x:is>
          <x:t xml:space="preserve">Not started</x:t>
        </x:is>
      </x:c>
      <x:c r="M40" s="18" t="inlineStr">
        <x:is>
          <x:t xml:space="preserve"/>
        </x:is>
      </x:c>
    </x:row>
    <x:row r="41">
      <x:c r="A41" s="18" t="inlineStr">
        <x:is>
          <x:t xml:space="preserve">T218</x:t>
        </x:is>
      </x:c>
      <x:c r="B41" s="18" t="inlineStr">
        <x:is>
          <x:t xml:space="preserve">AI Liability Defense</x:t>
        </x:is>
      </x:c>
      <x:c r="C41" s="18" t="inlineStr">
        <x:is>
          <x:t xml:space="preserve">Quarterly approval-pattern review (anti-rubber-stamp detection)</x:t>
        </x:is>
      </x:c>
      <x:c r="D41" s="18" t="inlineStr">
        <x:is>
          <x:t xml:space="preserve">Flag users approving in &lt;X seconds. Surface to tenant admin + AbarVa. Proactive defense against 'they didn't really review' claims later.</x:t>
        </x:is>
      </x:c>
      <x:c r="E41" s="32" t="inlineStr">
        <x:is>
          <x:t xml:space="preserve">P1</x:t>
        </x:is>
      </x:c>
      <x:c r="F41" s="39" t="inlineStr">
        <x:is>
          <x:t xml:space="preserve">2. CLAUDE DOES IT</x:t>
        </x:is>
      </x:c>
      <x:c r="G41" s="18" t="inlineStr">
        <x:is>
          <x:t xml:space="preserve">Anand</x:t>
        </x:is>
      </x:c>
      <x:c r="H41" s="18" t="inlineStr">
        <x:is>
          <x:t xml:space="preserve"/>
        </x:is>
      </x:c>
      <x:c r="I41" s="45" t="inlineStr">
        <x:is>
          <x:t xml:space="preserve">Claude (code+report)</x:t>
        </x:is>
      </x:c>
      <x:c r="J41" s="52" t="inlineStr">
        <x:is>
          <x:t xml:space="preserve">$0</x:t>
        </x:is>
      </x:c>
      <x:c r="K41" s="84" t="inlineStr">
        <x:is>
          <x:t xml:space="preserve">Anytime</x:t>
        </x:is>
      </x:c>
      <x:c r="L41" s="44" t="inlineStr">
        <x:is>
          <x:t xml:space="preserve">Not started</x:t>
        </x:is>
      </x:c>
      <x:c r="M41" s="18" t="inlineStr">
        <x:is>
          <x:t xml:space="preserve"/>
        </x:is>
      </x:c>
    </x:row>
    <x:row r="42">
      <x:c r="A42" s="18" t="inlineStr">
        <x:is>
          <x:t xml:space="preserve">T226</x:t>
        </x:is>
      </x:c>
      <x:c r="B42" s="18" t="inlineStr">
        <x:is>
          <x:t xml:space="preserve">AI Liability Defense</x:t>
        </x:is>
      </x:c>
      <x:c r="C42" s="18" t="inlineStr">
        <x:is>
          <x:t xml:space="preserve">Incident reporting channel for AI-output complaints</x:t>
        </x:is>
      </x:c>
      <x:c r="D42" s="18" t="inlineStr">
        <x:is>
          <x:t xml:space="preserve">Dedicated path: client reports 'output was wrong' → triaged, documented, RCA, response within SLA. Evidence of ongoing care.</x:t>
        </x:is>
      </x:c>
      <x:c r="E42" s="32" t="inlineStr">
        <x:is>
          <x:t xml:space="preserve">P1</x:t>
        </x:is>
      </x:c>
      <x:c r="F42" s="39" t="inlineStr">
        <x:is>
          <x:t xml:space="preserve">2. CLAUDE DOES IT</x:t>
        </x:is>
      </x:c>
      <x:c r="G42" s="18" t="inlineStr">
        <x:is>
          <x:t xml:space="preserve">Anand</x:t>
        </x:is>
      </x:c>
      <x:c r="H42" s="18" t="inlineStr">
        <x:is>
          <x:t xml:space="preserve"/>
        </x:is>
      </x:c>
      <x:c r="I42" s="45" t="inlineStr">
        <x:is>
          <x:t xml:space="preserve">Claude (process+code)</x:t>
        </x:is>
      </x:c>
      <x:c r="J42" s="52" t="inlineStr">
        <x:is>
          <x:t xml:space="preserve">$0</x:t>
        </x:is>
      </x:c>
      <x:c r="K42" s="84" t="inlineStr">
        <x:is>
          <x:t xml:space="preserve">Anytime</x:t>
        </x:is>
      </x:c>
      <x:c r="L42" s="44" t="inlineStr">
        <x:is>
          <x:t xml:space="preserve">Not started</x:t>
        </x:is>
      </x:c>
      <x:c r="M42" s="18" t="inlineStr">
        <x:is>
          <x:t xml:space="preserve"/>
        </x:is>
      </x:c>
    </x:row>
    <x:row r="43">
      <x:c r="A43" s="18" t="inlineStr">
        <x:is>
          <x:t xml:space="preserve">T229</x:t>
        </x:is>
      </x:c>
      <x:c r="B43" s="18" t="inlineStr">
        <x:is>
          <x:t xml:space="preserve">AI Liability Defense</x:t>
        </x:is>
      </x:c>
      <x:c r="C43" s="18" t="inlineStr">
        <x:is>
          <x:t xml:space="preserve">Internal protocol: client AI-output complaint → documented escalation + RCA + response</x:t>
        </x:is>
      </x:c>
      <x:c r="D43" s="18" t="inlineStr">
        <x:is>
          <x:t xml:space="preserve">Lightweight process doc. Every complaint logged + responded to within Xh. Shows good-faith handling.</x:t>
        </x:is>
      </x:c>
      <x:c r="E43" s="32" t="inlineStr">
        <x:is>
          <x:t xml:space="preserve">P1</x:t>
        </x:is>
      </x:c>
      <x:c r="F43" s="39" t="inlineStr">
        <x:is>
          <x:t xml:space="preserve">2. CLAUDE DOES IT</x:t>
        </x:is>
      </x:c>
      <x:c r="G43" s="18" t="inlineStr">
        <x:is>
          <x:t xml:space="preserve">Anand</x:t>
        </x:is>
      </x:c>
      <x:c r="H43" s="18" t="inlineStr">
        <x:is>
          <x:t xml:space="preserve"/>
        </x:is>
      </x:c>
      <x:c r="I43" s="45" t="inlineStr">
        <x:is>
          <x:t xml:space="preserve">Claude (draft)</x:t>
        </x:is>
      </x:c>
      <x:c r="J43" s="52" t="inlineStr">
        <x:is>
          <x:t xml:space="preserve">$0</x:t>
        </x:is>
      </x:c>
      <x:c r="K43" s="84" t="inlineStr">
        <x:is>
          <x:t xml:space="preserve">Anytime</x:t>
        </x:is>
      </x:c>
      <x:c r="L43" s="44" t="inlineStr">
        <x:is>
          <x:t xml:space="preserve">Not started</x:t>
        </x:is>
      </x:c>
      <x:c r="M43" s="18" t="inlineStr">
        <x:is>
          <x:t xml:space="preserve"/>
        </x:is>
      </x:c>
    </x:row>
    <x:row r="44">
      <x:c r="A44" s="18" t="inlineStr">
        <x:is>
          <x:t xml:space="preserve">T249</x:t>
        </x:is>
      </x:c>
      <x:c r="B44" s="18" t="inlineStr">
        <x:is>
          <x:t xml:space="preserve">AI Liability Defense</x:t>
        </x:is>
      </x:c>
      <x:c r="C44" s="18" t="inlineStr">
        <x:is>
          <x:t xml:space="preserve">Historical data backfill policy (records pre-dating evidence bundle)</x:t>
        </x:is>
      </x:c>
      <x:c r="D44" s="18" t="inlineStr">
        <x:is>
          <x:t xml:space="preserve">Existing records without evidence bundle marked 'pre-policy — captured before evidence framework'. Document the cutoff date. Do not retroactively fabricate evidence.</x:t>
        </x:is>
      </x:c>
      <x:c r="E44" s="32" t="inlineStr">
        <x:is>
          <x:t xml:space="preserve">P1</x:t>
        </x:is>
      </x:c>
      <x:c r="F44" s="39" t="inlineStr">
        <x:is>
          <x:t xml:space="preserve">2. CLAUDE DOES IT</x:t>
        </x:is>
      </x:c>
      <x:c r="G44" s="18" t="inlineStr">
        <x:is>
          <x:t xml:space="preserve">Anand</x:t>
        </x:is>
      </x:c>
      <x:c r="H44" s="18" t="inlineStr">
        <x:is>
          <x:t xml:space="preserve">T216</x:t>
        </x:is>
      </x:c>
      <x:c r="I44" s="45" t="inlineStr">
        <x:is>
          <x:t xml:space="preserve">Claude (code+docs)</x:t>
        </x:is>
      </x:c>
      <x:c r="J44" s="52" t="inlineStr">
        <x:is>
          <x:t xml:space="preserve">$0</x:t>
        </x:is>
      </x:c>
      <x:c r="K44" s="84" t="inlineStr">
        <x:is>
          <x:t xml:space="preserve">Anytime</x:t>
        </x:is>
      </x:c>
      <x:c r="L44" s="44" t="inlineStr">
        <x:is>
          <x:t xml:space="preserve">Not started</x:t>
        </x:is>
      </x:c>
      <x:c r="M44" s="18" t="inlineStr">
        <x:is>
          <x:t xml:space="preserve"/>
        </x:is>
      </x:c>
    </x:row>
    <x:row r="45">
      <x:c r="A45" s="18" t="inlineStr">
        <x:is>
          <x:t xml:space="preserve">T230</x:t>
        </x:is>
      </x:c>
      <x:c r="B45" s="18" t="inlineStr">
        <x:is>
          <x:t xml:space="preserve">AI Liability Defense</x:t>
        </x:is>
      </x:c>
      <x:c r="C45" s="18" t="inlineStr">
        <x:is>
          <x:t xml:space="preserve">Quarterly litigation precedent monitoring (legal updates affecting AI vendor risk)</x:t>
        </x:is>
      </x:c>
      <x:c r="D45" s="18" t="inlineStr">
        <x:is>
          <x:t xml:space="preserve">Track Air Canada / Mata-style cases. Update policies + system as the legal landscape evolves.</x:t>
        </x:is>
      </x:c>
      <x:c r="E45" s="49" t="inlineStr">
        <x:is>
          <x:t xml:space="preserve">P2</x:t>
        </x:is>
      </x:c>
      <x:c r="F45" s="39" t="inlineStr">
        <x:is>
          <x:t xml:space="preserve">2. CLAUDE DOES IT</x:t>
        </x:is>
      </x:c>
      <x:c r="G45" s="18" t="inlineStr">
        <x:is>
          <x:t xml:space="preserve">Anand</x:t>
        </x:is>
      </x:c>
      <x:c r="H45" s="18" t="inlineStr">
        <x:is>
          <x:t xml:space="preserve"/>
        </x:is>
      </x:c>
      <x:c r="I45" s="45" t="inlineStr">
        <x:is>
          <x:t xml:space="preserve">Claude (research) + you</x:t>
        </x:is>
      </x:c>
      <x:c r="J45" s="52" t="inlineStr">
        <x:is>
          <x:t xml:space="preserve">$0</x:t>
        </x:is>
      </x:c>
      <x:c r="K45" s="84" t="inlineStr">
        <x:is>
          <x:t xml:space="preserve">Anytime</x:t>
        </x:is>
      </x:c>
      <x:c r="L45" s="44" t="inlineStr">
        <x:is>
          <x:t xml:space="preserve">Not started</x:t>
        </x:is>
      </x:c>
      <x:c r="M45" s="18" t="inlineStr">
        <x:is>
          <x:t xml:space="preserve"/>
        </x:is>
      </x:c>
    </x:row>
    <x:row r="46">
      <x:c r="A46" s="18" t="inlineStr">
        <x:is>
          <x:t xml:space="preserve">T215</x:t>
        </x:is>
      </x:c>
      <x:c r="B46" s="18" t="inlineStr">
        <x:is>
          <x:t xml:space="preserve">AI Liability Defense</x:t>
        </x:is>
      </x:c>
      <x:c r="C46" s="18" t="inlineStr">
        <x:is>
          <x:t xml:space="preserve">Tenant admin signs 'system role acknowledgment' at onboarding</x:t>
        </x:is>
      </x:c>
      <x:c r="D46" s="18" t="inlineStr">
        <x:is>
          <x:t xml:space="preserve">Admin confirms understanding: AbarVa = advisor, client = decision-maker. Captured during SSO setup. Separate from per-user click-wrap.</x:t>
        </x:is>
      </x:c>
      <x:c r="E46" s="31" t="inlineStr">
        <x:is>
          <x:t xml:space="preserve">P0</x:t>
        </x:is>
      </x:c>
      <x:c r="F46" s="40" t="inlineStr">
        <x:is>
          <x:t xml:space="preserve">3. CLAUDE + YOU</x:t>
        </x:is>
      </x:c>
      <x:c r="G46" s="18" t="inlineStr">
        <x:is>
          <x:t xml:space="preserve">Anand</x:t>
        </x:is>
      </x:c>
      <x:c r="H46" s="18" t="inlineStr">
        <x:is>
          <x:t xml:space="preserve"/>
        </x:is>
      </x:c>
      <x:c r="I46" s="47" t="inlineStr">
        <x:is>
          <x:t xml:space="preserve">Claude + you (template)</x:t>
        </x:is>
      </x:c>
      <x:c r="J46" s="52" t="inlineStr">
        <x:is>
          <x:t xml:space="preserve">$0</x:t>
        </x:is>
      </x:c>
      <x:c r="K46" s="84" t="inlineStr">
        <x:is>
          <x:t xml:space="preserve">Anytime</x:t>
        </x:is>
      </x:c>
      <x:c r="L46" s="44" t="inlineStr">
        <x:is>
          <x:t xml:space="preserve">Not started</x:t>
        </x:is>
      </x:c>
      <x:c r="M46" s="18" t="inlineStr">
        <x:is>
          <x:t xml:space="preserve"/>
        </x:is>
      </x:c>
    </x:row>
    <x:row r="47">
      <x:c r="A47" s="18" t="inlineStr">
        <x:is>
          <x:t xml:space="preserve">T219</x:t>
        </x:is>
      </x:c>
      <x:c r="B47" s="18" t="inlineStr">
        <x:is>
          <x:t xml:space="preserve">AI Liability Defense</x:t>
        </x:is>
      </x:c>
      <x:c r="C47" s="18" t="inlineStr">
        <x:is>
          <x:t xml:space="preserve">SOW boilerplate: AI-specific advisory clauses (warranty disclaimer, advisor-not-decider, validation duty, hallucination disclosure)</x:t>
        </x:is>
      </x:c>
      <x:c r="D47" s="18" t="inlineStr">
        <x:is>
          <x:t xml:space="preserve">Standard block in every SOW. Drafted by Claude, lawyer-reviewed. Reusable.</x:t>
        </x:is>
      </x:c>
      <x:c r="E47" s="31" t="inlineStr">
        <x:is>
          <x:t xml:space="preserve">P0</x:t>
        </x:is>
      </x:c>
      <x:c r="F47" s="41" t="inlineStr">
        <x:is>
          <x:t xml:space="preserve">4. CLAUDE + PRO</x:t>
        </x:is>
      </x:c>
      <x:c r="G47" s="18" t="inlineStr">
        <x:is>
          <x:t xml:space="preserve">Anand</x:t>
        </x:is>
      </x:c>
      <x:c r="H47" s="18" t="inlineStr">
        <x:is>
          <x:t xml:space="preserve">T006</x:t>
        </x:is>
      </x:c>
      <x:c r="I47" s="50" t="inlineStr">
        <x:is>
          <x:t xml:space="preserve">Claude + lawyer</x:t>
        </x:is>
      </x:c>
      <x:c r="J47" s="51" t="inlineStr">
        <x:is>
          <x:t xml:space="preserve">$1-2k (lawyer review)</x:t>
        </x:is>
      </x:c>
      <x:c r="K47" s="84" t="inlineStr">
        <x:is>
          <x:t xml:space="preserve">Anytime</x:t>
        </x:is>
      </x:c>
      <x:c r="L47" s="44" t="inlineStr">
        <x:is>
          <x:t xml:space="preserve">Not started</x:t>
        </x:is>
      </x:c>
      <x:c r="M47" s="18" t="inlineStr">
        <x:is>
          <x:t xml:space="preserve"/>
        </x:is>
      </x:c>
    </x:row>
    <x:row r="48">
      <x:c r="A48" s="18" t="inlineStr">
        <x:is>
          <x:t xml:space="preserve">T220</x:t>
        </x:is>
      </x:c>
      <x:c r="B48" s="18" t="inlineStr">
        <x:is>
          <x:t xml:space="preserve">AI Liability Defense</x:t>
        </x:is>
      </x:c>
      <x:c r="C48" s="18" t="inlineStr">
        <x:is>
          <x:t xml:space="preserve">SOW: client indemnifies AbarVa for claims arising from client's reliance on outputs</x:t>
        </x:is>
      </x:c>
      <x:c r="D48" s="18" t="inlineStr">
        <x:is>
          <x:t xml:space="preserve">Specific clause separate from general indemnity. Client takes responsibility for their decisions.</x:t>
        </x:is>
      </x:c>
      <x:c r="E48" s="31" t="inlineStr">
        <x:is>
          <x:t xml:space="preserve">P0</x:t>
        </x:is>
      </x:c>
      <x:c r="F48" s="41" t="inlineStr">
        <x:is>
          <x:t xml:space="preserve">4. CLAUDE + PRO</x:t>
        </x:is>
      </x:c>
      <x:c r="G48" s="18" t="inlineStr">
        <x:is>
          <x:t xml:space="preserve">Anand</x:t>
        </x:is>
      </x:c>
      <x:c r="H48" s="18" t="inlineStr">
        <x:is>
          <x:t xml:space="preserve">T006</x:t>
        </x:is>
      </x:c>
      <x:c r="I48" s="50" t="inlineStr">
        <x:is>
          <x:t xml:space="preserve">Claude + lawyer</x:t>
        </x:is>
      </x:c>
      <x:c r="J48" s="52" t="inlineStr">
        <x:is>
          <x:t xml:space="preserve">$0 (within lawyer review above)</x:t>
        </x:is>
      </x:c>
      <x:c r="K48" s="84" t="inlineStr">
        <x:is>
          <x:t xml:space="preserve">Anytime</x:t>
        </x:is>
      </x:c>
      <x:c r="L48" s="44" t="inlineStr">
        <x:is>
          <x:t xml:space="preserve">Not started</x:t>
        </x:is>
      </x:c>
      <x:c r="M48" s="18" t="inlineStr">
        <x:is>
          <x:t xml:space="preserve"/>
        </x:is>
      </x:c>
    </x:row>
    <x:row r="49">
      <x:c r="A49" s="18" t="inlineStr">
        <x:is>
          <x:t xml:space="preserve">T221</x:t>
        </x:is>
      </x:c>
      <x:c r="B49" s="18" t="inlineStr">
        <x:is>
          <x:t xml:space="preserve">AI Liability Defense</x:t>
        </x:is>
      </x:c>
      <x:c r="C49" s="18" t="inlineStr">
        <x:is>
          <x:t xml:space="preserve">SOW: liability cap carve-out for AI-output reliance claims</x:t>
        </x:is>
      </x:c>
      <x:c r="D49" s="18" t="inlineStr">
        <x:is>
          <x:t xml:space="preserve">Caps your exposure to AI-specific risk separately. Should not count against general 12-month liability cap.</x:t>
        </x:is>
      </x:c>
      <x:c r="E49" s="31" t="inlineStr">
        <x:is>
          <x:t xml:space="preserve">P0</x:t>
        </x:is>
      </x:c>
      <x:c r="F49" s="41" t="inlineStr">
        <x:is>
          <x:t xml:space="preserve">4. CLAUDE + PRO</x:t>
        </x:is>
      </x:c>
      <x:c r="G49" s="18" t="inlineStr">
        <x:is>
          <x:t xml:space="preserve">Anand</x:t>
        </x:is>
      </x:c>
      <x:c r="H49" s="18" t="inlineStr">
        <x:is>
          <x:t xml:space="preserve">T006</x:t>
        </x:is>
      </x:c>
      <x:c r="I49" s="50" t="inlineStr">
        <x:is>
          <x:t xml:space="preserve">Claude + lawyer</x:t>
        </x:is>
      </x:c>
      <x:c r="J49" s="52" t="inlineStr">
        <x:is>
          <x:t xml:space="preserve">$0</x:t>
        </x:is>
      </x:c>
      <x:c r="K49" s="84" t="inlineStr">
        <x:is>
          <x:t xml:space="preserve">Anytime</x:t>
        </x:is>
      </x:c>
      <x:c r="L49" s="44" t="inlineStr">
        <x:is>
          <x:t xml:space="preserve">Not started</x:t>
        </x:is>
      </x:c>
      <x:c r="M49" s="18" t="inlineStr">
        <x:is>
          <x:t xml:space="preserve"/>
        </x:is>
      </x:c>
    </x:row>
    <x:row r="50">
      <x:c r="A50" s="18" t="inlineStr">
        <x:is>
          <x:t xml:space="preserve">T222</x:t>
        </x:is>
      </x:c>
      <x:c r="B50" s="18" t="inlineStr">
        <x:is>
          <x:t xml:space="preserve">AI Liability Defense</x:t>
        </x:is>
      </x:c>
      <x:c r="C50" s="18" t="inlineStr">
        <x:is>
          <x:t xml:space="preserve">SOW: client warrants users will complete training before access</x:t>
        </x:is>
      </x:c>
      <x:c r="D50" s="18" t="inlineStr">
        <x:is>
          <x:t xml:space="preserve">Forces client to enforce the training requirement on their side. Shifts breach to them if they grant access without training.</x:t>
        </x:is>
      </x:c>
      <x:c r="E50" s="31" t="inlineStr">
        <x:is>
          <x:t xml:space="preserve">P0</x:t>
        </x:is>
      </x:c>
      <x:c r="F50" s="41" t="inlineStr">
        <x:is>
          <x:t xml:space="preserve">4. CLAUDE + PRO</x:t>
        </x:is>
      </x:c>
      <x:c r="G50" s="18" t="inlineStr">
        <x:is>
          <x:t xml:space="preserve">Anand</x:t>
        </x:is>
      </x:c>
      <x:c r="H50" s="18" t="inlineStr">
        <x:is>
          <x:t xml:space="preserve">T006</x:t>
        </x:is>
      </x:c>
      <x:c r="I50" s="50" t="inlineStr">
        <x:is>
          <x:t xml:space="preserve">Claude + lawyer</x:t>
        </x:is>
      </x:c>
      <x:c r="J50" s="52" t="inlineStr">
        <x:is>
          <x:t xml:space="preserve">$0</x:t>
        </x:is>
      </x:c>
      <x:c r="K50" s="84" t="inlineStr">
        <x:is>
          <x:t xml:space="preserve">Anytime</x:t>
        </x:is>
      </x:c>
      <x:c r="L50" s="44" t="inlineStr">
        <x:is>
          <x:t xml:space="preserve">Not started</x:t>
        </x:is>
      </x:c>
      <x:c r="M50" s="18" t="inlineStr">
        <x:is>
          <x:t xml:space="preserve"/>
        </x:is>
      </x:c>
    </x:row>
    <x:row r="51">
      <x:c r="A51" s="18" t="inlineStr">
        <x:is>
          <x:t xml:space="preserve">T227</x:t>
        </x:is>
      </x:c>
      <x:c r="B51" s="18" t="inlineStr">
        <x:is>
          <x:t xml:space="preserve">AI Liability Defense</x:t>
        </x:is>
      </x:c>
      <x:c r="C51" s="18" t="inlineStr">
        <x:is>
          <x:t xml:space="preserve">Confirm E&amp;O policy explicitly covers AI/ML technology claims</x:t>
        </x:is>
      </x:c>
      <x:c r="D51" s="18" t="inlineStr">
        <x:is>
          <x:t xml:space="preserve">Some older policies exclude. Get carrier letter confirming coverage. May require rider/endorsement.</x:t>
        </x:is>
      </x:c>
      <x:c r="E51" s="31" t="inlineStr">
        <x:is>
          <x:t xml:space="preserve">P0</x:t>
        </x:is>
      </x:c>
      <x:c r="F51" s="42" t="inlineStr">
        <x:is>
          <x:t xml:space="preserve">5. EXTERNAL</x:t>
        </x:is>
      </x:c>
      <x:c r="G51" s="18" t="inlineStr">
        <x:is>
          <x:t xml:space="preserve">Anand</x:t>
        </x:is>
      </x:c>
      <x:c r="H51" s="18" t="inlineStr">
        <x:is>
          <x:t xml:space="preserve">T007</x:t>
        </x:is>
      </x:c>
      <x:c r="I51" s="48" t="inlineStr">
        <x:is>
          <x:t xml:space="preserve">3rd party: broker</x:t>
        </x:is>
      </x:c>
      <x:c r="J51" s="52" t="inlineStr">
        <x:is>
          <x:t xml:space="preserve">$0 (within E&amp;O premium) or rider $500-2k</x:t>
        </x:is>
      </x:c>
      <x:c r="K51" s="84" t="inlineStr">
        <x:is>
          <x:t xml:space="preserve">Anytime</x:t>
        </x:is>
      </x:c>
      <x:c r="L51" s="44" t="inlineStr">
        <x:is>
          <x:t xml:space="preserve">Not started</x:t>
        </x:is>
      </x:c>
      <x:c r="M51" s="18" t="inlineStr">
        <x:is>
          <x:t xml:space="preserve"/>
        </x:is>
      </x:c>
    </x:row>
    <x:row r="52">
      <x:c r="A52" s="18" t="inlineStr">
        <x:is>
          <x:t xml:space="preserve">T251</x:t>
        </x:is>
      </x:c>
      <x:c r="B52" s="18" t="inlineStr">
        <x:is>
          <x:t xml:space="preserve">AI Liability Defense</x:t>
        </x:is>
      </x:c>
      <x:c r="C52" s="18" t="inlineStr">
        <x:is>
          <x:t xml:space="preserve">Retrofit completion checkpoint: every cataloged action gated, every cataloged AI element labeled</x:t>
        </x:is>
      </x:c>
      <x:c r="D52" s="18" t="inlineStr">
        <x:is>
          <x:t xml:space="preserve">Rollup task. Plan reviewable: % retrofit complete per module. Pilot launches only when 100% across all 5 surfaces.</x:t>
        </x:is>
      </x:c>
      <x:c r="E52" s="31" t="inlineStr">
        <x:is>
          <x:t xml:space="preserve">P0</x:t>
        </x:is>
      </x:c>
      <x:c r="F52" s="42" t="inlineStr">
        <x:is>
          <x:t xml:space="preserve">5. EXTERNAL</x:t>
        </x:is>
      </x:c>
      <x:c r="G52" s="18" t="inlineStr">
        <x:is>
          <x:t xml:space="preserve">Anand</x:t>
        </x:is>
      </x:c>
      <x:c r="H52" s="18" t="inlineStr">
        <x:is>
          <x:t xml:space="preserve"/>
        </x:is>
      </x:c>
      <x:c r="I52" s="48" t="inlineStr">
        <x:is>
          <x:t xml:space="preserve">You only (review)</x:t>
        </x:is>
      </x:c>
      <x:c r="J52" s="52" t="inlineStr">
        <x:is>
          <x:t xml:space="preserve">$0</x:t>
        </x:is>
      </x:c>
      <x:c r="K52" s="84" t="inlineStr">
        <x:is>
          <x:t xml:space="preserve">Anytime</x:t>
        </x:is>
      </x:c>
      <x:c r="L52" s="44" t="inlineStr">
        <x:is>
          <x:t xml:space="preserve">Not started</x:t>
        </x:is>
      </x:c>
      <x:c r="M52" s="18" t="inlineStr">
        <x:is>
          <x:t xml:space="preserve"/>
        </x:is>
      </x:c>
    </x:row>
    <x:row r="53">
      <x:c r="A53" s="18" t="inlineStr">
        <x:is>
          <x:t xml:space="preserve">T228</x:t>
        </x:is>
      </x:c>
      <x:c r="B53" s="18" t="inlineStr">
        <x:is>
          <x:t xml:space="preserve">AI Liability Defense</x:t>
        </x:is>
      </x:c>
      <x:c r="C53" s="18" t="inlineStr">
        <x:is>
          <x:t xml:space="preserve">Investigate dedicated AI Liability insurance (emerging product)</x:t>
        </x:is>
      </x:c>
      <x:c r="D53" s="18" t="inlineStr">
        <x:is>
          <x:t xml:space="preserve">Munich Re, Vouch, others offer AI-specific E&amp;O. Get a quote — may not buy now, but know the market for renewal/Series A.</x:t>
        </x:is>
      </x:c>
      <x:c r="E53" s="32" t="inlineStr">
        <x:is>
          <x:t xml:space="preserve">P1</x:t>
        </x:is>
      </x:c>
      <x:c r="F53" s="42" t="inlineStr">
        <x:is>
          <x:t xml:space="preserve">5. EXTERNAL</x:t>
        </x:is>
      </x:c>
      <x:c r="G53" s="18" t="inlineStr">
        <x:is>
          <x:t xml:space="preserve">Anand</x:t>
        </x:is>
      </x:c>
      <x:c r="H53" s="18" t="inlineStr">
        <x:is>
          <x:t xml:space="preserve"/>
        </x:is>
      </x:c>
      <x:c r="I53" s="48" t="inlineStr">
        <x:is>
          <x:t xml:space="preserve">3rd party: broker</x:t>
        </x:is>
      </x:c>
      <x:c r="J53" s="52" t="inlineStr">
        <x:is>
          <x:t xml:space="preserve">$0 (quote)</x:t>
        </x:is>
      </x:c>
      <x:c r="K53" s="82" t="inlineStr">
        <x:is>
          <x:t xml:space="preserve">Pre-Resign</x:t>
        </x:is>
      </x:c>
      <x:c r="L53" s="44" t="inlineStr">
        <x:is>
          <x:t xml:space="preserve">Not started</x:t>
        </x:is>
      </x:c>
      <x:c r="M53" s="18" t="inlineStr">
        <x:is>
          <x:t xml:space="preserve"/>
        </x:is>
      </x:c>
    </x:row>
    <x:row r="54">
      <x:c r="A54" s="18" t="inlineStr">
        <x:is>
          <x:t xml:space="preserve">T168</x:t>
        </x:is>
      </x:c>
      <x:c r="B54" s="18" t="inlineStr">
        <x:is>
          <x:t xml:space="preserve">Adversarial Test</x:t>
        </x:is>
      </x:c>
      <x:c r="C54" s="18" t="inlineStr">
        <x:is>
          <x:t xml:space="preserve">Build agent-driven test harness using Claude Agent SDK</x:t>
        </x:is>
      </x:c>
      <x:c r="D54" s="18" t="inlineStr">
        <x:is>
          <x:t xml:space="preserve">Persona agents (CIO/CDO/CDIO/CDAO/SME) read UI snapshots, make decisions, execute workflows. Tests INTENT and SEMANTICS, not just bytes.</x:t>
        </x:is>
      </x:c>
      <x:c r="E54" s="31" t="inlineStr">
        <x:is>
          <x:t xml:space="preserve">P0</x:t>
        </x:is>
      </x:c>
      <x:c r="F54" s="39" t="inlineStr">
        <x:is>
          <x:t xml:space="preserve">2. CLAUDE DOES IT</x:t>
        </x:is>
      </x:c>
      <x:c r="G54" s="18" t="inlineStr">
        <x:is>
          <x:t xml:space="preserve">Anand</x:t>
        </x:is>
      </x:c>
      <x:c r="H54" s="18" t="inlineStr">
        <x:is>
          <x:t xml:space="preserve"/>
        </x:is>
      </x:c>
      <x:c r="I54" s="45" t="inlineStr">
        <x:is>
          <x:t xml:space="preserve">Claude (code)</x:t>
        </x:is>
      </x:c>
      <x:c r="J54" s="52" t="inlineStr">
        <x:is>
          <x:t xml:space="preserve">$0</x:t>
        </x:is>
      </x:c>
      <x:c r="K54" s="84" t="inlineStr">
        <x:is>
          <x:t xml:space="preserve">Anytime</x:t>
        </x:is>
      </x:c>
      <x:c r="L54" s="44" t="inlineStr">
        <x:is>
          <x:t xml:space="preserve">Not started</x:t>
        </x:is>
      </x:c>
      <x:c r="M54" s="18" t="inlineStr">
        <x:is>
          <x:t xml:space="preserve"/>
        </x:is>
      </x:c>
    </x:row>
    <x:row r="55">
      <x:c r="A55" s="18" t="inlineStr">
        <x:is>
          <x:t xml:space="preserve">T169</x:t>
        </x:is>
      </x:c>
      <x:c r="B55" s="18" t="inlineStr">
        <x:is>
          <x:t xml:space="preserve">Adversarial Test</x:t>
        </x:is>
      </x:c>
      <x:c r="C55" s="18" t="inlineStr">
        <x:is>
          <x:t xml:space="preserve">10 persona-agent army hammering FakeClient tenant for 24h</x:t>
        </x:is>
      </x:c>
      <x:c r="D55" s="18" t="inlineStr">
        <x:is>
          <x:t xml:space="preserve">Realistic concurrent usage patterns vs k6 byte-pushing. Catches UX dead ends, broken workflows, semantic bugs.</x:t>
        </x:is>
      </x:c>
      <x:c r="E55" s="31" t="inlineStr">
        <x:is>
          <x:t xml:space="preserve">P0</x:t>
        </x:is>
      </x:c>
      <x:c r="F55" s="39" t="inlineStr">
        <x:is>
          <x:t xml:space="preserve">2. CLAUDE DOES IT</x:t>
        </x:is>
      </x:c>
      <x:c r="G55" s="18" t="inlineStr">
        <x:is>
          <x:t xml:space="preserve">Anand</x:t>
        </x:is>
      </x:c>
      <x:c r="H55" s="18" t="inlineStr">
        <x:is>
          <x:t xml:space="preserve">T142</x:t>
        </x:is>
      </x:c>
      <x:c r="I55" s="45" t="inlineStr">
        <x:is>
          <x:t xml:space="preserve">Claude (code)</x:t>
        </x:is>
      </x:c>
      <x:c r="J55" s="52" t="inlineStr">
        <x:is>
          <x:t xml:space="preserve">$0 (consumes credits)</x:t>
        </x:is>
      </x:c>
      <x:c r="K55" s="84" t="inlineStr">
        <x:is>
          <x:t xml:space="preserve">Anytime</x:t>
        </x:is>
      </x:c>
      <x:c r="L55" s="44" t="inlineStr">
        <x:is>
          <x:t xml:space="preserve">Not started</x:t>
        </x:is>
      </x:c>
      <x:c r="M55" s="18" t="inlineStr">
        <x:is>
          <x:t xml:space="preserve"/>
        </x:is>
      </x:c>
    </x:row>
    <x:row r="56">
      <x:c r="A56" s="18" t="inlineStr">
        <x:is>
          <x:t xml:space="preserve">T170</x:t>
        </x:is>
      </x:c>
      <x:c r="B56" s="18" t="inlineStr">
        <x:is>
          <x:t xml:space="preserve">Adversarial Test</x:t>
        </x:is>
      </x:c>
      <x:c r="C56" s="18" t="inlineStr">
        <x:is>
          <x:t xml:space="preserve">Hallucination detection: agent outputs fact-checked against ground truth corpus</x:t>
        </x:is>
      </x:c>
      <x:c r="D56" s="18" t="inlineStr">
        <x:is>
          <x:t xml:space="preserve">Each agent response auto-graded vs known-correct answers from synthetic data. Track hallucination rate as KPI.</x:t>
        </x:is>
      </x:c>
      <x:c r="E56" s="31" t="inlineStr">
        <x:is>
          <x:t xml:space="preserve">P0</x:t>
        </x:is>
      </x:c>
      <x:c r="F56" s="39" t="inlineStr">
        <x:is>
          <x:t xml:space="preserve">2. CLAUDE DOES IT</x:t>
        </x:is>
      </x:c>
      <x:c r="G56" s="18" t="inlineStr">
        <x:is>
          <x:t xml:space="preserve">Anand</x:t>
        </x:is>
      </x:c>
      <x:c r="H56" s="18" t="inlineStr">
        <x:is>
          <x:t xml:space="preserve"/>
        </x:is>
      </x:c>
      <x:c r="I56" s="45" t="inlineStr">
        <x:is>
          <x:t xml:space="preserve">Claude (code)</x:t>
        </x:is>
      </x:c>
      <x:c r="J56" s="52" t="inlineStr">
        <x:is>
          <x:t xml:space="preserve">$0</x:t>
        </x:is>
      </x:c>
      <x:c r="K56" s="84" t="inlineStr">
        <x:is>
          <x:t xml:space="preserve">Anytime</x:t>
        </x:is>
      </x:c>
      <x:c r="L56" s="44" t="inlineStr">
        <x:is>
          <x:t xml:space="preserve">Not started</x:t>
        </x:is>
      </x:c>
      <x:c r="M56" s="18" t="inlineStr">
        <x:is>
          <x:t xml:space="preserve"/>
        </x:is>
      </x:c>
    </x:row>
    <x:row r="57">
      <x:c r="A57" s="18" t="inlineStr">
        <x:is>
          <x:t xml:space="preserve">T171</x:t>
        </x:is>
      </x:c>
      <x:c r="B57" s="18" t="inlineStr">
        <x:is>
          <x:t xml:space="preserve">Adversarial Test</x:t>
        </x:is>
      </x:c>
      <x:c r="C57" s="18" t="inlineStr">
        <x:is>
          <x:t xml:space="preserve">Agent-loop detection: kill any specialist routing chain &gt;N hops</x:t>
        </x:is>
      </x:c>
      <x:c r="D57" s="18" t="inlineStr">
        <x:is>
          <x:t xml:space="preserve">Defensive guardrail. Specialist routing back to specialist forever = budget destroyer. Hard cap with alert.</x:t>
        </x:is>
      </x:c>
      <x:c r="E57" s="31" t="inlineStr">
        <x:is>
          <x:t xml:space="preserve">P0</x:t>
        </x:is>
      </x:c>
      <x:c r="F57" s="39" t="inlineStr">
        <x:is>
          <x:t xml:space="preserve">2. CLAUDE DOES IT</x:t>
        </x:is>
      </x:c>
      <x:c r="G57" s="18" t="inlineStr">
        <x:is>
          <x:t xml:space="preserve">Anand</x:t>
        </x:is>
      </x:c>
      <x:c r="H57" s="18" t="inlineStr">
        <x:is>
          <x:t xml:space="preserve"/>
        </x:is>
      </x:c>
      <x:c r="I57" s="45" t="inlineStr">
        <x:is>
          <x:t xml:space="preserve">Claude (code)</x:t>
        </x:is>
      </x:c>
      <x:c r="J57" s="52" t="inlineStr">
        <x:is>
          <x:t xml:space="preserve">$0</x:t>
        </x:is>
      </x:c>
      <x:c r="K57" s="84" t="inlineStr">
        <x:is>
          <x:t xml:space="preserve">Anytime</x:t>
        </x:is>
      </x:c>
      <x:c r="L57" s="44" t="inlineStr">
        <x:is>
          <x:t xml:space="preserve">Not started</x:t>
        </x:is>
      </x:c>
      <x:c r="M57" s="18" t="inlineStr">
        <x:is>
          <x:t xml:space="preserve"/>
        </x:is>
      </x:c>
    </x:row>
    <x:row r="58">
      <x:c r="A58" s="18" t="inlineStr">
        <x:is>
          <x:t xml:space="preserve">T172</x:t>
        </x:is>
      </x:c>
      <x:c r="B58" s="18" t="inlineStr">
        <x:is>
          <x:t xml:space="preserve">Adversarial Test</x:t>
        </x:is>
      </x:c>
      <x:c r="C58" s="18" t="inlineStr">
        <x:is>
          <x:t xml:space="preserve">Prompt injection resilience test (OWASP LLM Top 10)</x:t>
        </x:is>
      </x:c>
      <x:c r="D58" s="18" t="inlineStr">
        <x:is>
          <x:t xml:space="preserve">Adversarial inputs in user uploads + chat: jailbreak attempts, instruction override, data exfil. Document defenses.</x:t>
        </x:is>
      </x:c>
      <x:c r="E58" s="31" t="inlineStr">
        <x:is>
          <x:t xml:space="preserve">P0</x:t>
        </x:is>
      </x:c>
      <x:c r="F58" s="39" t="inlineStr">
        <x:is>
          <x:t xml:space="preserve">2. CLAUDE DOES IT</x:t>
        </x:is>
      </x:c>
      <x:c r="G58" s="18" t="inlineStr">
        <x:is>
          <x:t xml:space="preserve">Anand</x:t>
        </x:is>
      </x:c>
      <x:c r="H58" s="18" t="inlineStr">
        <x:is>
          <x:t xml:space="preserve"/>
        </x:is>
      </x:c>
      <x:c r="I58" s="45" t="inlineStr">
        <x:is>
          <x:t xml:space="preserve">Claude (test suite)</x:t>
        </x:is>
      </x:c>
      <x:c r="J58" s="52" t="inlineStr">
        <x:is>
          <x:t xml:space="preserve">$0</x:t>
        </x:is>
      </x:c>
      <x:c r="K58" s="84" t="inlineStr">
        <x:is>
          <x:t xml:space="preserve">Anytime</x:t>
        </x:is>
      </x:c>
      <x:c r="L58" s="44" t="inlineStr">
        <x:is>
          <x:t xml:space="preserve">Not started</x:t>
        </x:is>
      </x:c>
      <x:c r="M58" s="18" t="inlineStr">
        <x:is>
          <x:t xml:space="preserve"/>
        </x:is>
      </x:c>
    </x:row>
    <x:row r="59">
      <x:c r="A59" s="18" t="inlineStr">
        <x:is>
          <x:t xml:space="preserve">T173</x:t>
        </x:is>
      </x:c>
      <x:c r="B59" s="18" t="inlineStr">
        <x:is>
          <x:t xml:space="preserve">Adversarial Test</x:t>
        </x:is>
      </x:c>
      <x:c r="C59" s="18" t="inlineStr">
        <x:is>
          <x:t xml:space="preserve">Cost-attack simulation: adversarial user maximizing token spend in 1h</x:t>
        </x:is>
      </x:c>
      <x:c r="D59" s="18" t="inlineStr">
        <x:is>
          <x:t xml:space="preserve">Validates token cap + rate limiting + alert path. Critical for COGS protection.</x:t>
        </x:is>
      </x:c>
      <x:c r="E59" s="31" t="inlineStr">
        <x:is>
          <x:t xml:space="preserve">P0</x:t>
        </x:is>
      </x:c>
      <x:c r="F59" s="39" t="inlineStr">
        <x:is>
          <x:t xml:space="preserve">2. CLAUDE DOES IT</x:t>
        </x:is>
      </x:c>
      <x:c r="G59" s="18" t="inlineStr">
        <x:is>
          <x:t xml:space="preserve">Anand</x:t>
        </x:is>
      </x:c>
      <x:c r="H59" s="18" t="inlineStr">
        <x:is>
          <x:t xml:space="preserve"/>
        </x:is>
      </x:c>
      <x:c r="I59" s="45" t="inlineStr">
        <x:is>
          <x:t xml:space="preserve">Claude (code)</x:t>
        </x:is>
      </x:c>
      <x:c r="J59" s="52" t="inlineStr">
        <x:is>
          <x:t xml:space="preserve">$0 (consumes credits)</x:t>
        </x:is>
      </x:c>
      <x:c r="K59" s="84" t="inlineStr">
        <x:is>
          <x:t xml:space="preserve">Anytime</x:t>
        </x:is>
      </x:c>
      <x:c r="L59" s="44" t="inlineStr">
        <x:is>
          <x:t xml:space="preserve">Not started</x:t>
        </x:is>
      </x:c>
      <x:c r="M59" s="18" t="inlineStr">
        <x:is>
          <x:t xml:space="preserve"/>
        </x:is>
      </x:c>
    </x:row>
    <x:row r="60">
      <x:c r="A60" s="18" t="inlineStr">
        <x:is>
          <x:t xml:space="preserve">T174</x:t>
        </x:is>
      </x:c>
      <x:c r="B60" s="18" t="inlineStr">
        <x:is>
          <x:t xml:space="preserve">Adversarial Test</x:t>
        </x:is>
      </x:c>
      <x:c r="C60" s="18" t="inlineStr">
        <x:is>
          <x:t xml:space="preserve">Chaos engineering: inject failures (network drop, DB slow, LLM 429s)</x:t>
        </x:is>
      </x:c>
      <x:c r="D60" s="18" t="inlineStr">
        <x:is>
          <x:t xml:space="preserve">Use Toxiproxy or Azure Chaos Studio. Observe recovery + alerting. Document MTTR.</x:t>
        </x:is>
      </x:c>
      <x:c r="E60" s="31" t="inlineStr">
        <x:is>
          <x:t xml:space="preserve">P0</x:t>
        </x:is>
      </x:c>
      <x:c r="F60" s="39" t="inlineStr">
        <x:is>
          <x:t xml:space="preserve">2. CLAUDE DOES IT</x:t>
        </x:is>
      </x:c>
      <x:c r="G60" s="18" t="inlineStr">
        <x:is>
          <x:t xml:space="preserve">Anand</x:t>
        </x:is>
      </x:c>
      <x:c r="H60" s="18" t="inlineStr">
        <x:is>
          <x:t xml:space="preserve"/>
        </x:is>
      </x:c>
      <x:c r="I60" s="45" t="inlineStr">
        <x:is>
          <x:t xml:space="preserve">Claude (code)</x:t>
        </x:is>
      </x:c>
      <x:c r="J60" s="52" t="inlineStr">
        <x:is>
          <x:t xml:space="preserve">$0 (Toxiproxy free)</x:t>
        </x:is>
      </x:c>
      <x:c r="K60" s="84" t="inlineStr">
        <x:is>
          <x:t xml:space="preserve">Anytime</x:t>
        </x:is>
      </x:c>
      <x:c r="L60" s="44" t="inlineStr">
        <x:is>
          <x:t xml:space="preserve">Not started</x:t>
        </x:is>
      </x:c>
      <x:c r="M60" s="18" t="inlineStr">
        <x:is>
          <x:t xml:space="preserve"/>
        </x:is>
      </x:c>
    </x:row>
    <x:row r="61">
      <x:c r="A61" s="18" t="inlineStr">
        <x:is>
          <x:t xml:space="preserve">T175</x:t>
        </x:is>
      </x:c>
      <x:c r="B61" s="18" t="inlineStr">
        <x:is>
          <x:t xml:space="preserve">Adversarial Test</x:t>
        </x:is>
      </x:c>
      <x:c r="C61" s="18" t="inlineStr">
        <x:is>
          <x:t xml:space="preserve">Cross-tenant isolation stress: agent in tenant A attempts to read tenant B data</x:t>
        </x:is>
      </x:c>
      <x:c r="D61" s="18" t="inlineStr">
        <x:is>
          <x:t xml:space="preserve">Validates broker boundary + per-user RLS under load. Should always be denied; log every attempt.</x:t>
        </x:is>
      </x:c>
      <x:c r="E61" s="31" t="inlineStr">
        <x:is>
          <x:t xml:space="preserve">P0</x:t>
        </x:is>
      </x:c>
      <x:c r="F61" s="39" t="inlineStr">
        <x:is>
          <x:t xml:space="preserve">2. CLAUDE DOES IT</x:t>
        </x:is>
      </x:c>
      <x:c r="G61" s="18" t="inlineStr">
        <x:is>
          <x:t xml:space="preserve">Anand</x:t>
        </x:is>
      </x:c>
      <x:c r="H61" s="18" t="inlineStr">
        <x:is>
          <x:t xml:space="preserve"/>
        </x:is>
      </x:c>
      <x:c r="I61" s="45" t="inlineStr">
        <x:is>
          <x:t xml:space="preserve">Claude (code)</x:t>
        </x:is>
      </x:c>
      <x:c r="J61" s="52" t="inlineStr">
        <x:is>
          <x:t xml:space="preserve">$0</x:t>
        </x:is>
      </x:c>
      <x:c r="K61" s="84" t="inlineStr">
        <x:is>
          <x:t xml:space="preserve">Anytime</x:t>
        </x:is>
      </x:c>
      <x:c r="L61" s="44" t="inlineStr">
        <x:is>
          <x:t xml:space="preserve">Not started</x:t>
        </x:is>
      </x:c>
      <x:c r="M61" s="18" t="inlineStr">
        <x:is>
          <x:t xml:space="preserve"/>
        </x:is>
      </x:c>
    </x:row>
    <x:row r="62">
      <x:c r="A62" s="18" t="inlineStr">
        <x:is>
          <x:t xml:space="preserve">T177</x:t>
        </x:is>
      </x:c>
      <x:c r="B62" s="18" t="inlineStr">
        <x:is>
          <x:t xml:space="preserve">Adversarial Test</x:t>
        </x:is>
      </x:c>
      <x:c r="C62" s="18" t="inlineStr">
        <x:is>
          <x:t xml:space="preserve">Security stress: simulate attacker patterns (SQLi, IDOR, SSRF, auth bypass)</x:t>
        </x:is>
      </x:c>
      <x:c r="D62" s="18" t="inlineStr">
        <x:is>
          <x:t xml:space="preserve">Automated security regression suite. Complements pen test. Run on every release.</x:t>
        </x:is>
      </x:c>
      <x:c r="E62" s="31" t="inlineStr">
        <x:is>
          <x:t xml:space="preserve">P0</x:t>
        </x:is>
      </x:c>
      <x:c r="F62" s="39" t="inlineStr">
        <x:is>
          <x:t xml:space="preserve">2. CLAUDE DOES IT</x:t>
        </x:is>
      </x:c>
      <x:c r="G62" s="18" t="inlineStr">
        <x:is>
          <x:t xml:space="preserve">Anand</x:t>
        </x:is>
      </x:c>
      <x:c r="H62" s="18" t="inlineStr">
        <x:is>
          <x:t xml:space="preserve"/>
        </x:is>
      </x:c>
      <x:c r="I62" s="45" t="inlineStr">
        <x:is>
          <x:t xml:space="preserve">Claude (code) + 3rd party tools</x:t>
        </x:is>
      </x:c>
      <x:c r="J62" s="52" t="inlineStr">
        <x:is>
          <x:t xml:space="preserve">$0</x:t>
        </x:is>
      </x:c>
      <x:c r="K62" s="84" t="inlineStr">
        <x:is>
          <x:t xml:space="preserve">Anytime</x:t>
        </x:is>
      </x:c>
      <x:c r="L62" s="44" t="inlineStr">
        <x:is>
          <x:t xml:space="preserve">Not started</x:t>
        </x:is>
      </x:c>
      <x:c r="M62" s="18" t="inlineStr">
        <x:is>
          <x:t xml:space="preserve"/>
        </x:is>
      </x:c>
    </x:row>
    <x:row r="63">
      <x:c r="A63" s="18" t="inlineStr">
        <x:is>
          <x:t xml:space="preserve">T178</x:t>
        </x:is>
      </x:c>
      <x:c r="B63" s="18" t="inlineStr">
        <x:is>
          <x:t xml:space="preserve">Adversarial Test</x:t>
        </x:is>
      </x:c>
      <x:c r="C63" s="18" t="inlineStr">
        <x:is>
          <x:t xml:space="preserve">Document storm test: 100 large PDFs uploaded simultaneously by 10 users</x:t>
        </x:is>
      </x:c>
      <x:c r="D63" s="18" t="inlineStr">
        <x:is>
          <x:t xml:space="preserve">Ingestion back-pressure, embedding queue depth, blob storage limits, processing fairness across tenants.</x:t>
        </x:is>
      </x:c>
      <x:c r="E63" s="31" t="inlineStr">
        <x:is>
          <x:t xml:space="preserve">P0</x:t>
        </x:is>
      </x:c>
      <x:c r="F63" s="39" t="inlineStr">
        <x:is>
          <x:t xml:space="preserve">2. CLAUDE DOES IT</x:t>
        </x:is>
      </x:c>
      <x:c r="G63" s="18" t="inlineStr">
        <x:is>
          <x:t xml:space="preserve">Anand</x:t>
        </x:is>
      </x:c>
      <x:c r="H63" s="18" t="inlineStr">
        <x:is>
          <x:t xml:space="preserve"/>
        </x:is>
      </x:c>
      <x:c r="I63" s="45" t="inlineStr">
        <x:is>
          <x:t xml:space="preserve">Claude (code)</x:t>
        </x:is>
      </x:c>
      <x:c r="J63" s="52" t="inlineStr">
        <x:is>
          <x:t xml:space="preserve">$0 (credits)</x:t>
        </x:is>
      </x:c>
      <x:c r="K63" s="84" t="inlineStr">
        <x:is>
          <x:t xml:space="preserve">Anytime</x:t>
        </x:is>
      </x:c>
      <x:c r="L63" s="44" t="inlineStr">
        <x:is>
          <x:t xml:space="preserve">Not started</x:t>
        </x:is>
      </x:c>
      <x:c r="M63" s="18" t="inlineStr">
        <x:is>
          <x:t xml:space="preserve"/>
        </x:is>
      </x:c>
    </x:row>
    <x:row r="64">
      <x:c r="A64" s="18" t="inlineStr">
        <x:is>
          <x:t xml:space="preserve">T190</x:t>
        </x:is>
      </x:c>
      <x:c r="B64" s="18" t="inlineStr">
        <x:is>
          <x:t xml:space="preserve">Adversarial Test</x:t>
        </x:is>
      </x:c>
      <x:c r="C64" s="18" t="inlineStr">
        <x:is>
          <x:t xml:space="preserve">Parser robustness test: corrupted PDFs, encrypted PDFs, 1000-page docs, scanned-only PDFs, multi-language</x:t>
        </x:is>
      </x:c>
      <x:c r="D64" s="18" t="inlineStr">
        <x:is>
          <x:t xml:space="preserve">Edge cases that break parsers in production. Each failure mode has a defined behavior (skip + alert vs fallback vs reject).</x:t>
        </x:is>
      </x:c>
      <x:c r="E64" s="31" t="inlineStr">
        <x:is>
          <x:t xml:space="preserve">P0</x:t>
        </x:is>
      </x:c>
      <x:c r="F64" s="39" t="inlineStr">
        <x:is>
          <x:t xml:space="preserve">2. CLAUDE DOES IT</x:t>
        </x:is>
      </x:c>
      <x:c r="G64" s="18" t="inlineStr">
        <x:is>
          <x:t xml:space="preserve">Anand</x:t>
        </x:is>
      </x:c>
      <x:c r="H64" s="18" t="inlineStr">
        <x:is>
          <x:t xml:space="preserve"/>
        </x:is>
      </x:c>
      <x:c r="I64" s="45" t="inlineStr">
        <x:is>
          <x:t xml:space="preserve">Claude (test suite)</x:t>
        </x:is>
      </x:c>
      <x:c r="J64" s="52" t="inlineStr">
        <x:is>
          <x:t xml:space="preserve">$0</x:t>
        </x:is>
      </x:c>
      <x:c r="K64" s="84" t="inlineStr">
        <x:is>
          <x:t xml:space="preserve">Anytime</x:t>
        </x:is>
      </x:c>
      <x:c r="L64" s="44" t="inlineStr">
        <x:is>
          <x:t xml:space="preserve">Not started</x:t>
        </x:is>
      </x:c>
      <x:c r="M64" s="18" t="inlineStr">
        <x:is>
          <x:t xml:space="preserve"/>
        </x:is>
      </x:c>
    </x:row>
    <x:row r="65">
      <x:c r="A65" s="18" t="inlineStr">
        <x:is>
          <x:t xml:space="preserve">T201</x:t>
        </x:is>
      </x:c>
      <x:c r="B65" s="18" t="inlineStr">
        <x:is>
          <x:t xml:space="preserve">Adversarial Test</x:t>
        </x:is>
      </x:c>
      <x:c r="C65" s="18" t="inlineStr">
        <x:is>
          <x:t xml:space="preserve">Paperclip abuse test: rapid-fire 50 uploads in 60 seconds + 1000-page upload + .exe in PDF wrapper</x:t>
        </x:is>
      </x:c>
      <x:c r="D65" s="18" t="inlineStr">
        <x:is>
          <x:t xml:space="preserve">Validates upload limits, virus scan, cost caps, queue fairness. Should not degrade other tenants.</x:t>
        </x:is>
      </x:c>
      <x:c r="E65" s="31" t="inlineStr">
        <x:is>
          <x:t xml:space="preserve">P0</x:t>
        </x:is>
      </x:c>
      <x:c r="F65" s="39" t="inlineStr">
        <x:is>
          <x:t xml:space="preserve">2. CLAUDE DOES IT</x:t>
        </x:is>
      </x:c>
      <x:c r="G65" s="18" t="inlineStr">
        <x:is>
          <x:t xml:space="preserve">Anand</x:t>
        </x:is>
      </x:c>
      <x:c r="H65" s="18" t="inlineStr">
        <x:is>
          <x:t xml:space="preserve"/>
        </x:is>
      </x:c>
      <x:c r="I65" s="45" t="inlineStr">
        <x:is>
          <x:t xml:space="preserve">Claude (code)</x:t>
        </x:is>
      </x:c>
      <x:c r="J65" s="52" t="inlineStr">
        <x:is>
          <x:t xml:space="preserve">$0</x:t>
        </x:is>
      </x:c>
      <x:c r="K65" s="84" t="inlineStr">
        <x:is>
          <x:t xml:space="preserve">Anytime</x:t>
        </x:is>
      </x:c>
      <x:c r="L65" s="44" t="inlineStr">
        <x:is>
          <x:t xml:space="preserve">Not started</x:t>
        </x:is>
      </x:c>
      <x:c r="M65" s="18" t="inlineStr">
        <x:is>
          <x:t xml:space="preserve"/>
        </x:is>
      </x:c>
    </x:row>
    <x:row r="66">
      <x:c r="A66" s="18" t="inlineStr">
        <x:is>
          <x:t xml:space="preserve">T176</x:t>
        </x:is>
      </x:c>
      <x:c r="B66" s="18" t="inlineStr">
        <x:is>
          <x:t xml:space="preserve">Adversarial Test</x:t>
        </x:is>
      </x:c>
      <x:c r="C66" s="18" t="inlineStr">
        <x:is>
          <x:t xml:space="preserve">Long-session memory test: 24h continuous agent conversation</x:t>
        </x:is>
      </x:c>
      <x:c r="D66" s="18" t="inlineStr">
        <x:is>
          <x:t xml:space="preserve">Agent context growth, prompt cache behavior, semantic drift. Detect when agent 'loses the plot'.</x:t>
        </x:is>
      </x:c>
      <x:c r="E66" s="32" t="inlineStr">
        <x:is>
          <x:t xml:space="preserve">P1</x:t>
        </x:is>
      </x:c>
      <x:c r="F66" s="39" t="inlineStr">
        <x:is>
          <x:t xml:space="preserve">2. CLAUDE DOES IT</x:t>
        </x:is>
      </x:c>
      <x:c r="G66" s="18" t="inlineStr">
        <x:is>
          <x:t xml:space="preserve">Anand</x:t>
        </x:is>
      </x:c>
      <x:c r="H66" s="18" t="inlineStr">
        <x:is>
          <x:t xml:space="preserve"/>
        </x:is>
      </x:c>
      <x:c r="I66" s="45" t="inlineStr">
        <x:is>
          <x:t xml:space="preserve">Claude (code)</x:t>
        </x:is>
      </x:c>
      <x:c r="J66" s="52" t="inlineStr">
        <x:is>
          <x:t xml:space="preserve">$0 (credits)</x:t>
        </x:is>
      </x:c>
      <x:c r="K66" s="84" t="inlineStr">
        <x:is>
          <x:t xml:space="preserve">Anytime</x:t>
        </x:is>
      </x:c>
      <x:c r="L66" s="44" t="inlineStr">
        <x:is>
          <x:t xml:space="preserve">Not started</x:t>
        </x:is>
      </x:c>
      <x:c r="M66" s="18" t="inlineStr">
        <x:is>
          <x:t xml:space="preserve"/>
        </x:is>
      </x:c>
    </x:row>
    <x:row r="67">
      <x:c r="A67" s="18" t="inlineStr">
        <x:is>
          <x:t xml:space="preserve">T179</x:t>
        </x:is>
      </x:c>
      <x:c r="B67" s="18" t="inlineStr">
        <x:is>
          <x:t xml:space="preserve">Adversarial Test</x:t>
        </x:is>
      </x:c>
      <x:c r="C67" s="18" t="inlineStr">
        <x:is>
          <x:t xml:space="preserve">100x agent army (chaos load) — stretch test capacity ceiling</x:t>
        </x:is>
      </x:c>
      <x:c r="D67" s="18" t="inlineStr">
        <x:is>
          <x:t xml:space="preserve">Push past 50-user target until something breaks. Document the cliff. Inform capacity planning.</x:t>
        </x:is>
      </x:c>
      <x:c r="E67" s="32" t="inlineStr">
        <x:is>
          <x:t xml:space="preserve">P1</x:t>
        </x:is>
      </x:c>
      <x:c r="F67" s="39" t="inlineStr">
        <x:is>
          <x:t xml:space="preserve">2. CLAUDE DOES IT</x:t>
        </x:is>
      </x:c>
      <x:c r="G67" s="18" t="inlineStr">
        <x:is>
          <x:t xml:space="preserve">Anand</x:t>
        </x:is>
      </x:c>
      <x:c r="H67" s="18" t="inlineStr">
        <x:is>
          <x:t xml:space="preserve"/>
        </x:is>
      </x:c>
      <x:c r="I67" s="45" t="inlineStr">
        <x:is>
          <x:t xml:space="preserve">Claude (code)</x:t>
        </x:is>
      </x:c>
      <x:c r="J67" s="52" t="inlineStr">
        <x:is>
          <x:t xml:space="preserve">$0 (consumes significant credits)</x:t>
        </x:is>
      </x:c>
      <x:c r="K67" s="84" t="inlineStr">
        <x:is>
          <x:t xml:space="preserve">Anytime</x:t>
        </x:is>
      </x:c>
      <x:c r="L67" s="44" t="inlineStr">
        <x:is>
          <x:t xml:space="preserve">Not started</x:t>
        </x:is>
      </x:c>
      <x:c r="M67" s="18" t="inlineStr">
        <x:is>
          <x:t xml:space="preserve"/>
        </x:is>
      </x:c>
    </x:row>
    <x:row r="68">
      <x:c r="A68" s="18" t="inlineStr">
        <x:is>
          <x:t xml:space="preserve">T180</x:t>
        </x:is>
      </x:c>
      <x:c r="B68" s="18" t="inlineStr">
        <x:is>
          <x:t xml:space="preserve">Adversarial Test</x:t>
        </x:is>
      </x:c>
      <x:c r="C68" s="18" t="inlineStr">
        <x:is>
          <x:t xml:space="preserve">Browser matrix smoke test (Chrome/Safari/Firefox/mobile)</x:t>
        </x:is>
      </x:c>
      <x:c r="D68" s="18" t="inlineStr">
        <x:is>
          <x:t xml:space="preserve">Playwright cross-browser run on every release. Catches browser-specific regressions.</x:t>
        </x:is>
      </x:c>
      <x:c r="E68" s="32" t="inlineStr">
        <x:is>
          <x:t xml:space="preserve">P1</x:t>
        </x:is>
      </x:c>
      <x:c r="F68" s="39" t="inlineStr">
        <x:is>
          <x:t xml:space="preserve">2. CLAUDE DOES IT</x:t>
        </x:is>
      </x:c>
      <x:c r="G68" s="18" t="inlineStr">
        <x:is>
          <x:t xml:space="preserve">Anand</x:t>
        </x:is>
      </x:c>
      <x:c r="H68" s="18" t="inlineStr">
        <x:is>
          <x:t xml:space="preserve"/>
        </x:is>
      </x:c>
      <x:c r="I68" s="45" t="inlineStr">
        <x:is>
          <x:t xml:space="preserve">Claude (workflow)</x:t>
        </x:is>
      </x:c>
      <x:c r="J68" s="52" t="inlineStr">
        <x:is>
          <x:t xml:space="preserve">$0</x:t>
        </x:is>
      </x:c>
      <x:c r="K68" s="84" t="inlineStr">
        <x:is>
          <x:t xml:space="preserve">Anytime</x:t>
        </x:is>
      </x:c>
      <x:c r="L68" s="44" t="inlineStr">
        <x:is>
          <x:t xml:space="preserve">Not started</x:t>
        </x:is>
      </x:c>
      <x:c r="M68" s="18" t="inlineStr">
        <x:is>
          <x:t xml:space="preserve"/>
        </x:is>
      </x:c>
    </x:row>
    <x:row r="69">
      <x:c r="A69" s="18" t="inlineStr">
        <x:is>
          <x:t xml:space="preserve">T182</x:t>
        </x:is>
      </x:c>
      <x:c r="B69" s="18" t="inlineStr">
        <x:is>
          <x:t xml:space="preserve">Adversarial Test</x:t>
        </x:is>
      </x:c>
      <x:c r="C69" s="18" t="inlineStr">
        <x:is>
          <x:t xml:space="preserve">Capture all adversarial test results in continuous quality dashboard</x:t>
        </x:is>
      </x:c>
      <x:c r="D69" s="18" t="inlineStr">
        <x:is>
          <x:t xml:space="preserve">Hallucination rate, agent-loop count, cost-attack defense, prompt-injection block rate. Trend over releases.</x:t>
        </x:is>
      </x:c>
      <x:c r="E69" s="32" t="inlineStr">
        <x:is>
          <x:t xml:space="preserve">P1</x:t>
        </x:is>
      </x:c>
      <x:c r="F69" s="39" t="inlineStr">
        <x:is>
          <x:t xml:space="preserve">2. CLAUDE DOES IT</x:t>
        </x:is>
      </x:c>
      <x:c r="G69" s="18" t="inlineStr">
        <x:is>
          <x:t xml:space="preserve">Anand</x:t>
        </x:is>
      </x:c>
      <x:c r="H69" s="18" t="inlineStr">
        <x:is>
          <x:t xml:space="preserve"/>
        </x:is>
      </x:c>
      <x:c r="I69" s="45" t="inlineStr">
        <x:is>
          <x:t xml:space="preserve">Claude (code+docs)</x:t>
        </x:is>
      </x:c>
      <x:c r="J69" s="52" t="inlineStr">
        <x:is>
          <x:t xml:space="preserve">$0</x:t>
        </x:is>
      </x:c>
      <x:c r="K69" s="84" t="inlineStr">
        <x:is>
          <x:t xml:space="preserve">Anytime</x:t>
        </x:is>
      </x:c>
      <x:c r="L69" s="44" t="inlineStr">
        <x:is>
          <x:t xml:space="preserve">Not started</x:t>
        </x:is>
      </x:c>
      <x:c r="M69" s="18" t="inlineStr">
        <x:is>
          <x:t xml:space="preserve"/>
        </x:is>
      </x:c>
    </x:row>
    <x:row r="70">
      <x:c r="A70" s="18" t="inlineStr">
        <x:is>
          <x:t xml:space="preserve">T181</x:t>
        </x:is>
      </x:c>
      <x:c r="B70" s="18" t="inlineStr">
        <x:is>
          <x:t xml:space="preserve">Adversarial Test</x:t>
        </x:is>
      </x:c>
      <x:c r="C70" s="18" t="inlineStr">
        <x:is>
          <x:t xml:space="preserve">Accessibility stress: screen reader + keyboard-only navigation through full workflows</x:t>
        </x:is>
      </x:c>
      <x:c r="D70" s="18" t="inlineStr">
        <x:is>
          <x:t xml:space="preserve">Beyond axe-core static check — actually navigate as a screen-reader user would. WCAG 2.1 AA compliance for F500.</x:t>
        </x:is>
      </x:c>
      <x:c r="E70" s="32" t="inlineStr">
        <x:is>
          <x:t xml:space="preserve">P1</x:t>
        </x:is>
      </x:c>
      <x:c r="F70" s="40" t="inlineStr">
        <x:is>
          <x:t xml:space="preserve">3. CLAUDE + YOU</x:t>
        </x:is>
      </x:c>
      <x:c r="G70" s="18" t="inlineStr">
        <x:is>
          <x:t xml:space="preserve">Anand</x:t>
        </x:is>
      </x:c>
      <x:c r="H70" s="18" t="inlineStr">
        <x:is>
          <x:t xml:space="preserve"/>
        </x:is>
      </x:c>
      <x:c r="I70" s="47" t="inlineStr">
        <x:is>
          <x:t xml:space="preserve">Claude + you (manual+auto)</x:t>
        </x:is>
      </x:c>
      <x:c r="J70" s="52" t="inlineStr">
        <x:is>
          <x:t xml:space="preserve">$0</x:t>
        </x:is>
      </x:c>
      <x:c r="K70" s="84" t="inlineStr">
        <x:is>
          <x:t xml:space="preserve">Anytime</x:t>
        </x:is>
      </x:c>
      <x:c r="L70" s="44" t="inlineStr">
        <x:is>
          <x:t xml:space="preserve">Not started</x:t>
        </x:is>
      </x:c>
      <x:c r="M70" s="18" t="inlineStr">
        <x:is>
          <x:t xml:space="preserve"/>
        </x:is>
      </x:c>
    </x:row>
    <x:row r="71">
      <x:c r="A71" s="18" t="inlineStr">
        <x:is>
          <x:t xml:space="preserve">T034</x:t>
        </x:is>
      </x:c>
      <x:c r="B71" s="18" t="inlineStr">
        <x:is>
          <x:t xml:space="preserve">Architecture</x:t>
        </x:is>
      </x:c>
      <x:c r="C71" s="18" t="inlineStr">
        <x:is>
          <x:t xml:space="preserve">Configure Clerk Organizations + SAML/OIDC SSO</x:t>
        </x:is>
      </x:c>
      <x:c r="D71" s="18" t="inlineStr">
        <x:is>
          <x:t xml:space="preserve">Pro/Enterprise plan. Map Entra/Okta groups → Clerk roles → RBAC.</x:t>
        </x:is>
      </x:c>
      <x:c r="E71" s="31" t="inlineStr">
        <x:is>
          <x:t xml:space="preserve">P0</x:t>
        </x:is>
      </x:c>
      <x:c r="F71" s="38" t="inlineStr">
        <x:is>
          <x:t xml:space="preserve">1. QUICK WIN</x:t>
        </x:is>
      </x:c>
      <x:c r="G71" s="18" t="inlineStr">
        <x:is>
          <x:t xml:space="preserve">Anand</x:t>
        </x:is>
      </x:c>
      <x:c r="H71" s="18" t="inlineStr">
        <x:is>
          <x:t xml:space="preserve">T128</x:t>
        </x:is>
      </x:c>
      <x:c r="I71" s="43" t="inlineStr">
        <x:is>
          <x:t xml:space="preserve">Self-serve + Claude (config)</x:t>
        </x:is>
      </x:c>
      <x:c r="J71" s="51" t="inlineStr">
        <x:is>
          <x:t xml:space="preserve">Part of Clerk subscription</x:t>
        </x:is>
      </x:c>
      <x:c r="K71" s="84" t="inlineStr">
        <x:is>
          <x:t xml:space="preserve">Anytime</x:t>
        </x:is>
      </x:c>
      <x:c r="L71" s="44" t="inlineStr">
        <x:is>
          <x:t xml:space="preserve">Not started</x:t>
        </x:is>
      </x:c>
      <x:c r="M71" s="18" t="inlineStr">
        <x:is>
          <x:t xml:space="preserve">Insist on SCIM for deprovisioning</x:t>
        </x:is>
      </x:c>
    </x:row>
    <x:row r="72">
      <x:c r="A72" s="18" t="inlineStr">
        <x:is>
          <x:t xml:space="preserve">T194</x:t>
        </x:is>
      </x:c>
      <x:c r="B72" s="18" t="inlineStr">
        <x:is>
          <x:t xml:space="preserve">Architecture</x:t>
        </x:is>
      </x:c>
      <x:c r="C72" s="18" t="inlineStr">
        <x:is>
          <x:t xml:space="preserve">Defender for Storage virus scan on every upload before parsing</x:t>
        </x:is>
      </x:c>
      <x:c r="D72" s="18" t="inlineStr">
        <x:is>
          <x:t xml:space="preserve">Azure-native, integrates with blob events. Prevents malware ingestion into customer tenant.</x:t>
        </x:is>
      </x:c>
      <x:c r="E72" s="31" t="inlineStr">
        <x:is>
          <x:t xml:space="preserve">P0</x:t>
        </x:is>
      </x:c>
      <x:c r="F72" s="38" t="inlineStr">
        <x:is>
          <x:t xml:space="preserve">1. QUICK WIN</x:t>
        </x:is>
      </x:c>
      <x:c r="G72" s="18" t="inlineStr">
        <x:is>
          <x:t xml:space="preserve">Anand</x:t>
        </x:is>
      </x:c>
      <x:c r="H72" s="18" t="inlineStr">
        <x:is>
          <x:t xml:space="preserve">T036</x:t>
        </x:is>
      </x:c>
      <x:c r="I72" s="43" t="inlineStr">
        <x:is>
          <x:t xml:space="preserve">Self-serve (Azure portal)</x:t>
        </x:is>
      </x:c>
      <x:c r="J72" s="51" t="inlineStr">
        <x:is>
          <x:t xml:space="preserve">~$10/mo per tenant (covered)</x:t>
        </x:is>
      </x:c>
      <x:c r="K72" s="84" t="inlineStr">
        <x:is>
          <x:t xml:space="preserve">Anytime</x:t>
        </x:is>
      </x:c>
      <x:c r="L72" s="44" t="inlineStr">
        <x:is>
          <x:t xml:space="preserve">Not started</x:t>
        </x:is>
      </x:c>
      <x:c r="M72" s="18" t="inlineStr">
        <x:is>
          <x:t xml:space="preserve"/>
        </x:is>
      </x:c>
    </x:row>
    <x:row r="73">
      <x:c r="A73" s="18" t="inlineStr">
        <x:is>
          <x:t xml:space="preserve">T043</x:t>
        </x:is>
      </x:c>
      <x:c r="B73" s="18" t="inlineStr">
        <x:is>
          <x:t xml:space="preserve">Architecture</x:t>
        </x:is>
      </x:c>
      <x:c r="C73" s="18" t="inlineStr">
        <x:is>
          <x:t xml:space="preserve">Set up status page (statuspage.io or instatus, ~$30/mo)</x:t>
        </x:is>
      </x:c>
      <x:c r="D73" s="18" t="inlineStr">
        <x:is>
          <x:t xml:space="preserve">F500 procurement will look for one.</x:t>
        </x:is>
      </x:c>
      <x:c r="E73" s="32" t="inlineStr">
        <x:is>
          <x:t xml:space="preserve">P1</x:t>
        </x:is>
      </x:c>
      <x:c r="F73" s="38" t="inlineStr">
        <x:is>
          <x:t xml:space="preserve">1. QUICK WIN</x:t>
        </x:is>
      </x:c>
      <x:c r="G73" s="18" t="inlineStr">
        <x:is>
          <x:t xml:space="preserve">Anand</x:t>
        </x:is>
      </x:c>
      <x:c r="H73" s="18" t="inlineStr">
        <x:is>
          <x:t xml:space="preserve"/>
        </x:is>
      </x:c>
      <x:c r="I73" s="43" t="inlineStr">
        <x:is>
          <x:t xml:space="preserve">Self-serve (instatus)</x:t>
        </x:is>
      </x:c>
      <x:c r="J73" s="51" t="inlineStr">
        <x:is>
          <x:t xml:space="preserve">$30-50/mo (instatus)</x:t>
        </x:is>
      </x:c>
      <x:c r="K73" s="84" t="inlineStr">
        <x:is>
          <x:t xml:space="preserve">Anytime</x:t>
        </x:is>
      </x:c>
      <x:c r="L73" s="44" t="inlineStr">
        <x:is>
          <x:t xml:space="preserve">Not started</x:t>
        </x:is>
      </x:c>
      <x:c r="M73" s="18" t="inlineStr">
        <x:is>
          <x:t xml:space="preserve"/>
        </x:is>
      </x:c>
    </x:row>
    <x:row r="74">
      <x:c r="A74" s="18" t="inlineStr">
        <x:is>
          <x:t xml:space="preserve">T027</x:t>
        </x:is>
      </x:c>
      <x:c r="B74" s="18" t="inlineStr">
        <x:is>
          <x:t xml:space="preserve">Architecture</x:t>
        </x:is>
      </x:c>
      <x:c r="C74" s="18" t="inlineStr">
        <x:is>
          <x:t xml:space="preserve">Write ADR: control plane vs private data plane separation</x:t>
        </x:is>
      </x:c>
      <x:c r="D74" s="18" t="inlineStr">
        <x:is>
          <x:t xml:space="preserve">App=multi-tenant Vercel. Data=per-client Azure. No cross-tenant reads ever.</x:t>
        </x:is>
      </x:c>
      <x:c r="E74" s="31" t="inlineStr">
        <x:is>
          <x:t xml:space="preserve">P0</x:t>
        </x:is>
      </x:c>
      <x:c r="F74" s="39" t="inlineStr">
        <x:is>
          <x:t xml:space="preserve">2. CLAUDE DOES IT</x:t>
        </x:is>
      </x:c>
      <x:c r="G74" s="18" t="inlineStr">
        <x:is>
          <x:t xml:space="preserve">Anand</x:t>
        </x:is>
      </x:c>
      <x:c r="H74" s="18" t="inlineStr">
        <x:is>
          <x:t xml:space="preserve"/>
        </x:is>
      </x:c>
      <x:c r="I74" s="45" t="inlineStr">
        <x:is>
          <x:t xml:space="preserve">Claude (draft)</x:t>
        </x:is>
      </x:c>
      <x:c r="J74" s="52" t="inlineStr">
        <x:is>
          <x:t xml:space="preserve">$0</x:t>
        </x:is>
      </x:c>
      <x:c r="K74" s="82" t="inlineStr">
        <x:is>
          <x:t xml:space="preserve">Pre-Resign</x:t>
        </x:is>
      </x:c>
      <x:c r="L74" s="44" t="inlineStr">
        <x:is>
          <x:t xml:space="preserve">Not started</x:t>
        </x:is>
      </x:c>
      <x:c r="M74" s="18" t="inlineStr">
        <x:is>
          <x:t xml:space="preserve">Foundation for every security conversation</x:t>
        </x:is>
      </x:c>
    </x:row>
    <x:row r="75">
      <x:c r="A75" s="18" t="inlineStr">
        <x:is>
          <x:t xml:space="preserve">T029</x:t>
        </x:is>
      </x:c>
      <x:c r="B75" s="18" t="inlineStr">
        <x:is>
          <x:t xml:space="preserve">Architecture</x:t>
        </x:is>
      </x:c>
      <x:c r="C75" s="18" t="inlineStr">
        <x:is>
          <x:t xml:space="preserve">Build IaC (Bicep/Terraform) for reproducible client tenant</x:t>
        </x:is>
      </x:c>
      <x:c r="D75" s="18" t="inlineStr">
        <x:is>
          <x:t xml:space="preserve">Every pilot deploys from same templates. Extend reports/2026-05-30-atlas-iac-e2e-live-prod/.</x:t>
        </x:is>
      </x:c>
      <x:c r="E75" s="31" t="inlineStr">
        <x:is>
          <x:t xml:space="preserve">P0</x:t>
        </x:is>
      </x:c>
      <x:c r="F75" s="39" t="inlineStr">
        <x:is>
          <x:t xml:space="preserve">2. CLAUDE DOES IT</x:t>
        </x:is>
      </x:c>
      <x:c r="G75" s="18" t="inlineStr">
        <x:is>
          <x:t xml:space="preserve">Anand</x:t>
        </x:is>
      </x:c>
      <x:c r="H75" s="18" t="inlineStr">
        <x:is>
          <x:t xml:space="preserve">T028</x:t>
        </x:is>
      </x:c>
      <x:c r="I75" s="45" t="inlineStr">
        <x:is>
          <x:t xml:space="preserve">Claude (code)</x:t>
        </x:is>
      </x:c>
      <x:c r="J75" s="52" t="inlineStr">
        <x:is>
          <x:t xml:space="preserve">$0 (founder time)</x:t>
        </x:is>
      </x:c>
      <x:c r="K75" s="84" t="inlineStr">
        <x:is>
          <x:t xml:space="preserve">Anytime</x:t>
        </x:is>
      </x:c>
      <x:c r="L75" s="44" t="inlineStr">
        <x:is>
          <x:t xml:space="preserve">Not started</x:t>
        </x:is>
      </x:c>
      <x:c r="M75" s="18" t="inlineStr">
        <x:is>
          <x:t xml:space="preserve"/>
        </x:is>
      </x:c>
    </x:row>
    <x:row r="76">
      <x:c r="A76" s="18" t="inlineStr">
        <x:is>
          <x:t xml:space="preserve">T030</x:t>
        </x:is>
      </x:c>
      <x:c r="B76" s="18" t="inlineStr">
        <x:is>
          <x:t xml:space="preserve">Architecture</x:t>
        </x:is>
      </x:c>
      <x:c r="C76" s="18" t="inlineStr">
        <x:is>
          <x:t xml:space="preserve">Implement tenant-scoped connection string resolution</x:t>
        </x:is>
      </x:c>
      <x:c r="D76" s="18" t="inlineStr">
        <x:is>
          <x:t xml:space="preserve">Clerk session → tenant ID → secrets vault → DB connection. First line of isolation.</x:t>
        </x:is>
      </x:c>
      <x:c r="E76" s="31" t="inlineStr">
        <x:is>
          <x:t xml:space="preserve">P0</x:t>
        </x:is>
      </x:c>
      <x:c r="F76" s="39" t="inlineStr">
        <x:is>
          <x:t xml:space="preserve">2. CLAUDE DOES IT</x:t>
        </x:is>
      </x:c>
      <x:c r="G76" s="18" t="inlineStr">
        <x:is>
          <x:t xml:space="preserve">Anand</x:t>
        </x:is>
      </x:c>
      <x:c r="H76" s="18" t="inlineStr">
        <x:is>
          <x:t xml:space="preserve">T027</x:t>
        </x:is>
      </x:c>
      <x:c r="I76" s="45" t="inlineStr">
        <x:is>
          <x:t xml:space="preserve">Claude (code)</x:t>
        </x:is>
      </x:c>
      <x:c r="J76" s="52" t="inlineStr">
        <x:is>
          <x:t xml:space="preserve">$0 (founder time)</x:t>
        </x:is>
      </x:c>
      <x:c r="K76" s="84" t="inlineStr">
        <x:is>
          <x:t xml:space="preserve">Anytime</x:t>
        </x:is>
      </x:c>
      <x:c r="L76" s="44" t="inlineStr">
        <x:is>
          <x:t xml:space="preserve">Not started</x:t>
        </x:is>
      </x:c>
      <x:c r="M76" s="18" t="inlineStr">
        <x:is>
          <x:t xml:space="preserve">Per-user RLS is second line</x:t>
        </x:is>
      </x:c>
    </x:row>
    <x:row r="77">
      <x:c r="A77" s="18" t="inlineStr">
        <x:is>
          <x:t xml:space="preserve">T032</x:t>
        </x:is>
      </x:c>
      <x:c r="B77" s="18" t="inlineStr">
        <x:is>
          <x:t xml:space="preserve">Architecture</x:t>
        </x:is>
      </x:c>
      <x:c r="C77" s="18" t="inlineStr">
        <x:is>
          <x:t xml:space="preserve">Build pre-ingest PHI/PII scanner (Microsoft Presidio)</x:t>
        </x:is>
      </x:c>
      <x:c r="D77" s="18" t="inlineStr">
        <x:is>
          <x:t xml:space="preserve">Quarantine + alert on detection. Protects you legally even with no PHI scope.</x:t>
        </x:is>
      </x:c>
      <x:c r="E77" s="31" t="inlineStr">
        <x:is>
          <x:t xml:space="preserve">P0</x:t>
        </x:is>
      </x:c>
      <x:c r="F77" s="39" t="inlineStr">
        <x:is>
          <x:t xml:space="preserve">2. CLAUDE DOES IT</x:t>
        </x:is>
      </x:c>
      <x:c r="G77" s="18" t="inlineStr">
        <x:is>
          <x:t xml:space="preserve">Anand</x:t>
        </x:is>
      </x:c>
      <x:c r="H77" s="18" t="inlineStr">
        <x:is>
          <x:t xml:space="preserve"/>
        </x:is>
      </x:c>
      <x:c r="I77" s="45" t="inlineStr">
        <x:is>
          <x:t xml:space="preserve">Claude (code)</x:t>
        </x:is>
      </x:c>
      <x:c r="J77" s="52" t="inlineStr">
        <x:is>
          <x:t xml:space="preserve">$0 (Presidio open-source)</x:t>
        </x:is>
      </x:c>
      <x:c r="K77" s="84" t="inlineStr">
        <x:is>
          <x:t xml:space="preserve">Anytime</x:t>
        </x:is>
      </x:c>
      <x:c r="L77" s="44" t="inlineStr">
        <x:is>
          <x:t xml:space="preserve">Not started</x:t>
        </x:is>
      </x:c>
      <x:c r="M77" s="18" t="inlineStr">
        <x:is>
          <x:t xml:space="preserve"/>
        </x:is>
      </x:c>
    </x:row>
    <x:row r="78">
      <x:c r="A78" s="18" t="inlineStr">
        <x:is>
          <x:t xml:space="preserve">T033</x:t>
        </x:is>
      </x:c>
      <x:c r="B78" s="18" t="inlineStr">
        <x:is>
          <x:t xml:space="preserve">Architecture</x:t>
        </x:is>
      </x:c>
      <x:c r="C78" s="18" t="inlineStr">
        <x:is>
          <x:t xml:space="preserve">Build token/consumption meter into the app</x:t>
        </x:is>
      </x:c>
      <x:c r="D78" s="18" t="inlineStr">
        <x:is>
          <x:t xml:space="preserve">Per-tenant LLM token usage. Show to client weekly. Cap enforcement.</x:t>
        </x:is>
      </x:c>
      <x:c r="E78" s="31" t="inlineStr">
        <x:is>
          <x:t xml:space="preserve">P0</x:t>
        </x:is>
      </x:c>
      <x:c r="F78" s="39" t="inlineStr">
        <x:is>
          <x:t xml:space="preserve">2. CLAUDE DOES IT</x:t>
        </x:is>
      </x:c>
      <x:c r="G78" s="18" t="inlineStr">
        <x:is>
          <x:t xml:space="preserve">Anand</x:t>
        </x:is>
      </x:c>
      <x:c r="H78" s="18" t="inlineStr">
        <x:is>
          <x:t xml:space="preserve"/>
        </x:is>
      </x:c>
      <x:c r="I78" s="45" t="inlineStr">
        <x:is>
          <x:t xml:space="preserve">Claude (code)</x:t>
        </x:is>
      </x:c>
      <x:c r="J78" s="52" t="inlineStr">
        <x:is>
          <x:t xml:space="preserve">$0 (founder time)</x:t>
        </x:is>
      </x:c>
      <x:c r="K78" s="84" t="inlineStr">
        <x:is>
          <x:t xml:space="preserve">Anytime</x:t>
        </x:is>
      </x:c>
      <x:c r="L78" s="44" t="inlineStr">
        <x:is>
          <x:t xml:space="preserve">Not started</x:t>
        </x:is>
      </x:c>
      <x:c r="M78" s="18" t="inlineStr">
        <x:is>
          <x:t xml:space="preserve">Without this you'll lose your shirt</x:t>
        </x:is>
      </x:c>
    </x:row>
    <x:row r="79">
      <x:c r="A79" s="18" t="inlineStr">
        <x:is>
          <x:t xml:space="preserve">T036</x:t>
        </x:is>
      </x:c>
      <x:c r="B79" s="18" t="inlineStr">
        <x:is>
          <x:t xml:space="preserve">Architecture</x:t>
        </x:is>
      </x:c>
      <x:c r="C79" s="18" t="inlineStr">
        <x:is>
          <x:t xml:space="preserve">Define Azure Blob upload pattern (SAS tokens, direct upload)</x:t>
        </x:is>
      </x:c>
      <x:c r="D79" s="18" t="inlineStr">
        <x:is>
          <x:t xml:space="preserve">Browser → blob, no data through control plane. Event Grid → processing.</x:t>
        </x:is>
      </x:c>
      <x:c r="E79" s="31" t="inlineStr">
        <x:is>
          <x:t xml:space="preserve">P0</x:t>
        </x:is>
      </x:c>
      <x:c r="F79" s="39" t="inlineStr">
        <x:is>
          <x:t xml:space="preserve">2. CLAUDE DOES IT</x:t>
        </x:is>
      </x:c>
      <x:c r="G79" s="18" t="inlineStr">
        <x:is>
          <x:t xml:space="preserve">Anand</x:t>
        </x:is>
      </x:c>
      <x:c r="H79" s="18" t="inlineStr">
        <x:is>
          <x:t xml:space="preserve"/>
        </x:is>
      </x:c>
      <x:c r="I79" s="45" t="inlineStr">
        <x:is>
          <x:t xml:space="preserve">Claude (code+docs)</x:t>
        </x:is>
      </x:c>
      <x:c r="J79" s="52" t="inlineStr">
        <x:is>
          <x:t xml:space="preserve">$0 (Azure native; covered by credits)</x:t>
        </x:is>
      </x:c>
      <x:c r="K79" s="84" t="inlineStr">
        <x:is>
          <x:t xml:space="preserve">Anytime</x:t>
        </x:is>
      </x:c>
      <x:c r="L79" s="44" t="inlineStr">
        <x:is>
          <x:t xml:space="preserve">Not started</x:t>
        </x:is>
      </x:c>
      <x:c r="M79" s="18" t="inlineStr">
        <x:is>
          <x:t xml:space="preserve">Standard Azure pattern, F500 IT knows it</x:t>
        </x:is>
      </x:c>
    </x:row>
    <x:row r="80">
      <x:c r="A80" s="18" t="inlineStr">
        <x:is>
          <x:t xml:space="preserve">T047</x:t>
        </x:is>
      </x:c>
      <x:c r="B80" s="18" t="inlineStr">
        <x:is>
          <x:t xml:space="preserve">Architecture</x:t>
        </x:is>
      </x:c>
      <x:c r="C80" s="18" t="inlineStr">
        <x:is>
          <x:t xml:space="preserve">Write incident response plan + 72h breach notification SLA</x:t>
        </x:is>
      </x:c>
      <x:c r="D80" s="18" t="inlineStr">
        <x:is>
          <x:t xml:space="preserve">Required for SOC 2 and most security questionnaires.</x:t>
        </x:is>
      </x:c>
      <x:c r="E80" s="31" t="inlineStr">
        <x:is>
          <x:t xml:space="preserve">P0</x:t>
        </x:is>
      </x:c>
      <x:c r="F80" s="39" t="inlineStr">
        <x:is>
          <x:t xml:space="preserve">2. CLAUDE DOES IT</x:t>
        </x:is>
      </x:c>
      <x:c r="G80" s="18" t="inlineStr">
        <x:is>
          <x:t xml:space="preserve">Anand</x:t>
        </x:is>
      </x:c>
      <x:c r="H80" s="18" t="inlineStr">
        <x:is>
          <x:t xml:space="preserve"/>
        </x:is>
      </x:c>
      <x:c r="I80" s="45" t="inlineStr">
        <x:is>
          <x:t xml:space="preserve">Claude (template)</x:t>
        </x:is>
      </x:c>
      <x:c r="J80" s="52" t="inlineStr">
        <x:is>
          <x:t xml:space="preserve">$0</x:t>
        </x:is>
      </x:c>
      <x:c r="K80" s="82" t="inlineStr">
        <x:is>
          <x:t xml:space="preserve">Pre-Resign</x:t>
        </x:is>
      </x:c>
      <x:c r="L80" s="44" t="inlineStr">
        <x:is>
          <x:t xml:space="preserve">Not started</x:t>
        </x:is>
      </x:c>
      <x:c r="M80" s="18" t="inlineStr">
        <x:is>
          <x:t xml:space="preserve"/>
        </x:is>
      </x:c>
    </x:row>
    <x:row r="81">
      <x:c r="A81" s="18" t="inlineStr">
        <x:is>
          <x:t xml:space="preserve">T161</x:t>
        </x:is>
      </x:c>
      <x:c r="B81" s="18" t="inlineStr">
        <x:is>
          <x:t xml:space="preserve">Architecture</x:t>
        </x:is>
      </x:c>
      <x:c r="C81" s="18" t="inlineStr">
        <x:is>
          <x:t xml:space="preserve">ADR: Why we stay on Vercel (not Azure-native control plane)</x:t>
        </x:is>
      </x:c>
      <x:c r="D81" s="18" t="inlineStr">
        <x:is>
          <x:t xml:space="preserve">Documents decision + criteria for revisiting. Reusable answer for every F500 security review. References: data plane IS in customer Azure; Marketplace listing gives MACC; co-sell still works.</x:t>
        </x:is>
      </x:c>
      <x:c r="E81" s="31" t="inlineStr">
        <x:is>
          <x:t xml:space="preserve">P0</x:t>
        </x:is>
      </x:c>
      <x:c r="F81" s="39" t="inlineStr">
        <x:is>
          <x:t xml:space="preserve">2. CLAUDE DOES IT</x:t>
        </x:is>
      </x:c>
      <x:c r="G81" s="18" t="inlineStr">
        <x:is>
          <x:t xml:space="preserve">Anand</x:t>
        </x:is>
      </x:c>
      <x:c r="H81" s="18" t="inlineStr">
        <x:is>
          <x:t xml:space="preserve">T078</x:t>
        </x:is>
      </x:c>
      <x:c r="I81" s="45" t="inlineStr">
        <x:is>
          <x:t xml:space="preserve">Claude (draft)</x:t>
        </x:is>
      </x:c>
      <x:c r="J81" s="52" t="inlineStr">
        <x:is>
          <x:t xml:space="preserve">$0</x:t>
        </x:is>
      </x:c>
      <x:c r="K81" s="84" t="inlineStr">
        <x:is>
          <x:t xml:space="preserve">Anytime</x:t>
        </x:is>
      </x:c>
      <x:c r="L81" s="44" t="inlineStr">
        <x:is>
          <x:t xml:space="preserve">Not started</x:t>
        </x:is>
      </x:c>
      <x:c r="M81" s="18" t="inlineStr">
        <x:is>
          <x:t xml:space="preserve"/>
        </x:is>
      </x:c>
    </x:row>
    <x:row r="82">
      <x:c r="A82" s="18" t="inlineStr">
        <x:is>
          <x:t xml:space="preserve">T183</x:t>
        </x:is>
      </x:c>
      <x:c r="B82" s="18" t="inlineStr">
        <x:is>
          <x:t xml:space="preserve">Architecture</x:t>
        </x:is>
      </x:c>
      <x:c r="C82" s="18" t="inlineStr">
        <x:is>
          <x:t xml:space="preserve">ADR: Document ingestion pipeline (parse-once → cache → reuse)</x:t>
        </x:is>
      </x:c>
      <x:c r="D82" s="18" t="inlineStr">
        <x:is>
          <x:t xml:space="preserve">Pre-parse PDFs/docx/xlsx via Azure AI Document Intelligence; cache markdown in customer blob (keyed by content hash); never send raw PDF to Claude. Stacks parse-once + RAG + Anthropic prompt caching = ~50-100x cheaper than naive 'PDF every turn'.</x:t>
        </x:is>
      </x:c>
      <x:c r="E82" s="31" t="inlineStr">
        <x:is>
          <x:t xml:space="preserve">P0</x:t>
        </x:is>
      </x:c>
      <x:c r="F82" s="39" t="inlineStr">
        <x:is>
          <x:t xml:space="preserve">2. CLAUDE DOES IT</x:t>
        </x:is>
      </x:c>
      <x:c r="G82" s="18" t="inlineStr">
        <x:is>
          <x:t xml:space="preserve">Anand</x:t>
        </x:is>
      </x:c>
      <x:c r="H82" s="18" t="inlineStr">
        <x:is>
          <x:t xml:space="preserve"/>
        </x:is>
      </x:c>
      <x:c r="I82" s="45" t="inlineStr">
        <x:is>
          <x:t xml:space="preserve">Claude (draft)</x:t>
        </x:is>
      </x:c>
      <x:c r="J82" s="52" t="inlineStr">
        <x:is>
          <x:t xml:space="preserve">$0</x:t>
        </x:is>
      </x:c>
      <x:c r="K82" s="84" t="inlineStr">
        <x:is>
          <x:t xml:space="preserve">Anytime</x:t>
        </x:is>
      </x:c>
      <x:c r="L82" s="44" t="inlineStr">
        <x:is>
          <x:t xml:space="preserve">Not started</x:t>
        </x:is>
      </x:c>
      <x:c r="M82" s="18" t="inlineStr">
        <x:is>
          <x:t xml:space="preserve"/>
        </x:is>
      </x:c>
    </x:row>
    <x:row r="83">
      <x:c r="A83" s="18" t="inlineStr">
        <x:is>
          <x:t xml:space="preserve">T184</x:t>
        </x:is>
      </x:c>
      <x:c r="B83" s="18" t="inlineStr">
        <x:is>
          <x:t xml:space="preserve">Architecture</x:t>
        </x:is>
      </x:c>
      <x:c r="C83" s="18" t="inlineStr">
        <x:is>
          <x:t xml:space="preserve">Integrate Azure AI Document Intelligence (Layout model) as primary PDF parser</x:t>
        </x:is>
      </x:c>
      <x:c r="D83" s="18" t="inlineStr">
        <x:is>
          <x:t xml:space="preserve">Runs in customer tenant → data residency preserved. Cost $0.10-1.50 per 20-page doc, covered by Founders Hub credits. Tables/forms/layout supported.</x:t>
        </x:is>
      </x:c>
      <x:c r="E83" s="31" t="inlineStr">
        <x:is>
          <x:t xml:space="preserve">P0</x:t>
        </x:is>
      </x:c>
      <x:c r="F83" s="39" t="inlineStr">
        <x:is>
          <x:t xml:space="preserve">2. CLAUDE DOES IT</x:t>
        </x:is>
      </x:c>
      <x:c r="G83" s="18" t="inlineStr">
        <x:is>
          <x:t xml:space="preserve">Anand</x:t>
        </x:is>
      </x:c>
      <x:c r="H83" s="18" t="inlineStr">
        <x:is>
          <x:t xml:space="preserve">T036</x:t>
        </x:is>
      </x:c>
      <x:c r="I83" s="45" t="inlineStr">
        <x:is>
          <x:t xml:space="preserve">Claude (code)</x:t>
        </x:is>
      </x:c>
      <x:c r="J83" s="52" t="inlineStr">
        <x:is>
          <x:t xml:space="preserve">$0 (covered by Azure credits)</x:t>
        </x:is>
      </x:c>
      <x:c r="K83" s="84" t="inlineStr">
        <x:is>
          <x:t xml:space="preserve">Anytime</x:t>
        </x:is>
      </x:c>
      <x:c r="L83" s="44" t="inlineStr">
        <x:is>
          <x:t xml:space="preserve">Not started</x:t>
        </x:is>
      </x:c>
      <x:c r="M83" s="18" t="inlineStr">
        <x:is>
          <x:t xml:space="preserve"/>
        </x:is>
      </x:c>
    </x:row>
    <x:row r="84">
      <x:c r="A84" s="18" t="inlineStr">
        <x:is>
          <x:t xml:space="preserve">T185</x:t>
        </x:is>
      </x:c>
      <x:c r="B84" s="18" t="inlineStr">
        <x:is>
          <x:t xml:space="preserve">Architecture</x:t>
        </x:is>
      </x:c>
      <x:c r="C84" s="18" t="inlineStr">
        <x:is>
          <x:t xml:space="preserve">Implement content-hash-keyed parse cache (idempotent re-uploads cost $0)</x:t>
        </x:is>
      </x:c>
      <x:c r="D84" s="18" t="inlineStr">
        <x:is>
          <x:t xml:space="preserve">Same file uploaded twice = one parse. Stored in customer blob as markdown + structure JSON. Invalidated only on content change.</x:t>
        </x:is>
      </x:c>
      <x:c r="E84" s="31" t="inlineStr">
        <x:is>
          <x:t xml:space="preserve">P0</x:t>
        </x:is>
      </x:c>
      <x:c r="F84" s="39" t="inlineStr">
        <x:is>
          <x:t xml:space="preserve">2. CLAUDE DOES IT</x:t>
        </x:is>
      </x:c>
      <x:c r="G84" s="18" t="inlineStr">
        <x:is>
          <x:t xml:space="preserve">Anand</x:t>
        </x:is>
      </x:c>
      <x:c r="H84" s="18" t="inlineStr">
        <x:is>
          <x:t xml:space="preserve"/>
        </x:is>
      </x:c>
      <x:c r="I84" s="45" t="inlineStr">
        <x:is>
          <x:t xml:space="preserve">Claude (code)</x:t>
        </x:is>
      </x:c>
      <x:c r="J84" s="52" t="inlineStr">
        <x:is>
          <x:t xml:space="preserve">$0 (Azure blob, credits)</x:t>
        </x:is>
      </x:c>
      <x:c r="K84" s="84" t="inlineStr">
        <x:is>
          <x:t xml:space="preserve">Anytime</x:t>
        </x:is>
      </x:c>
      <x:c r="L84" s="44" t="inlineStr">
        <x:is>
          <x:t xml:space="preserve">Not started</x:t>
        </x:is>
      </x:c>
      <x:c r="M84" s="18" t="inlineStr">
        <x:is>
          <x:t xml:space="preserve"/>
        </x:is>
      </x:c>
    </x:row>
    <x:row r="85">
      <x:c r="A85" s="18" t="inlineStr">
        <x:is>
          <x:t xml:space="preserve">T187</x:t>
        </x:is>
      </x:c>
      <x:c r="B85" s="18" t="inlineStr">
        <x:is>
          <x:t xml:space="preserve">Architecture</x:t>
        </x:is>
      </x:c>
      <x:c r="C85" s="18" t="inlineStr">
        <x:is>
          <x:t xml:space="preserve">Wire Anthropic prompt caching for parsed-doc + agent system prompts</x:t>
        </x:is>
      </x:c>
      <x:c r="D85" s="18" t="inlineStr">
        <x:is>
          <x:t xml:space="preserve">5-10x additional cost reduction on repeat chat sessions about the same doc. ephemeral cache lasts 5min, write cost = 25% premium, read cost = 90% discount.</x:t>
        </x:is>
      </x:c>
      <x:c r="E85" s="31" t="inlineStr">
        <x:is>
          <x:t xml:space="preserve">P0</x:t>
        </x:is>
      </x:c>
      <x:c r="F85" s="39" t="inlineStr">
        <x:is>
          <x:t xml:space="preserve">2. CLAUDE DOES IT</x:t>
        </x:is>
      </x:c>
      <x:c r="G85" s="18" t="inlineStr">
        <x:is>
          <x:t xml:space="preserve">Anand</x:t>
        </x:is>
      </x:c>
      <x:c r="H85" s="18" t="inlineStr">
        <x:is>
          <x:t xml:space="preserve"/>
        </x:is>
      </x:c>
      <x:c r="I85" s="45" t="inlineStr">
        <x:is>
          <x:t xml:space="preserve">Claude (code)</x:t>
        </x:is>
      </x:c>
      <x:c r="J85" s="52" t="inlineStr">
        <x:is>
          <x:t xml:space="preserve">$0 (config)</x:t>
        </x:is>
      </x:c>
      <x:c r="K85" s="84" t="inlineStr">
        <x:is>
          <x:t xml:space="preserve">Anytime</x:t>
        </x:is>
      </x:c>
      <x:c r="L85" s="44" t="inlineStr">
        <x:is>
          <x:t xml:space="preserve">Not started</x:t>
        </x:is>
      </x:c>
      <x:c r="M85" s="18" t="inlineStr">
        <x:is>
          <x:t xml:space="preserve"/>
        </x:is>
      </x:c>
    </x:row>
    <x:row r="86">
      <x:c r="A86" s="18" t="inlineStr">
        <x:is>
          <x:t xml:space="preserve">T188</x:t>
        </x:is>
      </x:c>
      <x:c r="B86" s="18" t="inlineStr">
        <x:is>
          <x:t xml:space="preserve">Architecture</x:t>
        </x:is>
      </x:c>
      <x:c r="C86" s="18" t="inlineStr">
        <x:is>
          <x:t xml:space="preserve">Skip Claude native PDF in production paths (fallback only)</x:t>
        </x:is>
      </x:c>
      <x:c r="D86" s="18" t="inlineStr">
        <x:is>
          <x:t xml:space="preserve">Only use when both Doc Intelligence + Marker fail. Log every fallback as a parsing-bug ticket. Default mode = pre-parsed markdown.</x:t>
        </x:is>
      </x:c>
      <x:c r="E86" s="31" t="inlineStr">
        <x:is>
          <x:t xml:space="preserve">P0</x:t>
        </x:is>
      </x:c>
      <x:c r="F86" s="39" t="inlineStr">
        <x:is>
          <x:t xml:space="preserve">2. CLAUDE DOES IT</x:t>
        </x:is>
      </x:c>
      <x:c r="G86" s="18" t="inlineStr">
        <x:is>
          <x:t xml:space="preserve">Anand</x:t>
        </x:is>
      </x:c>
      <x:c r="H86" s="18" t="inlineStr">
        <x:is>
          <x:t xml:space="preserve"/>
        </x:is>
      </x:c>
      <x:c r="I86" s="45" t="inlineStr">
        <x:is>
          <x:t xml:space="preserve">Claude (code+docs)</x:t>
        </x:is>
      </x:c>
      <x:c r="J86" s="52" t="inlineStr">
        <x:is>
          <x:t xml:space="preserve">$0</x:t>
        </x:is>
      </x:c>
      <x:c r="K86" s="84" t="inlineStr">
        <x:is>
          <x:t xml:space="preserve">Anytime</x:t>
        </x:is>
      </x:c>
      <x:c r="L86" s="44" t="inlineStr">
        <x:is>
          <x:t xml:space="preserve">Not started</x:t>
        </x:is>
      </x:c>
      <x:c r="M86" s="18" t="inlineStr">
        <x:is>
          <x:t xml:space="preserve"/>
        </x:is>
      </x:c>
    </x:row>
    <x:row r="87">
      <x:c r="A87" s="18" t="inlineStr">
        <x:is>
          <x:t xml:space="preserve">T191</x:t>
        </x:is>
      </x:c>
      <x:c r="B87" s="18" t="inlineStr">
        <x:is>
          <x:t xml:space="preserve">Architecture</x:t>
        </x:is>
      </x:c>
      <x:c r="C87" s="18" t="inlineStr">
        <x:is>
          <x:t xml:space="preserve">Chat-paperclip uploads route through SAME ingestion pipeline (no bypass)</x:t>
        </x:is>
      </x:c>
      <x:c r="D87" s="18" t="inlineStr">
        <x:is>
          <x:t xml:space="preserve">📎 in chat = browser → SAS-uploaded direct to customer blob → cache check → Doc Intelligence parse → cached markdown into chat context. No shortcuts to Claude native PDF.</x:t>
        </x:is>
      </x:c>
      <x:c r="E87" s="31" t="inlineStr">
        <x:is>
          <x:t xml:space="preserve">P0</x:t>
        </x:is>
      </x:c>
      <x:c r="F87" s="39" t="inlineStr">
        <x:is>
          <x:t xml:space="preserve">2. CLAUDE DOES IT</x:t>
        </x:is>
      </x:c>
      <x:c r="G87" s="18" t="inlineStr">
        <x:is>
          <x:t xml:space="preserve">Anand</x:t>
        </x:is>
      </x:c>
      <x:c r="H87" s="18" t="inlineStr">
        <x:is>
          <x:t xml:space="preserve">T036,T184</x:t>
        </x:is>
      </x:c>
      <x:c r="I87" s="45" t="inlineStr">
        <x:is>
          <x:t xml:space="preserve">Claude (code)</x:t>
        </x:is>
      </x:c>
      <x:c r="J87" s="52" t="inlineStr">
        <x:is>
          <x:t xml:space="preserve">$0</x:t>
        </x:is>
      </x:c>
      <x:c r="K87" s="84" t="inlineStr">
        <x:is>
          <x:t xml:space="preserve">Anytime</x:t>
        </x:is>
      </x:c>
      <x:c r="L87" s="44" t="inlineStr">
        <x:is>
          <x:t xml:space="preserve">Not started</x:t>
        </x:is>
      </x:c>
      <x:c r="M87" s="18" t="inlineStr">
        <x:is>
          <x:t xml:space="preserve"/>
        </x:is>
      </x:c>
    </x:row>
    <x:row r="88">
      <x:c r="A88" s="18" t="inlineStr">
        <x:is>
          <x:t xml:space="preserve">T192</x:t>
        </x:is>
      </x:c>
      <x:c r="B88" s="18" t="inlineStr">
        <x:is>
          <x:t xml:space="preserve">Architecture</x:t>
        </x:is>
      </x:c>
      <x:c r="C88" s="18" t="inlineStr">
        <x:is>
          <x:t xml:space="preserve">Streaming 'parsing...' UX indicator (page X of Y, time elapsed)</x:t>
        </x:is>
      </x:c>
      <x:c r="D88" s="18" t="inlineStr">
        <x:is>
          <x:t xml:space="preserve">Don't make user stare at a spinner. Show parse progress. Allow typing during parse; defer send until ready.</x:t>
        </x:is>
      </x:c>
      <x:c r="E88" s="31" t="inlineStr">
        <x:is>
          <x:t xml:space="preserve">P0</x:t>
        </x:is>
      </x:c>
      <x:c r="F88" s="39" t="inlineStr">
        <x:is>
          <x:t xml:space="preserve">2. CLAUDE DOES IT</x:t>
        </x:is>
      </x:c>
      <x:c r="G88" s="18" t="inlineStr">
        <x:is>
          <x:t xml:space="preserve">Anand</x:t>
        </x:is>
      </x:c>
      <x:c r="H88" s="18" t="inlineStr">
        <x:is>
          <x:t xml:space="preserve"/>
        </x:is>
      </x:c>
      <x:c r="I88" s="45" t="inlineStr">
        <x:is>
          <x:t xml:space="preserve">Claude (code)</x:t>
        </x:is>
      </x:c>
      <x:c r="J88" s="52" t="inlineStr">
        <x:is>
          <x:t xml:space="preserve">$0</x:t>
        </x:is>
      </x:c>
      <x:c r="K88" s="84" t="inlineStr">
        <x:is>
          <x:t xml:space="preserve">Anytime</x:t>
        </x:is>
      </x:c>
      <x:c r="L88" s="44" t="inlineStr">
        <x:is>
          <x:t xml:space="preserve">Not started</x:t>
        </x:is>
      </x:c>
      <x:c r="M88" s="18" t="inlineStr">
        <x:is>
          <x:t xml:space="preserve"/>
        </x:is>
      </x:c>
    </x:row>
    <x:row r="89">
      <x:c r="A89" s="18" t="inlineStr">
        <x:is>
          <x:t xml:space="preserve">T193</x:t>
        </x:is>
      </x:c>
      <x:c r="B89" s="18" t="inlineStr">
        <x:is>
          <x:t xml:space="preserve">Architecture</x:t>
        </x:is>
      </x:c>
      <x:c r="C89" s="18" t="inlineStr">
        <x:is>
          <x:t xml:space="preserve">Upload limits: max 500 pages, 100MB per file, N files per session, M files per day per user</x:t>
        </x:is>
      </x:c>
      <x:c r="D89" s="18" t="inlineStr">
        <x:is>
          <x:t xml:space="preserve">Prevents 1000-page PDF spam + cost runaway. Per-tenant configurable.</x:t>
        </x:is>
      </x:c>
      <x:c r="E89" s="31" t="inlineStr">
        <x:is>
          <x:t xml:space="preserve">P0</x:t>
        </x:is>
      </x:c>
      <x:c r="F89" s="39" t="inlineStr">
        <x:is>
          <x:t xml:space="preserve">2. CLAUDE DOES IT</x:t>
        </x:is>
      </x:c>
      <x:c r="G89" s="18" t="inlineStr">
        <x:is>
          <x:t xml:space="preserve">Anand</x:t>
        </x:is>
      </x:c>
      <x:c r="H89" s="18" t="inlineStr">
        <x:is>
          <x:t xml:space="preserve"/>
        </x:is>
      </x:c>
      <x:c r="I89" s="45" t="inlineStr">
        <x:is>
          <x:t xml:space="preserve">Claude (code+config)</x:t>
        </x:is>
      </x:c>
      <x:c r="J89" s="52" t="inlineStr">
        <x:is>
          <x:t xml:space="preserve">$0</x:t>
        </x:is>
      </x:c>
      <x:c r="K89" s="84" t="inlineStr">
        <x:is>
          <x:t xml:space="preserve">Anytime</x:t>
        </x:is>
      </x:c>
      <x:c r="L89" s="44" t="inlineStr">
        <x:is>
          <x:t xml:space="preserve">Not started</x:t>
        </x:is>
      </x:c>
      <x:c r="M89" s="18" t="inlineStr">
        <x:is>
          <x:t xml:space="preserve"/>
        </x:is>
      </x:c>
    </x:row>
    <x:row r="90">
      <x:c r="A90" s="18" t="inlineStr">
        <x:is>
          <x:t xml:space="preserve">T196</x:t>
        </x:is>
      </x:c>
      <x:c r="B90" s="18" t="inlineStr">
        <x:is>
          <x:t xml:space="preserve">Architecture</x:t>
        </x:is>
      </x:c>
      <x:c r="C90" s="18" t="inlineStr">
        <x:is>
          <x:t xml:space="preserve">Supported format matrix: PDF / docx / xlsx / pptx / png / jpg / txt / csv / md</x:t>
        </x:is>
      </x:c>
      <x:c r="D90" s="18" t="inlineStr">
        <x:is>
          <x:t xml:space="preserve">Each format has a parser path: Doc Intelligence (PDF/img/scanned), python-docx (docx), openpyxl (xlsx), python-pptx (pptx), native text (txt/md), pandas (csv).</x:t>
        </x:is>
      </x:c>
      <x:c r="E90" s="31" t="inlineStr">
        <x:is>
          <x:t xml:space="preserve">P0</x:t>
        </x:is>
      </x:c>
      <x:c r="F90" s="39" t="inlineStr">
        <x:is>
          <x:t xml:space="preserve">2. CLAUDE DOES IT</x:t>
        </x:is>
      </x:c>
      <x:c r="G90" s="18" t="inlineStr">
        <x:is>
          <x:t xml:space="preserve">Anand</x:t>
        </x:is>
      </x:c>
      <x:c r="H90" s="18" t="inlineStr">
        <x:is>
          <x:t xml:space="preserve"/>
        </x:is>
      </x:c>
      <x:c r="I90" s="45" t="inlineStr">
        <x:is>
          <x:t xml:space="preserve">Claude (code+docs)</x:t>
        </x:is>
      </x:c>
      <x:c r="J90" s="52" t="inlineStr">
        <x:is>
          <x:t xml:space="preserve">$0</x:t>
        </x:is>
      </x:c>
      <x:c r="K90" s="84" t="inlineStr">
        <x:is>
          <x:t xml:space="preserve">Anytime</x:t>
        </x:is>
      </x:c>
      <x:c r="L90" s="44" t="inlineStr">
        <x:is>
          <x:t xml:space="preserve">Not started</x:t>
        </x:is>
      </x:c>
      <x:c r="M90" s="18" t="inlineStr">
        <x:is>
          <x:t xml:space="preserve"/>
        </x:is>
      </x:c>
    </x:row>
    <x:row r="91">
      <x:c r="A91" s="18" t="inlineStr">
        <x:is>
          <x:t xml:space="preserve">T197</x:t>
        </x:is>
      </x:c>
      <x:c r="B91" s="18" t="inlineStr">
        <x:is>
          <x:t xml:space="preserve">Architecture</x:t>
        </x:is>
      </x:c>
      <x:c r="C91" s="18" t="inlineStr">
        <x:is>
          <x:t xml:space="preserve">PHI/PII pre-scan inline in paperclip flow (before parse persists)</x:t>
        </x:is>
      </x:c>
      <x:c r="D91" s="18" t="inlineStr">
        <x:is>
          <x:t xml:space="preserve">Presidio scan on parsed text. On hit: quarantine + alert + offer user 'redact and continue' option. Same protection as bulk upload.</x:t>
        </x:is>
      </x:c>
      <x:c r="E91" s="31" t="inlineStr">
        <x:is>
          <x:t xml:space="preserve">P0</x:t>
        </x:is>
      </x:c>
      <x:c r="F91" s="39" t="inlineStr">
        <x:is>
          <x:t xml:space="preserve">2. CLAUDE DOES IT</x:t>
        </x:is>
      </x:c>
      <x:c r="G91" s="18" t="inlineStr">
        <x:is>
          <x:t xml:space="preserve">Anand</x:t>
        </x:is>
      </x:c>
      <x:c r="H91" s="18" t="inlineStr">
        <x:is>
          <x:t xml:space="preserve">T032</x:t>
        </x:is>
      </x:c>
      <x:c r="I91" s="45" t="inlineStr">
        <x:is>
          <x:t xml:space="preserve">Claude (code)</x:t>
        </x:is>
      </x:c>
      <x:c r="J91" s="52" t="inlineStr">
        <x:is>
          <x:t xml:space="preserve">$0 (Presidio free)</x:t>
        </x:is>
      </x:c>
      <x:c r="K91" s="84" t="inlineStr">
        <x:is>
          <x:t xml:space="preserve">Anytime</x:t>
        </x:is>
      </x:c>
      <x:c r="L91" s="44" t="inlineStr">
        <x:is>
          <x:t xml:space="preserve">Not started</x:t>
        </x:is>
      </x:c>
      <x:c r="M91" s="18" t="inlineStr">
        <x:is>
          <x:t xml:space="preserve"/>
        </x:is>
      </x:c>
    </x:row>
    <x:row r="92">
      <x:c r="A92" s="18" t="inlineStr">
        <x:is>
          <x:t xml:space="preserve">T035</x:t>
        </x:is>
      </x:c>
      <x:c r="B92" s="18" t="inlineStr">
        <x:is>
          <x:t xml:space="preserve">Architecture</x:t>
        </x:is>
      </x:c>
      <x:c r="C92" s="18" t="inlineStr">
        <x:is>
          <x:t xml:space="preserve">Build admin/ops surface (re-index, migrations, backfills)</x:t>
        </x:is>
      </x:c>
      <x:c r="D92" s="18" t="inlineStr">
        <x:is>
          <x:t xml:space="preserve">Replaces SSH into DB. All actions audit-logged.</x:t>
        </x:is>
      </x:c>
      <x:c r="E92" s="32" t="inlineStr">
        <x:is>
          <x:t xml:space="preserve">P1</x:t>
        </x:is>
      </x:c>
      <x:c r="F92" s="39" t="inlineStr">
        <x:is>
          <x:t xml:space="preserve">2. CLAUDE DOES IT</x:t>
        </x:is>
      </x:c>
      <x:c r="G92" s="18" t="inlineStr">
        <x:is>
          <x:t xml:space="preserve">Anand</x:t>
        </x:is>
      </x:c>
      <x:c r="H92" s="18" t="inlineStr">
        <x:is>
          <x:t xml:space="preserve"/>
        </x:is>
      </x:c>
      <x:c r="I92" s="45" t="inlineStr">
        <x:is>
          <x:t xml:space="preserve">Claude (code)</x:t>
        </x:is>
      </x:c>
      <x:c r="J92" s="52" t="inlineStr">
        <x:is>
          <x:t xml:space="preserve">$0 (founder time)</x:t>
        </x:is>
      </x:c>
      <x:c r="K92" s="84" t="inlineStr">
        <x:is>
          <x:t xml:space="preserve">Anytime</x:t>
        </x:is>
      </x:c>
      <x:c r="L92" s="44" t="inlineStr">
        <x:is>
          <x:t xml:space="preserve">Not started</x:t>
        </x:is>
      </x:c>
      <x:c r="M92" s="18" t="inlineStr">
        <x:is>
          <x:t xml:space="preserve"/>
        </x:is>
      </x:c>
    </x:row>
    <x:row r="93">
      <x:c r="A93" s="18" t="inlineStr">
        <x:is>
          <x:t xml:space="preserve">T037</x:t>
        </x:is>
      </x:c>
      <x:c r="B93" s="18" t="inlineStr">
        <x:is>
          <x:t xml:space="preserve">Architecture</x:t>
        </x:is>
      </x:c>
      <x:c r="C93" s="18" t="inlineStr">
        <x:is>
          <x:t xml:space="preserve">Define release lanes operationally (global vs client)</x:t>
        </x:is>
      </x:c>
      <x:c r="D93" s="18" t="inlineStr">
        <x:is>
          <x:t xml:space="preserve">AGENTS.md already encodes these. Wire feature flags + 48h gating.</x:t>
        </x:is>
      </x:c>
      <x:c r="E93" s="32" t="inlineStr">
        <x:is>
          <x:t xml:space="preserve">P1</x:t>
        </x:is>
      </x:c>
      <x:c r="F93" s="39" t="inlineStr">
        <x:is>
          <x:t xml:space="preserve">2. CLAUDE DOES IT</x:t>
        </x:is>
      </x:c>
      <x:c r="G93" s="18" t="inlineStr">
        <x:is>
          <x:t xml:space="preserve">Anand</x:t>
        </x:is>
      </x:c>
      <x:c r="H93" s="18" t="inlineStr">
        <x:is>
          <x:t xml:space="preserve"/>
        </x:is>
      </x:c>
      <x:c r="I93" s="45" t="inlineStr">
        <x:is>
          <x:t xml:space="preserve">Claude (config)</x:t>
        </x:is>
      </x:c>
      <x:c r="J93" s="52" t="inlineStr">
        <x:is>
          <x:t xml:space="preserve">$0</x:t>
        </x:is>
      </x:c>
      <x:c r="K93" s="84" t="inlineStr">
        <x:is>
          <x:t xml:space="preserve">Anytime</x:t>
        </x:is>
      </x:c>
      <x:c r="L93" s="44" t="inlineStr">
        <x:is>
          <x:t xml:space="preserve">Not started</x:t>
        </x:is>
      </x:c>
      <x:c r="M93" s="18" t="inlineStr">
        <x:is>
          <x:t xml:space="preserve"/>
        </x:is>
      </x:c>
    </x:row>
    <x:row r="94">
      <x:c r="A94" s="18" t="inlineStr">
        <x:is>
          <x:t xml:space="preserve">T040</x:t>
        </x:is>
      </x:c>
      <x:c r="B94" s="18" t="inlineStr">
        <x:is>
          <x:t xml:space="preserve">Architecture</x:t>
        </x:is>
      </x:c>
      <x:c r="C94" s="18" t="inlineStr">
        <x:is>
          <x:t xml:space="preserve">Version + tag industry corpus releases (manifest + checksums)</x:t>
        </x:is>
      </x:c>
      <x:c r="D94" s="18" t="inlineStr">
        <x:is>
          <x:t xml:space="preserve">Per-client corpus pinning. Already at Wave 24.</x:t>
        </x:is>
      </x:c>
      <x:c r="E94" s="32" t="inlineStr">
        <x:is>
          <x:t xml:space="preserve">P1</x:t>
        </x:is>
      </x:c>
      <x:c r="F94" s="39" t="inlineStr">
        <x:is>
          <x:t xml:space="preserve">2. CLAUDE DOES IT</x:t>
        </x:is>
      </x:c>
      <x:c r="G94" s="18" t="inlineStr">
        <x:is>
          <x:t xml:space="preserve">Anand</x:t>
        </x:is>
      </x:c>
      <x:c r="H94" s="18" t="inlineStr">
        <x:is>
          <x:t xml:space="preserve"/>
        </x:is>
      </x:c>
      <x:c r="I94" s="45" t="inlineStr">
        <x:is>
          <x:t xml:space="preserve">Claude (script)</x:t>
        </x:is>
      </x:c>
      <x:c r="J94" s="52" t="inlineStr">
        <x:is>
          <x:t xml:space="preserve">$0</x:t>
        </x:is>
      </x:c>
      <x:c r="K94" s="84" t="inlineStr">
        <x:is>
          <x:t xml:space="preserve">Anytime</x:t>
        </x:is>
      </x:c>
      <x:c r="L94" s="44" t="inlineStr">
        <x:is>
          <x:t xml:space="preserve">Not started</x:t>
        </x:is>
      </x:c>
      <x:c r="M94" s="18" t="inlineStr">
        <x:is>
          <x:t xml:space="preserve"/>
        </x:is>
      </x:c>
    </x:row>
    <x:row r="95">
      <x:c r="A95" s="18" t="inlineStr">
        <x:is>
          <x:t xml:space="preserve">T041</x:t>
        </x:is>
      </x:c>
      <x:c r="B95" s="18" t="inlineStr">
        <x:is>
          <x:t xml:space="preserve">Architecture</x:t>
        </x:is>
      </x:c>
      <x:c r="C95" s="18" t="inlineStr">
        <x:is>
          <x:t xml:space="preserve">Set up immutable audit log (Azure Immutable Blob Storage)</x:t>
        </x:is>
      </x:c>
      <x:c r="D95" s="18" t="inlineStr">
        <x:is>
          <x:t xml:space="preserve">12-24 month retention. Client export on request.</x:t>
        </x:is>
      </x:c>
      <x:c r="E95" s="32" t="inlineStr">
        <x:is>
          <x:t xml:space="preserve">P1</x:t>
        </x:is>
      </x:c>
      <x:c r="F95" s="39" t="inlineStr">
        <x:is>
          <x:t xml:space="preserve">2. CLAUDE DOES IT</x:t>
        </x:is>
      </x:c>
      <x:c r="G95" s="18" t="inlineStr">
        <x:is>
          <x:t xml:space="preserve">Anand</x:t>
        </x:is>
      </x:c>
      <x:c r="H95" s="18" t="inlineStr">
        <x:is>
          <x:t xml:space="preserve"/>
        </x:is>
      </x:c>
      <x:c r="I95" s="45" t="inlineStr">
        <x:is>
          <x:t xml:space="preserve">Claude (code+Azure)</x:t>
        </x:is>
      </x:c>
      <x:c r="J95" s="51" t="inlineStr">
        <x:is>
          <x:t xml:space="preserve">~$50/mo Azure storage (covered)</x:t>
        </x:is>
      </x:c>
      <x:c r="K95" s="84" t="inlineStr">
        <x:is>
          <x:t xml:space="preserve">Anytime</x:t>
        </x:is>
      </x:c>
      <x:c r="L95" s="44" t="inlineStr">
        <x:is>
          <x:t xml:space="preserve">Not started</x:t>
        </x:is>
      </x:c>
      <x:c r="M95" s="18" t="inlineStr">
        <x:is>
          <x:t xml:space="preserve"/>
        </x:is>
      </x:c>
    </x:row>
    <x:row r="96">
      <x:c r="A96" s="18" t="inlineStr">
        <x:is>
          <x:t xml:space="preserve">T042</x:t>
        </x:is>
      </x:c>
      <x:c r="B96" s="18" t="inlineStr">
        <x:is>
          <x:t xml:space="preserve">Architecture</x:t>
        </x:is>
      </x:c>
      <x:c r="C96" s="18" t="inlineStr">
        <x:is>
          <x:t xml:space="preserve">Document DR + RPO/RTO (e.g., RPO 1h, RTO 4h)</x:t>
        </x:is>
      </x:c>
      <x:c r="D96" s="18" t="inlineStr">
        <x:is>
          <x:t xml:space="preserve">Test once. Document.</x:t>
        </x:is>
      </x:c>
      <x:c r="E96" s="32" t="inlineStr">
        <x:is>
          <x:t xml:space="preserve">P1</x:t>
        </x:is>
      </x:c>
      <x:c r="F96" s="39" t="inlineStr">
        <x:is>
          <x:t xml:space="preserve">2. CLAUDE DOES IT</x:t>
        </x:is>
      </x:c>
      <x:c r="G96" s="18" t="inlineStr">
        <x:is>
          <x:t xml:space="preserve">Anand</x:t>
        </x:is>
      </x:c>
      <x:c r="H96" s="18" t="inlineStr">
        <x:is>
          <x:t xml:space="preserve"/>
        </x:is>
      </x:c>
      <x:c r="I96" s="45" t="inlineStr">
        <x:is>
          <x:t xml:space="preserve">Claude (docs)</x:t>
        </x:is>
      </x:c>
      <x:c r="J96" s="52" t="inlineStr">
        <x:is>
          <x:t xml:space="preserve">$0 docs</x:t>
        </x:is>
      </x:c>
      <x:c r="K96" s="84" t="inlineStr">
        <x:is>
          <x:t xml:space="preserve">Anytime</x:t>
        </x:is>
      </x:c>
      <x:c r="L96" s="44" t="inlineStr">
        <x:is>
          <x:t xml:space="preserve">Not started</x:t>
        </x:is>
      </x:c>
      <x:c r="M96" s="18" t="inlineStr">
        <x:is>
          <x:t xml:space="preserve"/>
        </x:is>
      </x:c>
    </x:row>
    <x:row r="97">
      <x:c r="A97" s="18" t="inlineStr">
        <x:is>
          <x:t xml:space="preserve">T044</x:t>
        </x:is>
      </x:c>
      <x:c r="B97" s="18" t="inlineStr">
        <x:is>
          <x:t xml:space="preserve">Architecture</x:t>
        </x:is>
      </x:c>
      <x:c r="C97" s="18" t="inlineStr">
        <x:is>
          <x:t xml:space="preserve">Document encryption posture (AES-256 rest, TLS 1.2+ transit)</x:t>
        </x:is>
      </x:c>
      <x:c r="D97" s="18" t="inlineStr">
        <x:is>
          <x:t xml:space="preserve">Defaults across Vercel/Azure/Clerk. Just need to say it.</x:t>
        </x:is>
      </x:c>
      <x:c r="E97" s="32" t="inlineStr">
        <x:is>
          <x:t xml:space="preserve">P1</x:t>
        </x:is>
      </x:c>
      <x:c r="F97" s="39" t="inlineStr">
        <x:is>
          <x:t xml:space="preserve">2. CLAUDE DOES IT</x:t>
        </x:is>
      </x:c>
      <x:c r="G97" s="18" t="inlineStr">
        <x:is>
          <x:t xml:space="preserve">Anand</x:t>
        </x:is>
      </x:c>
      <x:c r="H97" s="18" t="inlineStr">
        <x:is>
          <x:t xml:space="preserve"/>
        </x:is>
      </x:c>
      <x:c r="I97" s="45" t="inlineStr">
        <x:is>
          <x:t xml:space="preserve">Claude (docs)</x:t>
        </x:is>
      </x:c>
      <x:c r="J97" s="52" t="inlineStr">
        <x:is>
          <x:t xml:space="preserve">$0 (Azure/Vercel defaults)</x:t>
        </x:is>
      </x:c>
      <x:c r="K97" s="84" t="inlineStr">
        <x:is>
          <x:t xml:space="preserve">Anytime</x:t>
        </x:is>
      </x:c>
      <x:c r="L97" s="44" t="inlineStr">
        <x:is>
          <x:t xml:space="preserve">Not started</x:t>
        </x:is>
      </x:c>
      <x:c r="M97" s="18" t="inlineStr">
        <x:is>
          <x:t xml:space="preserve"/>
        </x:is>
      </x:c>
    </x:row>
    <x:row r="98">
      <x:c r="A98" s="18" t="inlineStr">
        <x:is>
          <x:t xml:space="preserve">T048</x:t>
        </x:is>
      </x:c>
      <x:c r="B98" s="18" t="inlineStr">
        <x:is>
          <x:t xml:space="preserve">Architecture</x:t>
        </x:is>
      </x:c>
      <x:c r="C98" s="18" t="inlineStr">
        <x:is>
          <x:t xml:space="preserve">Define data return/deletion runbook (30-day post-termination)</x:t>
        </x:is>
      </x:c>
      <x:c r="D98" s="18" t="inlineStr">
        <x:is>
          <x:t xml:space="preserve">Written certification of deletion.</x:t>
        </x:is>
      </x:c>
      <x:c r="E98" s="32" t="inlineStr">
        <x:is>
          <x:t xml:space="preserve">P1</x:t>
        </x:is>
      </x:c>
      <x:c r="F98" s="39" t="inlineStr">
        <x:is>
          <x:t xml:space="preserve">2. CLAUDE DOES IT</x:t>
        </x:is>
      </x:c>
      <x:c r="G98" s="18" t="inlineStr">
        <x:is>
          <x:t xml:space="preserve">Anand</x:t>
        </x:is>
      </x:c>
      <x:c r="H98" s="18" t="inlineStr">
        <x:is>
          <x:t xml:space="preserve"/>
        </x:is>
      </x:c>
      <x:c r="I98" s="45" t="inlineStr">
        <x:is>
          <x:t xml:space="preserve">Claude (runbook)</x:t>
        </x:is>
      </x:c>
      <x:c r="J98" s="52" t="inlineStr">
        <x:is>
          <x:t xml:space="preserve">$0</x:t>
        </x:is>
      </x:c>
      <x:c r="K98" s="84" t="inlineStr">
        <x:is>
          <x:t xml:space="preserve">Anytime</x:t>
        </x:is>
      </x:c>
      <x:c r="L98" s="44" t="inlineStr">
        <x:is>
          <x:t xml:space="preserve">Not started</x:t>
        </x:is>
      </x:c>
      <x:c r="M98" s="18" t="inlineStr">
        <x:is>
          <x:t xml:space="preserve"/>
        </x:is>
      </x:c>
    </x:row>
    <x:row r="99">
      <x:c r="A99" s="18" t="inlineStr">
        <x:is>
          <x:t xml:space="preserve">T186</x:t>
        </x:is>
      </x:c>
      <x:c r="B99" s="18" t="inlineStr">
        <x:is>
          <x:t xml:space="preserve">Architecture</x:t>
        </x:is>
      </x:c>
      <x:c r="C99" s="18" t="inlineStr">
        <x:is>
          <x:t xml:space="preserve">Fallback parsers: Marker (self-hosted, free) and LlamaParse (3rd-party, paid)</x:t>
        </x:is>
      </x:c>
      <x:c r="D99" s="18" t="inlineStr">
        <x:is>
          <x:t xml:space="preserve">Marker on tricky docs Doc Intelligence misses. LlamaParse only for non-sensitive docs (3rd-party processing) — with customer consent. Document the decision tree.</x:t>
        </x:is>
      </x:c>
      <x:c r="E99" s="32" t="inlineStr">
        <x:is>
          <x:t xml:space="preserve">P1</x:t>
        </x:is>
      </x:c>
      <x:c r="F99" s="39" t="inlineStr">
        <x:is>
          <x:t xml:space="preserve">2. CLAUDE DOES IT</x:t>
        </x:is>
      </x:c>
      <x:c r="G99" s="18" t="inlineStr">
        <x:is>
          <x:t xml:space="preserve">Anand</x:t>
        </x:is>
      </x:c>
      <x:c r="H99" s="18" t="inlineStr">
        <x:is>
          <x:t xml:space="preserve"/>
        </x:is>
      </x:c>
      <x:c r="I99" s="45" t="inlineStr">
        <x:is>
          <x:t xml:space="preserve">Claude (code+docs)</x:t>
        </x:is>
      </x:c>
      <x:c r="J99" s="52" t="inlineStr">
        <x:is>
          <x:t xml:space="preserve">Marker: $0 / LlamaParse: ~$0.003-0.015/page</x:t>
        </x:is>
      </x:c>
      <x:c r="K99" s="84" t="inlineStr">
        <x:is>
          <x:t xml:space="preserve">Anytime</x:t>
        </x:is>
      </x:c>
      <x:c r="L99" s="44" t="inlineStr">
        <x:is>
          <x:t xml:space="preserve">Not started</x:t>
        </x:is>
      </x:c>
      <x:c r="M99" s="18" t="inlineStr">
        <x:is>
          <x:t xml:space="preserve"/>
        </x:is>
      </x:c>
    </x:row>
    <x:row r="100">
      <x:c r="A100" s="18" t="inlineStr">
        <x:is>
          <x:t xml:space="preserve">T189</x:t>
        </x:is>
      </x:c>
      <x:c r="B100" s="18" t="inlineStr">
        <x:is>
          <x:t xml:space="preserve">Architecture</x:t>
        </x:is>
      </x:c>
      <x:c r="C100" s="18" t="inlineStr">
        <x:is>
          <x:t xml:space="preserve">Cost-per-document dashboard (parse cost + chat cost + cache hit rate)</x:t>
        </x:is>
      </x:c>
      <x:c r="D100" s="18" t="inlineStr">
        <x:is>
          <x:t xml:space="preserve">Per-tenant per-doc economics. Surface to client weekly. Validates the token meter and informs pricing.</x:t>
        </x:is>
      </x:c>
      <x:c r="E100" s="32" t="inlineStr">
        <x:is>
          <x:t xml:space="preserve">P1</x:t>
        </x:is>
      </x:c>
      <x:c r="F100" s="39" t="inlineStr">
        <x:is>
          <x:t xml:space="preserve">2. CLAUDE DOES IT</x:t>
        </x:is>
      </x:c>
      <x:c r="G100" s="18" t="inlineStr">
        <x:is>
          <x:t xml:space="preserve">Anand</x:t>
        </x:is>
      </x:c>
      <x:c r="H100" s="18" t="inlineStr">
        <x:is>
          <x:t xml:space="preserve">T033</x:t>
        </x:is>
      </x:c>
      <x:c r="I100" s="45" t="inlineStr">
        <x:is>
          <x:t xml:space="preserve">Claude (code)</x:t>
        </x:is>
      </x:c>
      <x:c r="J100" s="52" t="inlineStr">
        <x:is>
          <x:t xml:space="preserve">$0</x:t>
        </x:is>
      </x:c>
      <x:c r="K100" s="84" t="inlineStr">
        <x:is>
          <x:t xml:space="preserve">Anytime</x:t>
        </x:is>
      </x:c>
      <x:c r="L100" s="44" t="inlineStr">
        <x:is>
          <x:t xml:space="preserve">Not started</x:t>
        </x:is>
      </x:c>
      <x:c r="M100" s="18" t="inlineStr">
        <x:is>
          <x:t xml:space="preserve"/>
        </x:is>
      </x:c>
    </x:row>
    <x:row r="101">
      <x:c r="A101" s="18" t="inlineStr">
        <x:is>
          <x:t xml:space="preserve">T195</x:t>
        </x:is>
      </x:c>
      <x:c r="B101" s="18" t="inlineStr">
        <x:is>
          <x:t xml:space="preserve">Architecture</x:t>
        </x:is>
      </x:c>
      <x:c r="C101" s="18" t="inlineStr">
        <x:is>
          <x:t xml:space="preserve">Small-doc shortcut: docs &lt;4 pages AND &lt;500KB go to Claude native (faster, similar cost)</x:t>
        </x:is>
      </x:c>
      <x:c r="D101" s="18" t="inlineStr">
        <x:is>
          <x:t xml:space="preserve">Break-even analysis: 2-page PDF parse adds 3s latency for $0.003 saved. UX wins. Threshold configurable; default 4pp/500KB.</x:t>
        </x:is>
      </x:c>
      <x:c r="E101" s="32" t="inlineStr">
        <x:is>
          <x:t xml:space="preserve">P1</x:t>
        </x:is>
      </x:c>
      <x:c r="F101" s="39" t="inlineStr">
        <x:is>
          <x:t xml:space="preserve">2. CLAUDE DOES IT</x:t>
        </x:is>
      </x:c>
      <x:c r="G101" s="18" t="inlineStr">
        <x:is>
          <x:t xml:space="preserve">Anand</x:t>
        </x:is>
      </x:c>
      <x:c r="H101" s="18" t="inlineStr">
        <x:is>
          <x:t xml:space="preserve"/>
        </x:is>
      </x:c>
      <x:c r="I101" s="45" t="inlineStr">
        <x:is>
          <x:t xml:space="preserve">Claude (code)</x:t>
        </x:is>
      </x:c>
      <x:c r="J101" s="52" t="inlineStr">
        <x:is>
          <x:t xml:space="preserve">$0</x:t>
        </x:is>
      </x:c>
      <x:c r="K101" s="84" t="inlineStr">
        <x:is>
          <x:t xml:space="preserve">Anytime</x:t>
        </x:is>
      </x:c>
      <x:c r="L101" s="44" t="inlineStr">
        <x:is>
          <x:t xml:space="preserve">Not started</x:t>
        </x:is>
      </x:c>
      <x:c r="M101" s="18" t="inlineStr">
        <x:is>
          <x:t xml:space="preserve"/>
        </x:is>
      </x:c>
    </x:row>
    <x:row r="102">
      <x:c r="A102" s="18" t="inlineStr">
        <x:is>
          <x:t xml:space="preserve">T198</x:t>
        </x:is>
      </x:c>
      <x:c r="B102" s="18" t="inlineStr">
        <x:is>
          <x:t xml:space="preserve">Architecture</x:t>
        </x:is>
      </x:c>
      <x:c r="C102" s="18" t="inlineStr">
        <x:is>
          <x:t xml:space="preserve">Parsed-snippet preview after upload so user knows what got extracted</x:t>
        </x:is>
      </x:c>
      <x:c r="D102" s="18" t="inlineStr">
        <x:is>
          <x:t xml:space="preserve">Shows first 200 chars + table count + page count. Catches garbled parses BEFORE chat consumes tokens.</x:t>
        </x:is>
      </x:c>
      <x:c r="E102" s="32" t="inlineStr">
        <x:is>
          <x:t xml:space="preserve">P1</x:t>
        </x:is>
      </x:c>
      <x:c r="F102" s="39" t="inlineStr">
        <x:is>
          <x:t xml:space="preserve">2. CLAUDE DOES IT</x:t>
        </x:is>
      </x:c>
      <x:c r="G102" s="18" t="inlineStr">
        <x:is>
          <x:t xml:space="preserve">Anand</x:t>
        </x:is>
      </x:c>
      <x:c r="H102" s="18" t="inlineStr">
        <x:is>
          <x:t xml:space="preserve"/>
        </x:is>
      </x:c>
      <x:c r="I102" s="45" t="inlineStr">
        <x:is>
          <x:t xml:space="preserve">Claude (code)</x:t>
        </x:is>
      </x:c>
      <x:c r="J102" s="52" t="inlineStr">
        <x:is>
          <x:t xml:space="preserve">$0</x:t>
        </x:is>
      </x:c>
      <x:c r="K102" s="84" t="inlineStr">
        <x:is>
          <x:t xml:space="preserve">Anytime</x:t>
        </x:is>
      </x:c>
      <x:c r="L102" s="44" t="inlineStr">
        <x:is>
          <x:t xml:space="preserve">Not started</x:t>
        </x:is>
      </x:c>
      <x:c r="M102" s="18" t="inlineStr">
        <x:is>
          <x:t xml:space="preserve"/>
        </x:is>
      </x:c>
    </x:row>
    <x:row r="103">
      <x:c r="A103" s="18" t="inlineStr">
        <x:is>
          <x:t xml:space="preserve">T200</x:t>
        </x:is>
      </x:c>
      <x:c r="B103" s="18" t="inlineStr">
        <x:is>
          <x:t xml:space="preserve">Architecture</x:t>
        </x:is>
      </x:c>
      <x:c r="C103" s="18" t="inlineStr">
        <x:is>
          <x:t xml:space="preserve">Persist parse cache across sessions (Wave 2 evidence ledger)</x:t>
        </x:is>
      </x:c>
      <x:c r="D103" s="18" t="inlineStr">
        <x:is>
          <x:t xml:space="preserve">Per existing backlog memory: Wave 1 = chat-scoped, Wave 2 = persist. Parse cache is upstream of both; same content hash = same cached parse forever.</x:t>
        </x:is>
      </x:c>
      <x:c r="E103" s="32" t="inlineStr">
        <x:is>
          <x:t xml:space="preserve">P1</x:t>
        </x:is>
      </x:c>
      <x:c r="F103" s="39" t="inlineStr">
        <x:is>
          <x:t xml:space="preserve">2. CLAUDE DOES IT</x:t>
        </x:is>
      </x:c>
      <x:c r="G103" s="18" t="inlineStr">
        <x:is>
          <x:t xml:space="preserve">Anand</x:t>
        </x:is>
      </x:c>
      <x:c r="H103" s="18" t="inlineStr">
        <x:is>
          <x:t xml:space="preserve">T185</x:t>
        </x:is>
      </x:c>
      <x:c r="I103" s="45" t="inlineStr">
        <x:is>
          <x:t xml:space="preserve">Claude (code)</x:t>
        </x:is>
      </x:c>
      <x:c r="J103" s="52" t="inlineStr">
        <x:is>
          <x:t xml:space="preserve">$0</x:t>
        </x:is>
      </x:c>
      <x:c r="K103" s="84" t="inlineStr">
        <x:is>
          <x:t xml:space="preserve">Anytime</x:t>
        </x:is>
      </x:c>
      <x:c r="L103" s="44" t="inlineStr">
        <x:is>
          <x:t xml:space="preserve">Not started</x:t>
        </x:is>
      </x:c>
      <x:c r="M103" s="18" t="inlineStr">
        <x:is>
          <x:t xml:space="preserve"/>
        </x:is>
      </x:c>
    </x:row>
    <x:row r="104">
      <x:c r="A104" s="18" t="inlineStr">
        <x:is>
          <x:t xml:space="preserve">T282</x:t>
        </x:is>
      </x:c>
      <x:c r="B104" s="18" t="inlineStr">
        <x:is>
          <x:t xml:space="preserve">Architecture</x:t>
        </x:is>
      </x:c>
      <x:c r="C104" s="18" t="inlineStr">
        <x:is>
          <x:t xml:space="preserve">If YES: scope the 'Software Delivery' corpus wave (patterns, structure, sources)</x:t>
        </x:is>
      </x:c>
      <x:c r="D104" s="18" t="inlineStr">
        <x:is>
          <x:t xml:space="preserve">Industry frameworks (DORA, SAFe), AI-dev specific patterns, vendor governance patterns, ROI measurement.</x:t>
        </x:is>
      </x:c>
      <x:c r="E104" s="32" t="inlineStr">
        <x:is>
          <x:t xml:space="preserve">P1</x:t>
        </x:is>
      </x:c>
      <x:c r="F104" s="39" t="inlineStr">
        <x:is>
          <x:t xml:space="preserve">2. CLAUDE DOES IT</x:t>
        </x:is>
      </x:c>
      <x:c r="G104" s="18" t="inlineStr">
        <x:is>
          <x:t xml:space="preserve">Anand</x:t>
        </x:is>
      </x:c>
      <x:c r="H104" s="18" t="inlineStr">
        <x:is>
          <x:t xml:space="preserve"/>
        </x:is>
      </x:c>
      <x:c r="I104" s="45" t="inlineStr">
        <x:is>
          <x:t xml:space="preserve">Claude (draft) + you</x:t>
        </x:is>
      </x:c>
      <x:c r="J104" s="52" t="inlineStr">
        <x:is>
          <x:t xml:space="preserve">$0</x:t>
        </x:is>
      </x:c>
      <x:c r="K104" s="84" t="inlineStr">
        <x:is>
          <x:t xml:space="preserve">Anytime</x:t>
        </x:is>
      </x:c>
      <x:c r="L104" s="44" t="inlineStr">
        <x:is>
          <x:t xml:space="preserve">Not started</x:t>
        </x:is>
      </x:c>
      <x:c r="M104" s="18" t="inlineStr">
        <x:is>
          <x:t xml:space="preserve"/>
        </x:is>
      </x:c>
    </x:row>
    <x:row r="105">
      <x:c r="A105" s="18" t="inlineStr">
        <x:is>
          <x:t xml:space="preserve">T162</x:t>
        </x:is>
      </x:c>
      <x:c r="B105" s="18" t="inlineStr">
        <x:is>
          <x:t xml:space="preserve">Architecture</x:t>
        </x:is>
      </x:c>
      <x:c r="C105" s="18" t="inlineStr">
        <x:is>
          <x:t xml:space="preserve">Document per-customer Vercel deployment option (premium tier)</x:t>
        </x:is>
      </x:c>
      <x:c r="D105" s="18" t="inlineStr">
        <x:is>
          <x:t xml:space="preserve">For F500 clients demanding even tighter isolation: separate Vercel team per customer. Pricing: $XXk one-time + 30% uplift. Don't build until asked.</x:t>
        </x:is>
      </x:c>
      <x:c r="E105" s="49" t="inlineStr">
        <x:is>
          <x:t xml:space="preserve">P2</x:t>
        </x:is>
      </x:c>
      <x:c r="F105" s="39" t="inlineStr">
        <x:is>
          <x:t xml:space="preserve">2. CLAUDE DOES IT</x:t>
        </x:is>
      </x:c>
      <x:c r="G105" s="18" t="inlineStr">
        <x:is>
          <x:t xml:space="preserve">Anand</x:t>
        </x:is>
      </x:c>
      <x:c r="H105" s="18" t="inlineStr">
        <x:is>
          <x:t xml:space="preserve"/>
        </x:is>
      </x:c>
      <x:c r="I105" s="45" t="inlineStr">
        <x:is>
          <x:t xml:space="preserve">Claude (docs)</x:t>
        </x:is>
      </x:c>
      <x:c r="J105" s="52" t="inlineStr">
        <x:is>
          <x:t xml:space="preserve">$0</x:t>
        </x:is>
      </x:c>
      <x:c r="K105" s="84" t="inlineStr">
        <x:is>
          <x:t xml:space="preserve">Anytime</x:t>
        </x:is>
      </x:c>
      <x:c r="L105" s="44" t="inlineStr">
        <x:is>
          <x:t xml:space="preserve">Not started</x:t>
        </x:is>
      </x:c>
      <x:c r="M105" s="18" t="inlineStr">
        <x:is>
          <x:t xml:space="preserve"/>
        </x:is>
      </x:c>
    </x:row>
    <x:row r="106">
      <x:c r="A106" s="18" t="inlineStr">
        <x:is>
          <x:t xml:space="preserve">T199</x:t>
        </x:is>
      </x:c>
      <x:c r="B106" s="18" t="inlineStr">
        <x:is>
          <x:t xml:space="preserve">Architecture</x:t>
        </x:is>
      </x:c>
      <x:c r="C106" s="18" t="inlineStr">
        <x:is>
          <x:t xml:space="preserve">'Use raw mode' escape hatch (Claude native PDF as last resort with cost warning)</x:t>
        </x:is>
      </x:c>
      <x:c r="D106" s="18" t="inlineStr">
        <x:is>
          <x:t xml:space="preserve">If parser garbles a doc, user can opt into raw mode with explicit cost warning ('this will use ~Xk tokens per chat turn'). Logged as a parser-bug ticket.</x:t>
        </x:is>
      </x:c>
      <x:c r="E106" s="49" t="inlineStr">
        <x:is>
          <x:t xml:space="preserve">P2</x:t>
        </x:is>
      </x:c>
      <x:c r="F106" s="39" t="inlineStr">
        <x:is>
          <x:t xml:space="preserve">2. CLAUDE DOES IT</x:t>
        </x:is>
      </x:c>
      <x:c r="G106" s="18" t="inlineStr">
        <x:is>
          <x:t xml:space="preserve">Anand</x:t>
        </x:is>
      </x:c>
      <x:c r="H106" s="18" t="inlineStr">
        <x:is>
          <x:t xml:space="preserve"/>
        </x:is>
      </x:c>
      <x:c r="I106" s="45" t="inlineStr">
        <x:is>
          <x:t xml:space="preserve">Claude (code)</x:t>
        </x:is>
      </x:c>
      <x:c r="J106" s="52" t="inlineStr">
        <x:is>
          <x:t xml:space="preserve">$0</x:t>
        </x:is>
      </x:c>
      <x:c r="K106" s="84" t="inlineStr">
        <x:is>
          <x:t xml:space="preserve">Anytime</x:t>
        </x:is>
      </x:c>
      <x:c r="L106" s="44" t="inlineStr">
        <x:is>
          <x:t xml:space="preserve">Not started</x:t>
        </x:is>
      </x:c>
      <x:c r="M106" s="18" t="inlineStr">
        <x:is>
          <x:t xml:space="preserve"/>
        </x:is>
      </x:c>
    </x:row>
    <x:row r="107">
      <x:c r="A107" s="18" t="inlineStr">
        <x:is>
          <x:t xml:space="preserve">T045</x:t>
        </x:is>
      </x:c>
      <x:c r="B107" s="18" t="inlineStr">
        <x:is>
          <x:t xml:space="preserve">Architecture</x:t>
        </x:is>
      </x:c>
      <x:c r="C107" s="18" t="inlineStr">
        <x:is>
          <x:t xml:space="preserve">Plan for CMK/BYOK readiness (Azure Key Vault)</x:t>
        </x:is>
      </x:c>
      <x:c r="D107" s="18" t="inlineStr">
        <x:is>
          <x:t xml:space="preserve">Don't build until asked. Know the path.</x:t>
        </x:is>
      </x:c>
      <x:c r="E107" s="46" t="inlineStr">
        <x:is>
          <x:t xml:space="preserve">P3</x:t>
        </x:is>
      </x:c>
      <x:c r="F107" s="39" t="inlineStr">
        <x:is>
          <x:t xml:space="preserve">2. CLAUDE DOES IT</x:t>
        </x:is>
      </x:c>
      <x:c r="G107" s="18" t="inlineStr">
        <x:is>
          <x:t xml:space="preserve">Anand</x:t>
        </x:is>
      </x:c>
      <x:c r="H107" s="18" t="inlineStr">
        <x:is>
          <x:t xml:space="preserve"/>
        </x:is>
      </x:c>
      <x:c r="I107" s="45" t="inlineStr">
        <x:is>
          <x:t xml:space="preserve">Claude (plan doc)</x:t>
        </x:is>
      </x:c>
      <x:c r="J107" s="52" t="inlineStr">
        <x:is>
          <x:t xml:space="preserve">$0 (plan only)</x:t>
        </x:is>
      </x:c>
      <x:c r="K107" s="84" t="inlineStr">
        <x:is>
          <x:t xml:space="preserve">Anytime</x:t>
        </x:is>
      </x:c>
      <x:c r="L107" s="44" t="inlineStr">
        <x:is>
          <x:t xml:space="preserve">Not started</x:t>
        </x:is>
      </x:c>
      <x:c r="M107" s="18" t="inlineStr">
        <x:is>
          <x:t xml:space="preserve"/>
        </x:is>
      </x:c>
    </x:row>
    <x:row r="108">
      <x:c r="A108" s="18" t="inlineStr">
        <x:is>
          <x:t xml:space="preserve">T028</x:t>
        </x:is>
      </x:c>
      <x:c r="B108" s="18" t="inlineStr">
        <x:is>
          <x:t xml:space="preserve">Architecture</x:t>
        </x:is>
      </x:c>
      <x:c r="C108" s="18" t="inlineStr">
        <x:is>
          <x:t xml:space="preserve">Decide deployment model: client-tenant Azure (recommended)</x:t>
        </x:is>
      </x:c>
      <x:c r="D108" s="18" t="inlineStr">
        <x:is>
          <x:t xml:space="preserve">Client owns Azure account/billing. You have scoped contributor role.</x:t>
        </x:is>
      </x:c>
      <x:c r="E108" s="31" t="inlineStr">
        <x:is>
          <x:t xml:space="preserve">P0</x:t>
        </x:is>
      </x:c>
      <x:c r="F108" s="40" t="inlineStr">
        <x:is>
          <x:t xml:space="preserve">3. CLAUDE + YOU</x:t>
        </x:is>
      </x:c>
      <x:c r="G108" s="18" t="inlineStr">
        <x:is>
          <x:t xml:space="preserve">Anand</x:t>
        </x:is>
      </x:c>
      <x:c r="H108" s="18" t="inlineStr">
        <x:is>
          <x:t xml:space="preserve"/>
        </x:is>
      </x:c>
      <x:c r="I108" s="47" t="inlineStr">
        <x:is>
          <x:t xml:space="preserve">Claude + you</x:t>
        </x:is>
      </x:c>
      <x:c r="J108" s="52" t="inlineStr">
        <x:is>
          <x:t xml:space="preserve">$0</x:t>
        </x:is>
      </x:c>
      <x:c r="K108" s="84" t="inlineStr">
        <x:is>
          <x:t xml:space="preserve">Anytime</x:t>
        </x:is>
      </x:c>
      <x:c r="L108" s="44" t="inlineStr">
        <x:is>
          <x:t xml:space="preserve">Not started</x:t>
        </x:is>
      </x:c>
      <x:c r="M108" s="18" t="inlineStr">
        <x:is>
          <x:t xml:space="preserve"/>
        </x:is>
      </x:c>
    </x:row>
    <x:row r="109">
      <x:c r="A109" s="18" t="inlineStr">
        <x:is>
          <x:t xml:space="preserve">T046</x:t>
        </x:is>
      </x:c>
      <x:c r="B109" s="18" t="inlineStr">
        <x:is>
          <x:t xml:space="preserve">Architecture</x:t>
        </x:is>
      </x:c>
      <x:c r="C109" s="18" t="inlineStr">
        <x:is>
          <x:t xml:space="preserve">Document key-person risk + runbook commitment in SOW</x:t>
        </x:is>
      </x:c>
      <x:c r="D109" s="18" t="inlineStr">
        <x:is>
          <x:t xml:space="preserve">Caps your obligation. Plan for second engineer post-conversion.</x:t>
        </x:is>
      </x:c>
      <x:c r="E109" s="32" t="inlineStr">
        <x:is>
          <x:t xml:space="preserve">P1</x:t>
        </x:is>
      </x:c>
      <x:c r="F109" s="40" t="inlineStr">
        <x:is>
          <x:t xml:space="preserve">3. CLAUDE + YOU</x:t>
        </x:is>
      </x:c>
      <x:c r="G109" s="18" t="inlineStr">
        <x:is>
          <x:t xml:space="preserve">Anand</x:t>
        </x:is>
      </x:c>
      <x:c r="H109" s="18" t="inlineStr">
        <x:is>
          <x:t xml:space="preserve"/>
        </x:is>
      </x:c>
      <x:c r="I109" s="47" t="inlineStr">
        <x:is>
          <x:t xml:space="preserve">Claude + you (SOW lang)</x:t>
        </x:is>
      </x:c>
      <x:c r="J109" s="52" t="inlineStr">
        <x:is>
          <x:t xml:space="preserve">$0</x:t>
        </x:is>
      </x:c>
      <x:c r="K109" s="84" t="inlineStr">
        <x:is>
          <x:t xml:space="preserve">Anytime</x:t>
        </x:is>
      </x:c>
      <x:c r="L109" s="44" t="inlineStr">
        <x:is>
          <x:t xml:space="preserve">Not started</x:t>
        </x:is>
      </x:c>
      <x:c r="M109" s="18" t="inlineStr">
        <x:is>
          <x:t xml:space="preserve"/>
        </x:is>
      </x:c>
    </x:row>
    <x:row r="110">
      <x:c r="A110" s="18" t="inlineStr">
        <x:is>
          <x:t xml:space="preserve">T031</x:t>
        </x:is>
      </x:c>
      <x:c r="B110" s="18" t="inlineStr">
        <x:is>
          <x:t xml:space="preserve">Architecture</x:t>
        </x:is>
      </x:c>
      <x:c r="C110" s="18" t="inlineStr">
        <x:is>
          <x:t xml:space="preserve">Run external pen test ($8-15k via Cobalt or Bishop Fox)</x:t>
        </x:is>
      </x:c>
      <x:c r="D110" s="18" t="inlineStr">
        <x:is>
          <x:t xml:space="preserve">F500 will ask for the report. Schedule early — booking is 3-4 weeks out.</x:t>
        </x:is>
      </x:c>
      <x:c r="E110" s="31" t="inlineStr">
        <x:is>
          <x:t xml:space="preserve">P0</x:t>
        </x:is>
      </x:c>
      <x:c r="F110" s="42" t="inlineStr">
        <x:is>
          <x:t xml:space="preserve">5. EXTERNAL</x:t>
        </x:is>
      </x:c>
      <x:c r="G110" s="18" t="inlineStr">
        <x:is>
          <x:t xml:space="preserve">Anand</x:t>
        </x:is>
      </x:c>
      <x:c r="H110" s="18" t="inlineStr">
        <x:is>
          <x:t xml:space="preserve">T029</x:t>
        </x:is>
      </x:c>
      <x:c r="I110" s="48" t="inlineStr">
        <x:is>
          <x:t xml:space="preserve">3rd party: Cobalt/Bishop Fox</x:t>
        </x:is>
      </x:c>
      <x:c r="J110" s="51" t="inlineStr">
        <x:is>
          <x:t xml:space="preserve">$8-15k one-time, annual</x:t>
        </x:is>
      </x:c>
      <x:c r="K110" s="84" t="inlineStr">
        <x:is>
          <x:t xml:space="preserve">Anytime</x:t>
        </x:is>
      </x:c>
      <x:c r="L110" s="44" t="inlineStr">
        <x:is>
          <x:t xml:space="preserve">Not started</x:t>
        </x:is>
      </x:c>
      <x:c r="M110" s="18" t="inlineStr">
        <x:is>
          <x:t xml:space="preserve"/>
        </x:is>
      </x:c>
    </x:row>
    <x:row r="111">
      <x:c r="A111" s="18" t="inlineStr">
        <x:is>
          <x:t xml:space="preserve">T281</x:t>
        </x:is>
      </x:c>
      <x:c r="B111" s="18" t="inlineStr">
        <x:is>
          <x:t xml:space="preserve">Architecture</x:t>
        </x:is>
      </x:c>
      <x:c r="C111" s="18" t="inlineStr">
        <x:is>
          <x:t xml:space="preserve">Decide: should AbarVa build a 'Software Delivery / AI-Led Dev' corpus wave?</x:t>
        </x:is>
      </x:c>
      <x:c r="D111" s="18" t="inlineStr">
        <x:is>
          <x:t xml:space="preserve">6-12 weeks to author. Unlocks CTO-buyer TAM. Differentiates from generic AI platforms. Strategic question for founder, not engineer.</x:t>
        </x:is>
      </x:c>
      <x:c r="E111" s="31" t="inlineStr">
        <x:is>
          <x:t xml:space="preserve">P0</x:t>
        </x:is>
      </x:c>
      <x:c r="F111" s="42" t="inlineStr">
        <x:is>
          <x:t xml:space="preserve">5. EXTERNAL</x:t>
        </x:is>
      </x:c>
      <x:c r="G111" s="18" t="inlineStr">
        <x:is>
          <x:t xml:space="preserve">Anand</x:t>
        </x:is>
      </x:c>
      <x:c r="H111" s="18" t="inlineStr">
        <x:is>
          <x:t xml:space="preserve"/>
        </x:is>
      </x:c>
      <x:c r="I111" s="48" t="inlineStr">
        <x:is>
          <x:t xml:space="preserve">You only (strategic decision)</x:t>
        </x:is>
      </x:c>
      <x:c r="J111" s="52" t="inlineStr">
        <x:is>
          <x:t xml:space="preserve">$0</x:t>
        </x:is>
      </x:c>
      <x:c r="K111" s="84" t="inlineStr">
        <x:is>
          <x:t xml:space="preserve">Anytime</x:t>
        </x:is>
      </x:c>
      <x:c r="L111" s="44" t="inlineStr">
        <x:is>
          <x:t xml:space="preserve">Not started</x:t>
        </x:is>
      </x:c>
      <x:c r="M111" s="18" t="inlineStr">
        <x:is>
          <x:t xml:space="preserve"/>
        </x:is>
      </x:c>
    </x:row>
    <x:row r="112">
      <x:c r="A112" s="18" t="inlineStr">
        <x:is>
          <x:t xml:space="preserve">T038</x:t>
        </x:is>
      </x:c>
      <x:c r="B112" s="18" t="inlineStr">
        <x:is>
          <x:t xml:space="preserve">Architecture</x:t>
        </x:is>
      </x:c>
      <x:c r="C112" s="18" t="inlineStr">
        <x:is>
          <x:t xml:space="preserve">Set weekly maintenance window + release notes cadence</x:t>
        </x:is>
      </x:c>
      <x:c r="D112" s="18" t="inlineStr">
        <x:is>
          <x:t xml:space="preserve">E.g., Sat 8pm ET. Friday release notes even when 'nothing changed'.</x:t>
        </x:is>
      </x:c>
      <x:c r="E112" s="32" t="inlineStr">
        <x:is>
          <x:t xml:space="preserve">P1</x:t>
        </x:is>
      </x:c>
      <x:c r="F112" s="42" t="inlineStr">
        <x:is>
          <x:t xml:space="preserve">5. EXTERNAL</x:t>
        </x:is>
      </x:c>
      <x:c r="G112" s="18" t="inlineStr">
        <x:is>
          <x:t xml:space="preserve">Anand</x:t>
        </x:is>
      </x:c>
      <x:c r="H112" s="18" t="inlineStr">
        <x:is>
          <x:t xml:space="preserve"/>
        </x:is>
      </x:c>
      <x:c r="I112" s="48" t="inlineStr">
        <x:is>
          <x:t xml:space="preserve">You only</x:t>
        </x:is>
      </x:c>
      <x:c r="J112" s="52" t="inlineStr">
        <x:is>
          <x:t xml:space="preserve">$0</x:t>
        </x:is>
      </x:c>
      <x:c r="K112" s="84" t="inlineStr">
        <x:is>
          <x:t xml:space="preserve">Anytime</x:t>
        </x:is>
      </x:c>
      <x:c r="L112" s="44" t="inlineStr">
        <x:is>
          <x:t xml:space="preserve">Not started</x:t>
        </x:is>
      </x:c>
      <x:c r="M112" s="18" t="inlineStr">
        <x:is>
          <x:t xml:space="preserve">Discipline + audit trail</x:t>
        </x:is>
      </x:c>
    </x:row>
    <x:row r="113">
      <x:c r="A113" s="18" t="inlineStr">
        <x:is>
          <x:t xml:space="preserve">T039</x:t>
        </x:is>
      </x:c>
      <x:c r="B113" s="18" t="inlineStr">
        <x:is>
          <x:t xml:space="preserve">Architecture</x:t>
        </x:is>
      </x:c>
      <x:c r="C113" s="18" t="inlineStr">
        <x:is>
          <x:t xml:space="preserve">Run rollback drill — document the runbook</x:t>
        </x:is>
      </x:c>
      <x:c r="D113" s="18" t="inlineStr">
        <x:is>
          <x:t xml:space="preserve">F500 procurement will ask. Do it once before pilot.</x:t>
        </x:is>
      </x:c>
      <x:c r="E113" s="32" t="inlineStr">
        <x:is>
          <x:t xml:space="preserve">P1</x:t>
        </x:is>
      </x:c>
      <x:c r="F113" s="42" t="inlineStr">
        <x:is>
          <x:t xml:space="preserve">5. EXTERNAL</x:t>
        </x:is>
      </x:c>
      <x:c r="G113" s="18" t="inlineStr">
        <x:is>
          <x:t xml:space="preserve">Anand</x:t>
        </x:is>
      </x:c>
      <x:c r="H113" s="18" t="inlineStr">
        <x:is>
          <x:t xml:space="preserve">T029</x:t>
        </x:is>
      </x:c>
      <x:c r="I113" s="48" t="inlineStr">
        <x:is>
          <x:t xml:space="preserve">You only</x:t>
        </x:is>
      </x:c>
      <x:c r="J113" s="52" t="inlineStr">
        <x:is>
          <x:t xml:space="preserve">$0</x:t>
        </x:is>
      </x:c>
      <x:c r="K113" s="84" t="inlineStr">
        <x:is>
          <x:t xml:space="preserve">Anytime</x:t>
        </x:is>
      </x:c>
      <x:c r="L113" s="44" t="inlineStr">
        <x:is>
          <x:t xml:space="preserve">Not started</x:t>
        </x:is>
      </x:c>
      <x:c r="M113" s="18" t="inlineStr">
        <x:is>
          <x:t xml:space="preserve"/>
        </x:is>
      </x:c>
    </x:row>
    <x:row r="114">
      <x:c r="A114" s="18" t="inlineStr">
        <x:is>
          <x:t xml:space="preserve">T163</x:t>
        </x:is>
      </x:c>
      <x:c r="B114" s="18" t="inlineStr">
        <x:is>
          <x:t xml:space="preserve">Architecture</x:t>
        </x:is>
      </x:c>
      <x:c r="C114" s="18" t="inlineStr">
        <x:is>
          <x:t xml:space="preserve">Validate Marketplace + Azure-routed Claude story (no Vercel migration needed)</x:t>
        </x:is>
      </x:c>
      <x:c r="D114" s="18" t="inlineStr">
        <x:is>
          <x:t xml:space="preserve">Confirm with Microsoft: Marketplace listing supports MACC even when SaaS runs on Vercel. Get written confirmation.</x:t>
        </x:is>
      </x:c>
      <x:c r="E114" s="32" t="inlineStr">
        <x:is>
          <x:t xml:space="preserve">P1</x:t>
        </x:is>
      </x:c>
      <x:c r="F114" s="42" t="inlineStr">
        <x:is>
          <x:t xml:space="preserve">5. EXTERNAL</x:t>
        </x:is>
      </x:c>
      <x:c r="G114" s="18" t="inlineStr">
        <x:is>
          <x:t xml:space="preserve">Anand</x:t>
        </x:is>
      </x:c>
      <x:c r="H114" s="18" t="inlineStr">
        <x:is>
          <x:t xml:space="preserve"/>
        </x:is>
      </x:c>
      <x:c r="I114" s="48" t="inlineStr">
        <x:is>
          <x:t xml:space="preserve">You only + Microsoft contact</x:t>
        </x:is>
      </x:c>
      <x:c r="J114" s="52" t="inlineStr">
        <x:is>
          <x:t xml:space="preserve">$0</x:t>
        </x:is>
      </x:c>
      <x:c r="K114" s="84" t="inlineStr">
        <x:is>
          <x:t xml:space="preserve">Anytime</x:t>
        </x:is>
      </x:c>
      <x:c r="L114" s="44" t="inlineStr">
        <x:is>
          <x:t xml:space="preserve">Not started</x:t>
        </x:is>
      </x:c>
      <x:c r="M114" s="18" t="inlineStr">
        <x:is>
          <x:t xml:space="preserve"/>
        </x:is>
      </x:c>
    </x:row>
    <x:row r="115">
      <x:c r="A115" s="18" t="inlineStr">
        <x:is>
          <x:t xml:space="preserve">T002</x:t>
        </x:is>
      </x:c>
      <x:c r="B115" s="18" t="inlineStr">
        <x:is>
          <x:t xml:space="preserve">Business Setup</x:t>
        </x:is>
      </x:c>
      <x:c r="C115" s="18" t="inlineStr">
        <x:is>
          <x:t xml:space="preserve">File 83(b) election within 30 days of incorporation</x:t>
        </x:is>
      </x:c>
      <x:c r="D115" s="18" t="inlineStr">
        <x:is>
          <x:t xml:space="preserve">Miss this and you pay tax on every vest. Atlas/Clerky walk you through it.</x:t>
        </x:is>
      </x:c>
      <x:c r="E115" s="31" t="inlineStr">
        <x:is>
          <x:t xml:space="preserve">P0</x:t>
        </x:is>
      </x:c>
      <x:c r="F115" s="38" t="inlineStr">
        <x:is>
          <x:t xml:space="preserve">1. QUICK WIN</x:t>
        </x:is>
      </x:c>
      <x:c r="G115" s="18" t="inlineStr">
        <x:is>
          <x:t xml:space="preserve">Anand</x:t>
        </x:is>
      </x:c>
      <x:c r="H115" s="18" t="inlineStr">
        <x:is>
          <x:t xml:space="preserve">T001</x:t>
        </x:is>
      </x:c>
      <x:c r="I115" s="43" t="inlineStr">
        <x:is>
          <x:t xml:space="preserve">Self-serve (via Atlas/Clerky)</x:t>
        </x:is>
      </x:c>
      <x:c r="J115" s="52" t="inlineStr">
        <x:is>
          <x:t xml:space="preserve">$0</x:t>
        </x:is>
      </x:c>
      <x:c r="K115" s="82" t="inlineStr">
        <x:is>
          <x:t xml:space="preserve">Pre-Resign</x:t>
        </x:is>
      </x:c>
      <x:c r="L115" s="44" t="inlineStr">
        <x:is>
          <x:t xml:space="preserve">Not started</x:t>
        </x:is>
      </x:c>
      <x:c r="M115" s="18" t="inlineStr">
        <x:is>
          <x:t xml:space="preserve">HARD deadline — IRS will not waive</x:t>
        </x:is>
      </x:c>
    </x:row>
    <x:row r="116">
      <x:c r="A116" s="18" t="inlineStr">
        <x:is>
          <x:t xml:space="preserve">T003</x:t>
        </x:is>
      </x:c>
      <x:c r="B116" s="18" t="inlineStr">
        <x:is>
          <x:t xml:space="preserve">Business Setup</x:t>
        </x:is>
      </x:c>
      <x:c r="C116" s="18" t="inlineStr">
        <x:is>
          <x:t xml:space="preserve">Get EIN + open Mercury or Brex business banking</x:t>
        </x:is>
      </x:c>
      <x:c r="D116" s="18" t="inlineStr">
        <x:is>
          <x:t xml:space="preserve">Same-day after incorporation. Amex business card.</x:t>
        </x:is>
      </x:c>
      <x:c r="E116" s="31" t="inlineStr">
        <x:is>
          <x:t xml:space="preserve">P0</x:t>
        </x:is>
      </x:c>
      <x:c r="F116" s="38" t="inlineStr">
        <x:is>
          <x:t xml:space="preserve">1. QUICK WIN</x:t>
        </x:is>
      </x:c>
      <x:c r="G116" s="18" t="inlineStr">
        <x:is>
          <x:t xml:space="preserve">Anand</x:t>
        </x:is>
      </x:c>
      <x:c r="H116" s="18" t="inlineStr">
        <x:is>
          <x:t xml:space="preserve">T001</x:t>
        </x:is>
      </x:c>
      <x:c r="I116" s="43" t="inlineStr">
        <x:is>
          <x:t xml:space="preserve">Self-serve (auto via Atlas)</x:t>
        </x:is>
      </x:c>
      <x:c r="J116" s="52" t="inlineStr">
        <x:is>
          <x:t xml:space="preserve">$0</x:t>
        </x:is>
      </x:c>
      <x:c r="K116" s="82" t="inlineStr">
        <x:is>
          <x:t xml:space="preserve">Pre-Resign</x:t>
        </x:is>
      </x:c>
      <x:c r="L116" s="44" t="inlineStr">
        <x:is>
          <x:t xml:space="preserve">Not started</x:t>
        </x:is>
      </x:c>
      <x:c r="M116" s="18" t="inlineStr">
        <x:is>
          <x:t xml:space="preserve"/>
        </x:is>
      </x:c>
    </x:row>
    <x:row r="117">
      <x:c r="A117" s="18" t="inlineStr">
        <x:is>
          <x:t xml:space="preserve">T004</x:t>
        </x:is>
      </x:c>
      <x:c r="B117" s="18" t="inlineStr">
        <x:is>
          <x:t xml:space="preserve">Business Setup</x:t>
        </x:is>
      </x:c>
      <x:c r="C117" s="18" t="inlineStr">
        <x:is>
          <x:t xml:space="preserve">Foreign qualification in home state (if not Delaware)</x:t>
        </x:is>
      </x:c>
      <x:c r="D117" s="18" t="inlineStr">
        <x:is>
          <x:t xml:space="preserve">Register your DE C-Corp to do business in the state where you live/work. Required if nexus. ~$100-300.</x:t>
        </x:is>
      </x:c>
      <x:c r="E117" s="31" t="inlineStr">
        <x:is>
          <x:t xml:space="preserve">P0</x:t>
        </x:is>
      </x:c>
      <x:c r="F117" s="38" t="inlineStr">
        <x:is>
          <x:t xml:space="preserve">1. QUICK WIN</x:t>
        </x:is>
      </x:c>
      <x:c r="G117" s="18" t="inlineStr">
        <x:is>
          <x:t xml:space="preserve">Anand</x:t>
        </x:is>
      </x:c>
      <x:c r="H117" s="18" t="inlineStr">
        <x:is>
          <x:t xml:space="preserve">T001</x:t>
        </x:is>
      </x:c>
      <x:c r="I117" s="43" t="inlineStr">
        <x:is>
          <x:t xml:space="preserve">Self-serve</x:t>
        </x:is>
      </x:c>
      <x:c r="J117" s="51" t="inlineStr">
        <x:is>
          <x:t xml:space="preserve">$100-300 one-time</x:t>
        </x:is>
      </x:c>
      <x:c r="K117" s="82" t="inlineStr">
        <x:is>
          <x:t xml:space="preserve">Pre-Resign</x:t>
        </x:is>
      </x:c>
      <x:c r="L117" s="44" t="inlineStr">
        <x:is>
          <x:t xml:space="preserve">Not started</x:t>
        </x:is>
      </x:c>
      <x:c r="M117" s="18" t="inlineStr">
        <x:is>
          <x:t xml:space="preserve">Atlas/Clerky can handle as add-on; or your state's SoS portal</x:t>
        </x:is>
      </x:c>
    </x:row>
    <x:row r="118">
      <x:c r="A118" s="18" t="inlineStr">
        <x:is>
          <x:t xml:space="preserve">T135</x:t>
        </x:is>
      </x:c>
      <x:c r="B118" s="18" t="inlineStr">
        <x:is>
          <x:t xml:space="preserve">Business Setup</x:t>
        </x:is>
      </x:c>
      <x:c r="C118" s="18" t="inlineStr">
        <x:is>
          <x:t xml:space="preserve">Document the C Corp decision (entity choice memo)</x:t>
        </x:is>
      </x:c>
      <x:c r="D118" s="18" t="inlineStr">
        <x:is>
          <x:t xml:space="preserve">DECIDED: Delaware C Corp. 1-page memo: rationale (QSBS, fundraise optionality, F500 procurement, stock options for hires). Reference CPA confirmation. Stored with corp records.</x:t>
        </x:is>
      </x:c>
      <x:c r="E118" s="31" t="inlineStr">
        <x:is>
          <x:t xml:space="preserve">P0</x:t>
        </x:is>
      </x:c>
      <x:c r="F118" s="38" t="inlineStr">
        <x:is>
          <x:t xml:space="preserve">1. QUICK WIN</x:t>
        </x:is>
      </x:c>
      <x:c r="G118" s="18" t="inlineStr">
        <x:is>
          <x:t xml:space="preserve">Anand</x:t>
        </x:is>
      </x:c>
      <x:c r="H118" s="18" t="inlineStr">
        <x:is>
          <x:t xml:space="preserve">T012</x:t>
        </x:is>
      </x:c>
      <x:c r="I118" s="43" t="inlineStr">
        <x:is>
          <x:t xml:space="preserve">Claude (draft)</x:t>
        </x:is>
      </x:c>
      <x:c r="J118" s="52" t="inlineStr">
        <x:is>
          <x:t xml:space="preserve">$0</x:t>
        </x:is>
      </x:c>
      <x:c r="K118" s="84" t="inlineStr">
        <x:is>
          <x:t xml:space="preserve">Anytime</x:t>
        </x:is>
      </x:c>
      <x:c r="L118" s="44" t="inlineStr">
        <x:is>
          <x:t xml:space="preserve">Not started</x:t>
        </x:is>
      </x:c>
      <x:c r="M118" s="18" t="inlineStr">
        <x:is>
          <x:t xml:space="preserve">Decision locked 2026-05-31</x:t>
        </x:is>
      </x:c>
    </x:row>
    <x:row r="119">
      <x:c r="A119" s="18" t="inlineStr">
        <x:is>
          <x:t xml:space="preserve">T009</x:t>
        </x:is>
      </x:c>
      <x:c r="B119" s="18" t="inlineStr">
        <x:is>
          <x:t xml:space="preserve">Business Setup</x:t>
        </x:is>
      </x:c>
      <x:c r="C119" s="18" t="inlineStr">
        <x:is>
          <x:t xml:space="preserve">Lock domains: abarva.com, .ai, .io</x:t>
        </x:is>
      </x:c>
      <x:c r="D119" s="18" t="inlineStr">
        <x:is>
          <x:t xml:space="preserve">Defensive purchases.</x:t>
        </x:is>
      </x:c>
      <x:c r="E119" s="32" t="inlineStr">
        <x:is>
          <x:t xml:space="preserve">P1</x:t>
        </x:is>
      </x:c>
      <x:c r="F119" s="38" t="inlineStr">
        <x:is>
          <x:t xml:space="preserve">1. QUICK WIN</x:t>
        </x:is>
      </x:c>
      <x:c r="G119" s="18" t="inlineStr">
        <x:is>
          <x:t xml:space="preserve">Anand</x:t>
        </x:is>
      </x:c>
      <x:c r="H119" s="18" t="inlineStr">
        <x:is>
          <x:t xml:space="preserve"/>
        </x:is>
      </x:c>
      <x:c r="I119" s="43" t="inlineStr">
        <x:is>
          <x:t xml:space="preserve">Self-serve (Namecheap)</x:t>
        </x:is>
      </x:c>
      <x:c r="J119" s="51" t="inlineStr">
        <x:is>
          <x:t xml:space="preserve">$30-50/yr</x:t>
        </x:is>
      </x:c>
      <x:c r="K119" s="82" t="inlineStr">
        <x:is>
          <x:t xml:space="preserve">Pre-Resign</x:t>
        </x:is>
      </x:c>
      <x:c r="L119" s="44" t="inlineStr">
        <x:is>
          <x:t xml:space="preserve">Not started</x:t>
        </x:is>
      </x:c>
      <x:c r="M119" s="18" t="inlineStr">
        <x:is>
          <x:t xml:space="preserve"/>
        </x:is>
      </x:c>
    </x:row>
    <x:row r="120">
      <x:c r="A120" s="18" t="inlineStr">
        <x:is>
          <x:t xml:space="preserve">T008</x:t>
        </x:is>
      </x:c>
      <x:c r="B120" s="18" t="inlineStr">
        <x:is>
          <x:t xml:space="preserve">Business Setup</x:t>
        </x:is>
      </x:c>
      <x:c r="C120" s="18" t="inlineStr">
        <x:is>
          <x:t xml:space="preserve">Trademark 'AbarVa' with USPTO</x:t>
        </x:is>
      </x:c>
      <x:c r="D120" s="18" t="inlineStr">
        <x:is>
          <x:t xml:space="preserve">~$350 filing fee. Defensive.</x:t>
        </x:is>
      </x:c>
      <x:c r="E120" s="49" t="inlineStr">
        <x:is>
          <x:t xml:space="preserve">P2</x:t>
        </x:is>
      </x:c>
      <x:c r="F120" s="38" t="inlineStr">
        <x:is>
          <x:t xml:space="preserve">1. QUICK WIN</x:t>
        </x:is>
      </x:c>
      <x:c r="G120" s="18" t="inlineStr">
        <x:is>
          <x:t xml:space="preserve">Anand</x:t>
        </x:is>
      </x:c>
      <x:c r="H120" s="18" t="inlineStr">
        <x:is>
          <x:t xml:space="preserve">T001</x:t>
        </x:is>
      </x:c>
      <x:c r="I120" s="43" t="inlineStr">
        <x:is>
          <x:t xml:space="preserve">Self-serve (USPTO TEAS) + Claude</x:t>
        </x:is>
      </x:c>
      <x:c r="J120" s="51" t="inlineStr">
        <x:is>
          <x:t xml:space="preserve">$350 one-time (USPTO)</x:t>
        </x:is>
      </x:c>
      <x:c r="K120" s="83" t="inlineStr">
        <x:is>
          <x:t xml:space="preserve">Post-Resign</x:t>
        </x:is>
      </x:c>
      <x:c r="L120" s="44" t="inlineStr">
        <x:is>
          <x:t xml:space="preserve">Not started</x:t>
        </x:is>
      </x:c>
      <x:c r="M120" s="18" t="inlineStr">
        <x:is>
          <x:t xml:space="preserve"/>
        </x:is>
      </x:c>
    </x:row>
    <x:row r="121">
      <x:c r="A121" s="18" t="inlineStr">
        <x:is>
          <x:t xml:space="preserve">T005</x:t>
        </x:is>
      </x:c>
      <x:c r="B121" s="18" t="inlineStr">
        <x:is>
          <x:t xml:space="preserve">Business Setup</x:t>
        </x:is>
      </x:c>
      <x:c r="C121" s="18" t="inlineStr">
        <x:is>
          <x:t xml:space="preserve">Founder employment agreement + IP assignment to AbarVa</x:t>
        </x:is>
      </x:c>
      <x:c r="D121" s="18" t="inlineStr">
        <x:is>
          <x:t xml:space="preserve">Assigns all pre-existing AbarVa IP to the company. Cleans up diligence.</x:t>
        </x:is>
      </x:c>
      <x:c r="E121" s="31" t="inlineStr">
        <x:is>
          <x:t xml:space="preserve">P0</x:t>
        </x:is>
      </x:c>
      <x:c r="F121" s="41" t="inlineStr">
        <x:is>
          <x:t xml:space="preserve">4. CLAUDE + PRO</x:t>
        </x:is>
      </x:c>
      <x:c r="G121" s="18" t="inlineStr">
        <x:is>
          <x:t xml:space="preserve">Anand</x:t>
        </x:is>
      </x:c>
      <x:c r="H121" s="18" t="inlineStr">
        <x:is>
          <x:t xml:space="preserve">T001</x:t>
        </x:is>
      </x:c>
      <x:c r="I121" s="50" t="inlineStr">
        <x:is>
          <x:t xml:space="preserve">Claude + lawyer</x:t>
        </x:is>
      </x:c>
      <x:c r="J121" s="51" t="inlineStr">
        <x:is>
          <x:t xml:space="preserve">$500 (lawyer)</x:t>
        </x:is>
      </x:c>
      <x:c r="K121" s="82" t="inlineStr">
        <x:is>
          <x:t xml:space="preserve">Pre-Resign</x:t>
        </x:is>
      </x:c>
      <x:c r="L121" s="44" t="inlineStr">
        <x:is>
          <x:t xml:space="preserve">Not started</x:t>
        </x:is>
      </x:c>
      <x:c r="M121" s="18" t="inlineStr">
        <x:is>
          <x:t xml:space="preserve">Template via Atlas/Clerky</x:t>
        </x:is>
      </x:c>
    </x:row>
    <x:row r="122">
      <x:c r="A122" s="18" t="inlineStr">
        <x:is>
          <x:t xml:space="preserve">T010</x:t>
        </x:is>
      </x:c>
      <x:c r="B122" s="18" t="inlineStr">
        <x:is>
          <x:t xml:space="preserve">Business Setup</x:t>
        </x:is>
      </x:c>
      <x:c r="C122" s="18" t="inlineStr">
        <x:is>
          <x:t xml:space="preserve">Publish Privacy Policy, ToS, Acceptable Use Policy</x:t>
        </x:is>
      </x:c>
      <x:c r="D122" s="18" t="inlineStr">
        <x:is>
          <x:t xml:space="preserve">Termly/Iubenda starter then lawyer review. Required for security review.</x:t>
        </x:is>
      </x:c>
      <x:c r="E122" s="32" t="inlineStr">
        <x:is>
          <x:t xml:space="preserve">P1</x:t>
        </x:is>
      </x:c>
      <x:c r="F122" s="41" t="inlineStr">
        <x:is>
          <x:t xml:space="preserve">4. CLAUDE + PRO</x:t>
        </x:is>
      </x:c>
      <x:c r="G122" s="18" t="inlineStr">
        <x:is>
          <x:t xml:space="preserve">Anand</x:t>
        </x:is>
      </x:c>
      <x:c r="H122" s="18" t="inlineStr">
        <x:is>
          <x:t xml:space="preserve"/>
        </x:is>
      </x:c>
      <x:c r="I122" s="50" t="inlineStr">
        <x:is>
          <x:t xml:space="preserve">Claude + lawyer</x:t>
        </x:is>
      </x:c>
      <x:c r="J122" s="51" t="inlineStr">
        <x:is>
          <x:t xml:space="preserve">$500 (lawyer review)</x:t>
        </x:is>
      </x:c>
      <x:c r="K122" s="83" t="inlineStr">
        <x:is>
          <x:t xml:space="preserve">Post-Resign</x:t>
        </x:is>
      </x:c>
      <x:c r="L122" s="44" t="inlineStr">
        <x:is>
          <x:t xml:space="preserve">Not started</x:t>
        </x:is>
      </x:c>
      <x:c r="M122" s="18" t="inlineStr">
        <x:is>
          <x:t xml:space="preserve"/>
        </x:is>
      </x:c>
    </x:row>
    <x:row r="123">
      <x:c r="A123" s="18" t="inlineStr">
        <x:is>
          <x:t xml:space="preserve">T001</x:t>
        </x:is>
      </x:c>
      <x:c r="B123" s="18" t="inlineStr">
        <x:is>
          <x:t xml:space="preserve">Business Setup</x:t>
        </x:is>
      </x:c>
      <x:c r="C123" s="18" t="inlineStr">
        <x:is>
          <x:t xml:space="preserve">Incorporate AbarVa (Delaware C-Corp)</x:t>
        </x:is>
      </x:c>
      <x:c r="D123" s="18" t="inlineStr">
        <x:is>
          <x:t xml:space="preserve">Use Stripe Atlas (~$500) or Clerky (~$800). DE C-Corp keeps VC option open.</x:t>
        </x:is>
      </x:c>
      <x:c r="E123" s="31" t="inlineStr">
        <x:is>
          <x:t xml:space="preserve">P0</x:t>
        </x:is>
      </x:c>
      <x:c r="F123" s="42" t="inlineStr">
        <x:is>
          <x:t xml:space="preserve">5. EXTERNAL</x:t>
        </x:is>
      </x:c>
      <x:c r="G123" s="18" t="inlineStr">
        <x:is>
          <x:t xml:space="preserve">Anand</x:t>
        </x:is>
      </x:c>
      <x:c r="H123" s="18" t="inlineStr">
        <x:is>
          <x:t xml:space="preserve">T012</x:t>
        </x:is>
      </x:c>
      <x:c r="I123" s="48" t="inlineStr">
        <x:is>
          <x:t xml:space="preserve">3rd party: Atlas/Clerky</x:t>
        </x:is>
      </x:c>
      <x:c r="J123" s="51" t="inlineStr">
        <x:is>
          <x:t xml:space="preserve">$500 one-time (Atlas)</x:t>
        </x:is>
      </x:c>
      <x:c r="K123" s="82" t="inlineStr">
        <x:is>
          <x:t xml:space="preserve">Pre-Resign</x:t>
        </x:is>
      </x:c>
      <x:c r="L123" s="44" t="inlineStr">
        <x:is>
          <x:t xml:space="preserve">Not started</x:t>
        </x:is>
      </x:c>
      <x:c r="M123" s="18" t="inlineStr">
        <x:is>
          <x:t xml:space="preserve">Do BEFORE signing any client paper</x:t>
        </x:is>
      </x:c>
    </x:row>
    <x:row r="124">
      <x:c r="A124" s="18" t="inlineStr">
        <x:is>
          <x:t xml:space="preserve">T006</x:t>
        </x:is>
      </x:c>
      <x:c r="B124" s="18" t="inlineStr">
        <x:is>
          <x:t xml:space="preserve">Business Setup</x:t>
        </x:is>
      </x:c>
      <x:c r="C124" s="18" t="inlineStr">
        <x:is>
          <x:t xml:space="preserve">Engage tech lawyer for MSA/SOW template + first-deal review</x:t>
        </x:is>
      </x:c>
      <x:c r="D124" s="18" t="inlineStr">
        <x:is>
          <x:t xml:space="preserve">Cooley GO, Gunderson, or solo via Lawtrades. ~$5-10k all-in.</x:t>
        </x:is>
      </x:c>
      <x:c r="E124" s="31" t="inlineStr">
        <x:is>
          <x:t xml:space="preserve">P0</x:t>
        </x:is>
      </x:c>
      <x:c r="F124" s="42" t="inlineStr">
        <x:is>
          <x:t xml:space="preserve">5. EXTERNAL</x:t>
        </x:is>
      </x:c>
      <x:c r="G124" s="18" t="inlineStr">
        <x:is>
          <x:t xml:space="preserve">Anand</x:t>
        </x:is>
      </x:c>
      <x:c r="H124" s="18" t="inlineStr">
        <x:is>
          <x:t xml:space="preserve"/>
        </x:is>
      </x:c>
      <x:c r="I124" s="48" t="inlineStr">
        <x:is>
          <x:t xml:space="preserve">You only</x:t>
        </x:is>
      </x:c>
      <x:c r="J124" s="51" t="inlineStr">
        <x:is>
          <x:t xml:space="preserve">$5-10k initial</x:t>
        </x:is>
      </x:c>
      <x:c r="K124" s="82" t="inlineStr">
        <x:is>
          <x:t xml:space="preserve">Pre-Resign</x:t>
        </x:is>
      </x:c>
      <x:c r="L124" s="44" t="inlineStr">
        <x:is>
          <x:t xml:space="preserve">Not started</x:t>
        </x:is>
      </x:c>
      <x:c r="M124" s="18" t="inlineStr">
        <x:is>
          <x:t xml:space="preserve">Cheapest insurance you'll ever buy</x:t>
        </x:is>
      </x:c>
    </x:row>
    <x:row r="125">
      <x:c r="A125" s="18" t="inlineStr">
        <x:is>
          <x:t xml:space="preserve">T007</x:t>
        </x:is>
      </x:c>
      <x:c r="B125" s="18" t="inlineStr">
        <x:is>
          <x:t xml:space="preserve">Business Setup</x:t>
        </x:is>
      </x:c>
      <x:c r="C125" s="18" t="inlineStr">
        <x:is>
          <x:t xml:space="preserve">Quote + bind cyber/E&amp;O + general liability insurance</x:t>
        </x:is>
      </x:c>
      <x:c r="D125" s="18" t="inlineStr">
        <x:is>
          <x:t xml:space="preserve">Vouch / Founder Shield / Embroker. $2-5M each. Bind 1-2 weeks BEFORE signing.</x:t>
        </x:is>
      </x:c>
      <x:c r="E125" s="31" t="inlineStr">
        <x:is>
          <x:t xml:space="preserve">P0</x:t>
        </x:is>
      </x:c>
      <x:c r="F125" s="42" t="inlineStr">
        <x:is>
          <x:t xml:space="preserve">5. EXTERNAL</x:t>
        </x:is>
      </x:c>
      <x:c r="G125" s="18" t="inlineStr">
        <x:is>
          <x:t xml:space="preserve">Anand</x:t>
        </x:is>
      </x:c>
      <x:c r="H125" s="18" t="inlineStr">
        <x:is>
          <x:t xml:space="preserve">T001</x:t>
        </x:is>
      </x:c>
      <x:c r="I125" s="48" t="inlineStr">
        <x:is>
          <x:t xml:space="preserve">3rd party: Vouch/Embroker</x:t>
        </x:is>
      </x:c>
      <x:c r="J125" s="51" t="inlineStr">
        <x:is>
          <x:t xml:space="preserve">$3-8k/yr</x:t>
        </x:is>
      </x:c>
      <x:c r="K125" s="82" t="inlineStr">
        <x:is>
          <x:t xml:space="preserve">Pre-Resign</x:t>
        </x:is>
      </x:c>
      <x:c r="L125" s="44" t="inlineStr">
        <x:is>
          <x:t xml:space="preserve">Not started</x:t>
        </x:is>
      </x:c>
      <x:c r="M125" s="18" t="inlineStr">
        <x:is>
          <x:t xml:space="preserve">Underwriting takes time</x:t>
        </x:is>
      </x:c>
    </x:row>
    <x:row r="126">
      <x:c r="A126" s="18" t="inlineStr">
        <x:is>
          <x:t xml:space="preserve">T012</x:t>
        </x:is>
      </x:c>
      <x:c r="B126" s="18" t="inlineStr">
        <x:is>
          <x:t xml:space="preserve">Business Setup</x:t>
        </x:is>
      </x:c>
      <x:c r="C126" s="18" t="inlineStr">
        <x:is>
          <x:t xml:space="preserve">CPA pre-incorporation consult: S-elect timing + comp split + home state</x:t>
        </x:is>
      </x:c>
      <x:c r="D126" s="18" t="inlineStr">
        <x:is>
          <x:t xml:space="preserve">DE C Corp is decided. CPA models: S-Corp election timing for early low-profit years, salary vs distribution split, home-state nexus tax. ~1hr consult.</x:t>
        </x:is>
      </x:c>
      <x:c r="E126" s="31" t="inlineStr">
        <x:is>
          <x:t xml:space="preserve">P0</x:t>
        </x:is>
      </x:c>
      <x:c r="F126" s="42" t="inlineStr">
        <x:is>
          <x:t xml:space="preserve">5. EXTERNAL</x:t>
        </x:is>
      </x:c>
      <x:c r="G126" s="18" t="inlineStr">
        <x:is>
          <x:t xml:space="preserve">Anand</x:t>
        </x:is>
      </x:c>
      <x:c r="H126" s="18" t="inlineStr">
        <x:is>
          <x:t xml:space="preserve">T001</x:t>
        </x:is>
      </x:c>
      <x:c r="I126" s="48" t="inlineStr">
        <x:is>
          <x:t xml:space="preserve">3rd party</x:t>
        </x:is>
      </x:c>
      <x:c r="J126" s="51" t="inlineStr">
        <x:is>
          <x:t xml:space="preserve">$300-500 one-time consult</x:t>
        </x:is>
      </x:c>
      <x:c r="K126" s="82" t="inlineStr">
        <x:is>
          <x:t xml:space="preserve">Pre-Resign</x:t>
        </x:is>
      </x:c>
      <x:c r="L126" s="44" t="inlineStr">
        <x:is>
          <x:t xml:space="preserve">Not started</x:t>
        </x:is>
      </x:c>
      <x:c r="M126" s="18" t="inlineStr">
        <x:is>
          <x:t xml:space="preserve">Entity already chosen; optimization-only consult</x:t>
        </x:is>
      </x:c>
    </x:row>
    <x:row r="127">
      <x:c r="A127" s="18" t="inlineStr">
        <x:is>
          <x:t xml:space="preserve">T013</x:t>
        </x:is>
      </x:c>
      <x:c r="B127" s="18" t="inlineStr">
        <x:is>
          <x:t xml:space="preserve">Business Setup</x:t>
        </x:is>
      </x:c>
      <x:c r="C127" s="18" t="inlineStr">
        <x:is>
          <x:t xml:space="preserve">Start SOC 2 Type 1 with Vanta or Drata</x:t>
        </x:is>
      </x:c>
      <x:c r="D127" s="18" t="inlineStr">
        <x:is>
          <x:t xml:space="preserve">~$15-25k/yr platform + $10-20k auditor. ~6-8 weeks to Type 1.</x:t>
        </x:is>
      </x:c>
      <x:c r="E127" s="31" t="inlineStr">
        <x:is>
          <x:t xml:space="preserve">P0</x:t>
        </x:is>
      </x:c>
      <x:c r="F127" s="42" t="inlineStr">
        <x:is>
          <x:t xml:space="preserve">5. EXTERNAL</x:t>
        </x:is>
      </x:c>
      <x:c r="G127" s="18" t="inlineStr">
        <x:is>
          <x:t xml:space="preserve">Anand</x:t>
        </x:is>
      </x:c>
      <x:c r="H127" s="18" t="inlineStr">
        <x:is>
          <x:t xml:space="preserve">T001</x:t>
        </x:is>
      </x:c>
      <x:c r="I127" s="48" t="inlineStr">
        <x:is>
          <x:t xml:space="preserve">3rd party: Vanta/Drata</x:t>
        </x:is>
      </x:c>
      <x:c r="J127" s="51" t="inlineStr">
        <x:is>
          <x:t xml:space="preserve">$15-25k/yr (Vanta) + $10-20k (auditor); discount avail</x:t>
        </x:is>
      </x:c>
      <x:c r="K127" s="82" t="inlineStr">
        <x:is>
          <x:t xml:space="preserve">Pre-Resign</x:t>
        </x:is>
      </x:c>
      <x:c r="L127" s="44" t="inlineStr">
        <x:is>
          <x:t xml:space="preserve">Not started</x:t>
        </x:is>
      </x:c>
      <x:c r="M127" s="18" t="inlineStr">
        <x:is>
          <x:t xml:space="preserve">Type 1 'in progress' usually OK for pilot signing</x:t>
        </x:is>
      </x:c>
    </x:row>
    <x:row r="128">
      <x:c r="A128" s="18" t="inlineStr">
        <x:is>
          <x:t xml:space="preserve">T011</x:t>
        </x:is>
      </x:c>
      <x:c r="B128" s="18" t="inlineStr">
        <x:is>
          <x:t xml:space="preserve">Business Setup</x:t>
        </x:is>
      </x:c>
      <x:c r="C128" s="18" t="inlineStr">
        <x:is>
          <x:t xml:space="preserve">Set up bookkeeping (Pilot.com or Bench)</x:t>
        </x:is>
      </x:c>
      <x:c r="D128" s="18" t="inlineStr">
        <x:is>
          <x:t xml:space="preserve">$300-600/mo. Don't DIY books once you're invoicing $300k+.</x:t>
        </x:is>
      </x:c>
      <x:c r="E128" s="32" t="inlineStr">
        <x:is>
          <x:t xml:space="preserve">P1</x:t>
        </x:is>
      </x:c>
      <x:c r="F128" s="42" t="inlineStr">
        <x:is>
          <x:t xml:space="preserve">5. EXTERNAL</x:t>
        </x:is>
      </x:c>
      <x:c r="G128" s="18" t="inlineStr">
        <x:is>
          <x:t xml:space="preserve">Anand</x:t>
        </x:is>
      </x:c>
      <x:c r="H128" s="18" t="inlineStr">
        <x:is>
          <x:t xml:space="preserve">T001</x:t>
        </x:is>
      </x:c>
      <x:c r="I128" s="48" t="inlineStr">
        <x:is>
          <x:t xml:space="preserve">3rd party: Pilot/Bench</x:t>
        </x:is>
      </x:c>
      <x:c r="J128" s="51" t="inlineStr">
        <x:is>
          <x:t xml:space="preserve">$300-600/mo</x:t>
        </x:is>
      </x:c>
      <x:c r="K128" s="82" t="inlineStr">
        <x:is>
          <x:t xml:space="preserve">Pre-Resign</x:t>
        </x:is>
      </x:c>
      <x:c r="L128" s="44" t="inlineStr">
        <x:is>
          <x:t xml:space="preserve">Not started</x:t>
        </x:is>
      </x:c>
      <x:c r="M128" s="18" t="inlineStr">
        <x:is>
          <x:t xml:space="preserve"/>
        </x:is>
      </x:c>
    </x:row>
    <x:row r="129">
      <x:c r="A129" s="18" t="inlineStr">
        <x:is>
          <x:t xml:space="preserve">T014</x:t>
        </x:is>
      </x:c>
      <x:c r="B129" s="18" t="inlineStr">
        <x:is>
          <x:t xml:space="preserve">Business Setup</x:t>
        </x:is>
      </x:c>
      <x:c r="C129" s="18" t="inlineStr">
        <x:is>
          <x:t xml:space="preserve">Schedule SOC 2 Type 2 observation start</x:t>
        </x:is>
      </x:c>
      <x:c r="D129" s="18" t="inlineStr">
        <x:is>
          <x:t xml:space="preserve">3-6 month observation. Start clock so done by month 9 of year-1.</x:t>
        </x:is>
      </x:c>
      <x:c r="E129" s="32" t="inlineStr">
        <x:is>
          <x:t xml:space="preserve">P1</x:t>
        </x:is>
      </x:c>
      <x:c r="F129" s="42" t="inlineStr">
        <x:is>
          <x:t xml:space="preserve">5. EXTERNAL</x:t>
        </x:is>
      </x:c>
      <x:c r="G129" s="18" t="inlineStr">
        <x:is>
          <x:t xml:space="preserve">Anand</x:t>
        </x:is>
      </x:c>
      <x:c r="H129" s="18" t="inlineStr">
        <x:is>
          <x:t xml:space="preserve">T013</x:t>
        </x:is>
      </x:c>
      <x:c r="I129" s="48" t="inlineStr">
        <x:is>
          <x:t xml:space="preserve">3rd party: Vanta/Drata</x:t>
        </x:is>
      </x:c>
      <x:c r="J129" s="51" t="inlineStr">
        <x:is>
          <x:t xml:space="preserve">Included in Vanta sub above</x:t>
        </x:is>
      </x:c>
      <x:c r="K129" s="82" t="inlineStr">
        <x:is>
          <x:t xml:space="preserve">Pre-Resign</x:t>
        </x:is>
      </x:c>
      <x:c r="L129" s="44" t="inlineStr">
        <x:is>
          <x:t xml:space="preserve">Not started</x:t>
        </x:is>
      </x:c>
      <x:c r="M129" s="18" t="inlineStr">
        <x:is>
          <x:t xml:space="preserve"/>
        </x:is>
      </x:c>
    </x:row>
    <x:row r="130">
      <x:c r="A130" s="18" t="inlineStr">
        <x:is>
          <x:t xml:space="preserve">T259</x:t>
        </x:is>
      </x:c>
      <x:c r="B130" s="18" t="inlineStr">
        <x:is>
          <x:t xml:space="preserve">Commercial</x:t>
        </x:is>
      </x:c>
      <x:c r="C130" s="18" t="inlineStr">
        <x:is>
          <x:t xml:space="preserve">Update pricing: 10% founder time at $425/hr (was 15% at $375)</x:t>
        </x:is>
      </x:c>
      <x:c r="D130" s="18" t="inlineStr">
        <x:is>
          <x:t xml:space="preserve">Reflected in Pricing sheet. Pilot $30k included; Year-1 $95k. Re-sellable as billable change-orders at $425/hr after concession.</x:t>
        </x:is>
      </x:c>
      <x:c r="E130" s="31" t="inlineStr">
        <x:is>
          <x:t xml:space="preserve">P0</x:t>
        </x:is>
      </x:c>
      <x:c r="F130" s="38" t="inlineStr">
        <x:is>
          <x:t xml:space="preserve">1. QUICK WIN</x:t>
        </x:is>
      </x:c>
      <x:c r="G130" s="18" t="inlineStr">
        <x:is>
          <x:t xml:space="preserve">Anand</x:t>
        </x:is>
      </x:c>
      <x:c r="H130" s="18" t="inlineStr">
        <x:is>
          <x:t xml:space="preserve"/>
        </x:is>
      </x:c>
      <x:c r="I130" s="43" t="inlineStr">
        <x:is>
          <x:t xml:space="preserve">Self-serve (already done in workbook)</x:t>
        </x:is>
      </x:c>
      <x:c r="J130" s="52" t="inlineStr">
        <x:is>
          <x:t xml:space="preserve">$0</x:t>
        </x:is>
      </x:c>
      <x:c r="K130" s="84" t="inlineStr">
        <x:is>
          <x:t xml:space="preserve">Anytime</x:t>
        </x:is>
      </x:c>
      <x:c r="L130" s="44" t="inlineStr">
        <x:is>
          <x:t xml:space="preserve">Not started</x:t>
        </x:is>
      </x:c>
      <x:c r="M130" s="18" t="inlineStr">
        <x:is>
          <x:t xml:space="preserve"/>
        </x:is>
      </x:c>
    </x:row>
    <x:row r="131">
      <x:c r="A131" s="18" t="inlineStr">
        <x:is>
          <x:t xml:space="preserve">T056</x:t>
        </x:is>
      </x:c>
      <x:c r="B131" s="18" t="inlineStr">
        <x:is>
          <x:t xml:space="preserve">Commercial</x:t>
        </x:is>
      </x:c>
      <x:c r="C131" s="18" t="inlineStr">
        <x:is>
          <x:t xml:space="preserve">Lock pricing model — see Pricing tab</x:t>
        </x:is>
      </x:c>
      <x:c r="D131" s="18" t="inlineStr">
        <x:is>
          <x:t xml:space="preserve">Pilot $300k / Year-1 $75k/mo + Source add-on + token cap + founder time tracking.</x:t>
        </x:is>
      </x:c>
      <x:c r="E131" s="31" t="inlineStr">
        <x:is>
          <x:t xml:space="preserve">P0</x:t>
        </x:is>
      </x:c>
      <x:c r="F131" s="39" t="inlineStr">
        <x:is>
          <x:t xml:space="preserve">2. CLAUDE DOES IT</x:t>
        </x:is>
      </x:c>
      <x:c r="G131" s="18" t="inlineStr">
        <x:is>
          <x:t xml:space="preserve">Anand</x:t>
        </x:is>
      </x:c>
      <x:c r="H131" s="18" t="inlineStr">
        <x:is>
          <x:t xml:space="preserve"/>
        </x:is>
      </x:c>
      <x:c r="I131" s="45" t="inlineStr">
        <x:is>
          <x:t xml:space="preserve">Claude (Pricing sheet)</x:t>
        </x:is>
      </x:c>
      <x:c r="J131" s="52" t="inlineStr">
        <x:is>
          <x:t xml:space="preserve">$0</x:t>
        </x:is>
      </x:c>
      <x:c r="K131" s="82" t="inlineStr">
        <x:is>
          <x:t xml:space="preserve">Pre-Resign</x:t>
        </x:is>
      </x:c>
      <x:c r="L131" s="44" t="inlineStr">
        <x:is>
          <x:t xml:space="preserve">Not started</x:t>
        </x:is>
      </x:c>
      <x:c r="M131" s="18" t="inlineStr">
        <x:is>
          <x:t xml:space="preserve"/>
        </x:is>
      </x:c>
    </x:row>
    <x:row r="132">
      <x:c r="A132" s="18" t="inlineStr">
        <x:is>
          <x:t xml:space="preserve">T060</x:t>
        </x:is>
      </x:c>
      <x:c r="B132" s="18" t="inlineStr">
        <x:is>
          <x:t xml:space="preserve">Commercial</x:t>
        </x:is>
      </x:c>
      <x:c r="C132" s="18" t="inlineStr">
        <x:is>
          <x:t xml:space="preserve">Frame founder-time investment ($375/hr × 15% free)</x:t>
        </x:is>
      </x:c>
      <x:c r="D132" s="18" t="inlineStr">
        <x:is>
          <x:t xml:space="preserve">Track every hour. Show on weekly invoice as 'free partnership investment'.</x:t>
        </x:is>
      </x:c>
      <x:c r="E132" s="32" t="inlineStr">
        <x:is>
          <x:t xml:space="preserve">P1</x:t>
        </x:is>
      </x:c>
      <x:c r="F132" s="39" t="inlineStr">
        <x:is>
          <x:t xml:space="preserve">2. CLAUDE DOES IT</x:t>
        </x:is>
      </x:c>
      <x:c r="G132" s="18" t="inlineStr">
        <x:is>
          <x:t xml:space="preserve">Anand</x:t>
        </x:is>
      </x:c>
      <x:c r="H132" s="18" t="inlineStr">
        <x:is>
          <x:t xml:space="preserve"/>
        </x:is>
      </x:c>
      <x:c r="I132" s="45" t="inlineStr">
        <x:is>
          <x:t xml:space="preserve">Claude (framing)</x:t>
        </x:is>
      </x:c>
      <x:c r="J132" s="52" t="inlineStr">
        <x:is>
          <x:t xml:space="preserve">$0</x:t>
        </x:is>
      </x:c>
      <x:c r="K132" s="84" t="inlineStr">
        <x:is>
          <x:t xml:space="preserve">Anytime</x:t>
        </x:is>
      </x:c>
      <x:c r="L132" s="44" t="inlineStr">
        <x:is>
          <x:t xml:space="preserve">Not started</x:t>
        </x:is>
      </x:c>
      <x:c r="M132" s="18" t="inlineStr">
        <x:is>
          <x:t xml:space="preserve"/>
        </x:is>
      </x:c>
    </x:row>
    <x:row r="133">
      <x:c r="A133" s="18" t="inlineStr">
        <x:is>
          <x:t xml:space="preserve">T057</x:t>
        </x:is>
      </x:c>
      <x:c r="B133" s="18" t="inlineStr">
        <x:is>
          <x:t xml:space="preserve">Commercial</x:t>
        </x:is>
      </x:c>
      <x:c r="C133" s="18" t="inlineStr">
        <x:is>
          <x:t xml:space="preserve">Decide user pricing — recommend tiers not per-user</x:t>
        </x:is>
      </x:c>
      <x:c r="D133" s="18" t="inlineStr">
        <x:is>
          <x:t xml:space="preserve">Up to 25 users included; 25-100 +$15k/mo; 100+ enterprise. Avoid $25/user.</x:t>
        </x:is>
      </x:c>
      <x:c r="E133" s="31" t="inlineStr">
        <x:is>
          <x:t xml:space="preserve">P0</x:t>
        </x:is>
      </x:c>
      <x:c r="F133" s="40" t="inlineStr">
        <x:is>
          <x:t xml:space="preserve">3. CLAUDE + YOU</x:t>
        </x:is>
      </x:c>
      <x:c r="G133" s="18" t="inlineStr">
        <x:is>
          <x:t xml:space="preserve">Anand</x:t>
        </x:is>
      </x:c>
      <x:c r="H133" s="18" t="inlineStr">
        <x:is>
          <x:t xml:space="preserve"/>
        </x:is>
      </x:c>
      <x:c r="I133" s="47" t="inlineStr">
        <x:is>
          <x:t xml:space="preserve">Claude + you</x:t>
        </x:is>
      </x:c>
      <x:c r="J133" s="52" t="inlineStr">
        <x:is>
          <x:t xml:space="preserve">$0</x:t>
        </x:is>
      </x:c>
      <x:c r="K133" s="84" t="inlineStr">
        <x:is>
          <x:t xml:space="preserve">Anytime</x:t>
        </x:is>
      </x:c>
      <x:c r="L133" s="44" t="inlineStr">
        <x:is>
          <x:t xml:space="preserve">Not started</x:t>
        </x:is>
      </x:c>
      <x:c r="M133" s="18" t="inlineStr">
        <x:is>
          <x:t xml:space="preserve">Per-user metering slows F500 adoption</x:t>
        </x:is>
      </x:c>
    </x:row>
    <x:row r="134">
      <x:c r="A134" s="18" t="inlineStr">
        <x:is>
          <x:t xml:space="preserve">T058</x:t>
        </x:is>
      </x:c>
      <x:c r="B134" s="18" t="inlineStr">
        <x:is>
          <x:t xml:space="preserve">Commercial</x:t>
        </x:is>
      </x:c>
      <x:c r="C134" s="18" t="inlineStr">
        <x:is>
          <x:t xml:space="preserve">Lock Source module add-on pricing ($35-50k/mo separately)</x:t>
        </x:is>
      </x:c>
      <x:c r="D134" s="18" t="inlineStr">
        <x:is>
          <x:t xml:space="preserve">Procurement loves separate budget lines.</x:t>
        </x:is>
      </x:c>
      <x:c r="E134" s="31" t="inlineStr">
        <x:is>
          <x:t xml:space="preserve">P0</x:t>
        </x:is>
      </x:c>
      <x:c r="F134" s="40" t="inlineStr">
        <x:is>
          <x:t xml:space="preserve">3. CLAUDE + YOU</x:t>
        </x:is>
      </x:c>
      <x:c r="G134" s="18" t="inlineStr">
        <x:is>
          <x:t xml:space="preserve">Anand</x:t>
        </x:is>
      </x:c>
      <x:c r="H134" s="18" t="inlineStr">
        <x:is>
          <x:t xml:space="preserve"/>
        </x:is>
      </x:c>
      <x:c r="I134" s="47" t="inlineStr">
        <x:is>
          <x:t xml:space="preserve">Claude + you</x:t>
        </x:is>
      </x:c>
      <x:c r="J134" s="52" t="inlineStr">
        <x:is>
          <x:t xml:space="preserve">$0</x:t>
        </x:is>
      </x:c>
      <x:c r="K134" s="84" t="inlineStr">
        <x:is>
          <x:t xml:space="preserve">Anytime</x:t>
        </x:is>
      </x:c>
      <x:c r="L134" s="44" t="inlineStr">
        <x:is>
          <x:t xml:space="preserve">Not started</x:t>
        </x:is>
      </x:c>
      <x:c r="M134" s="18" t="inlineStr">
        <x:is>
          <x:t xml:space="preserve"/>
        </x:is>
      </x:c>
    </x:row>
    <x:row r="135">
      <x:c r="A135" s="18" t="inlineStr">
        <x:is>
          <x:t xml:space="preserve">T059</x:t>
        </x:is>
      </x:c>
      <x:c r="B135" s="18" t="inlineStr">
        <x:is>
          <x:t xml:space="preserve">Commercial</x:t>
        </x:is>
      </x:c>
      <x:c r="C135" s="18" t="inlineStr">
        <x:is>
          <x:t xml:space="preserve">Set token/consumption cap with overage policy</x:t>
        </x:is>
      </x:c>
      <x:c r="D135" s="18" t="inlineStr">
        <x:is>
          <x:t xml:space="preserve">Fair use N M tokens; overage at cost +20% or rate-limit.</x:t>
        </x:is>
      </x:c>
      <x:c r="E135" s="31" t="inlineStr">
        <x:is>
          <x:t xml:space="preserve">P0</x:t>
        </x:is>
      </x:c>
      <x:c r="F135" s="40" t="inlineStr">
        <x:is>
          <x:t xml:space="preserve">3. CLAUDE + YOU</x:t>
        </x:is>
      </x:c>
      <x:c r="G135" s="18" t="inlineStr">
        <x:is>
          <x:t xml:space="preserve">Anand</x:t>
        </x:is>
      </x:c>
      <x:c r="H135" s="18" t="inlineStr">
        <x:is>
          <x:t xml:space="preserve">T033</x:t>
        </x:is>
      </x:c>
      <x:c r="I135" s="47" t="inlineStr">
        <x:is>
          <x:t xml:space="preserve">Claude + you</x:t>
        </x:is>
      </x:c>
      <x:c r="J135" s="52" t="inlineStr">
        <x:is>
          <x:t xml:space="preserve">$0</x:t>
        </x:is>
      </x:c>
      <x:c r="K135" s="84" t="inlineStr">
        <x:is>
          <x:t xml:space="preserve">Anytime</x:t>
        </x:is>
      </x:c>
      <x:c r="L135" s="44" t="inlineStr">
        <x:is>
          <x:t xml:space="preserve">Not started</x:t>
        </x:is>
      </x:c>
      <x:c r="M135" s="18" t="inlineStr">
        <x:is>
          <x:t xml:space="preserve">Mandatory before signing</x:t>
        </x:is>
      </x:c>
    </x:row>
    <x:row r="136">
      <x:c r="A136" s="18" t="inlineStr">
        <x:is>
          <x:t xml:space="preserve">T270</x:t>
        </x:is>
      </x:c>
      <x:c r="B136" s="18" t="inlineStr">
        <x:is>
          <x:t xml:space="preserve">Commercial</x:t>
        </x:is>
      </x:c>
      <x:c r="C136" s="18" t="inlineStr">
        <x:is>
          <x:t xml:space="preserve">Reposition Source module: primary wedge for non-AI-leader prospects</x:t>
        </x:is>
      </x:c>
      <x:c r="D136" s="18" t="inlineStr">
        <x:is>
          <x:t xml:space="preserve">Pricing: Source-standalone $50k/mo for sourcing-only sale; or bundled with core at discount.</x:t>
        </x:is>
      </x:c>
      <x:c r="E136" s="31" t="inlineStr">
        <x:is>
          <x:t xml:space="preserve">P0</x:t>
        </x:is>
      </x:c>
      <x:c r="F136" s="40" t="inlineStr">
        <x:is>
          <x:t xml:space="preserve">3. CLAUDE + YOU</x:t>
        </x:is>
      </x:c>
      <x:c r="G136" s="18" t="inlineStr">
        <x:is>
          <x:t xml:space="preserve">Anand</x:t>
        </x:is>
      </x:c>
      <x:c r="H136" s="18" t="inlineStr">
        <x:is>
          <x:t xml:space="preserve"/>
        </x:is>
      </x:c>
      <x:c r="I136" s="47" t="inlineStr">
        <x:is>
          <x:t xml:space="preserve">Claude + you</x:t>
        </x:is>
      </x:c>
      <x:c r="J136" s="52" t="inlineStr">
        <x:is>
          <x:t xml:space="preserve">$0</x:t>
        </x:is>
      </x:c>
      <x:c r="K136" s="84" t="inlineStr">
        <x:is>
          <x:t xml:space="preserve">Anytime</x:t>
        </x:is>
      </x:c>
      <x:c r="L136" s="44" t="inlineStr">
        <x:is>
          <x:t xml:space="preserve">Not started</x:t>
        </x:is>
      </x:c>
      <x:c r="M136" s="18" t="inlineStr">
        <x:is>
          <x:t xml:space="preserve"/>
        </x:is>
      </x:c>
    </x:row>
    <x:row r="137">
      <x:c r="A137" s="18" t="inlineStr">
        <x:is>
          <x:t xml:space="preserve">T271</x:t>
        </x:is>
      </x:c>
      <x:c r="B137" s="18" t="inlineStr">
        <x:is>
          <x:t xml:space="preserve">Commercial</x:t>
        </x:is>
      </x:c>
      <x:c r="C137" s="18" t="inlineStr">
        <x:is>
          <x:t xml:space="preserve">Build smaller-deal pricing tier ($200k pilot / $500k year-1) for CTO-buyer scenarios</x:t>
        </x:is>
      </x:c>
      <x:c r="D137" s="18" t="inlineStr">
        <x:is>
          <x:t xml:space="preserve">Delta-type deals where AI value is dormant. Smaller deal &gt; no deal. Expand later.</x:t>
        </x:is>
      </x:c>
      <x:c r="E137" s="32" t="inlineStr">
        <x:is>
          <x:t xml:space="preserve">P1</x:t>
        </x:is>
      </x:c>
      <x:c r="F137" s="40" t="inlineStr">
        <x:is>
          <x:t xml:space="preserve">3. CLAUDE + YOU</x:t>
        </x:is>
      </x:c>
      <x:c r="G137" s="18" t="inlineStr">
        <x:is>
          <x:t xml:space="preserve">Anand</x:t>
        </x:is>
      </x:c>
      <x:c r="H137" s="18" t="inlineStr">
        <x:is>
          <x:t xml:space="preserve"/>
        </x:is>
      </x:c>
      <x:c r="I137" s="47" t="inlineStr">
        <x:is>
          <x:t xml:space="preserve">Claude + you</x:t>
        </x:is>
      </x:c>
      <x:c r="J137" s="52" t="inlineStr">
        <x:is>
          <x:t xml:space="preserve">$0</x:t>
        </x:is>
      </x:c>
      <x:c r="K137" s="84" t="inlineStr">
        <x:is>
          <x:t xml:space="preserve">Anytime</x:t>
        </x:is>
      </x:c>
      <x:c r="L137" s="44" t="inlineStr">
        <x:is>
          <x:t xml:space="preserve">Not started</x:t>
        </x:is>
      </x:c>
      <x:c r="M137" s="18" t="inlineStr">
        <x:is>
          <x:t xml:space="preserve"/>
        </x:is>
      </x:c>
    </x:row>
    <x:row r="138">
      <x:c r="A138" s="18" t="inlineStr">
        <x:is>
          <x:t xml:space="preserve">T283</x:t>
        </x:is>
      </x:c>
      <x:c r="B138" s="18" t="inlineStr">
        <x:is>
          <x:t xml:space="preserve">Commercial</x:t>
        </x:is>
      </x:c>
      <x:c r="C138" s="18" t="inlineStr">
        <x:is>
          <x:t xml:space="preserve">Build 'new leader / foundation' pricing positioning (different from CDAO/CTO pitches)</x:t>
        </x:is>
      </x:c>
      <x:c r="D138" s="18" t="inlineStr">
        <x:is>
          <x:t xml:space="preserve">Frame: foundation budget, transformation investment, operating model. NOT software line item. Different comparison set.</x:t>
        </x:is>
      </x:c>
      <x:c r="E138" s="32" t="inlineStr">
        <x:is>
          <x:t xml:space="preserve">P1</x:t>
        </x:is>
      </x:c>
      <x:c r="F138" s="40" t="inlineStr">
        <x:is>
          <x:t xml:space="preserve">3. CLAUDE + YOU</x:t>
        </x:is>
      </x:c>
      <x:c r="G138" s="18" t="inlineStr">
        <x:is>
          <x:t xml:space="preserve">Anand</x:t>
        </x:is>
      </x:c>
      <x:c r="H138" s="18" t="inlineStr">
        <x:is>
          <x:t xml:space="preserve"/>
        </x:is>
      </x:c>
      <x:c r="I138" s="47" t="inlineStr">
        <x:is>
          <x:t xml:space="preserve">Claude + you</x:t>
        </x:is>
      </x:c>
      <x:c r="J138" s="52" t="inlineStr">
        <x:is>
          <x:t xml:space="preserve">$0</x:t>
        </x:is>
      </x:c>
      <x:c r="K138" s="83" t="inlineStr">
        <x:is>
          <x:t xml:space="preserve">Post-Resign</x:t>
        </x:is>
      </x:c>
      <x:c r="L138" s="44" t="inlineStr">
        <x:is>
          <x:t xml:space="preserve">Not started</x:t>
        </x:is>
      </x:c>
      <x:c r="M138" s="18" t="inlineStr">
        <x:is>
          <x:t xml:space="preserve"/>
        </x:is>
      </x:c>
    </x:row>
    <x:row r="139">
      <x:c r="A139" s="18" t="inlineStr">
        <x:is>
          <x:t xml:space="preserve">T061</x:t>
        </x:is>
      </x:c>
      <x:c r="B139" s="18" t="inlineStr">
        <x:is>
          <x:t xml:space="preserve">Commercial</x:t>
        </x:is>
      </x:c>
      <x:c r="C139" s="18" t="inlineStr">
        <x:is>
          <x:t xml:space="preserve">Annual pre-pay discount offer (5-10%)</x:t>
        </x:is>
      </x:c>
      <x:c r="D139" s="18" t="inlineStr">
        <x:is>
          <x:t xml:space="preserve">Cash now &gt; margin later.</x:t>
        </x:is>
      </x:c>
      <x:c r="E139" s="32" t="inlineStr">
        <x:is>
          <x:t xml:space="preserve">P1</x:t>
        </x:is>
      </x:c>
      <x:c r="F139" s="42" t="inlineStr">
        <x:is>
          <x:t xml:space="preserve">5. EXTERNAL</x:t>
        </x:is>
      </x:c>
      <x:c r="G139" s="18" t="inlineStr">
        <x:is>
          <x:t xml:space="preserve">Anand</x:t>
        </x:is>
      </x:c>
      <x:c r="H139" s="18" t="inlineStr">
        <x:is>
          <x:t xml:space="preserve"/>
        </x:is>
      </x:c>
      <x:c r="I139" s="48" t="inlineStr">
        <x:is>
          <x:t xml:space="preserve">You only</x:t>
        </x:is>
      </x:c>
      <x:c r="J139" s="52" t="inlineStr">
        <x:is>
          <x:t xml:space="preserve">$0</x:t>
        </x:is>
      </x:c>
      <x:c r="K139" s="84" t="inlineStr">
        <x:is>
          <x:t xml:space="preserve">Anytime</x:t>
        </x:is>
      </x:c>
      <x:c r="L139" s="44" t="inlineStr">
        <x:is>
          <x:t xml:space="preserve">Not started</x:t>
        </x:is>
      </x:c>
      <x:c r="M139" s="18" t="inlineStr">
        <x:is>
          <x:t xml:space="preserve"/>
        </x:is>
      </x:c>
    </x:row>
    <x:row r="140">
      <x:c r="A140" s="18" t="inlineStr">
        <x:is>
          <x:t xml:space="preserve">T062</x:t>
        </x:is>
      </x:c>
      <x:c r="B140" s="18" t="inlineStr">
        <x:is>
          <x:t xml:space="preserve">Commercial</x:t>
        </x:is>
      </x:c>
      <x:c r="C140" s="18" t="inlineStr">
        <x:is>
          <x:t xml:space="preserve">Multi-year discount tier (10% for 2yr, 15% for 3yr)</x:t>
        </x:is>
      </x:c>
      <x:c r="D140" s="18" t="inlineStr">
        <x:is>
          <x:t xml:space="preserve">Lock in revenue.</x:t>
        </x:is>
      </x:c>
      <x:c r="E140" s="32" t="inlineStr">
        <x:is>
          <x:t xml:space="preserve">P1</x:t>
        </x:is>
      </x:c>
      <x:c r="F140" s="42" t="inlineStr">
        <x:is>
          <x:t xml:space="preserve">5. EXTERNAL</x:t>
        </x:is>
      </x:c>
      <x:c r="G140" s="18" t="inlineStr">
        <x:is>
          <x:t xml:space="preserve">Anand</x:t>
        </x:is>
      </x:c>
      <x:c r="H140" s="18" t="inlineStr">
        <x:is>
          <x:t xml:space="preserve"/>
        </x:is>
      </x:c>
      <x:c r="I140" s="48" t="inlineStr">
        <x:is>
          <x:t xml:space="preserve">You only</x:t>
        </x:is>
      </x:c>
      <x:c r="J140" s="52" t="inlineStr">
        <x:is>
          <x:t xml:space="preserve">$0</x:t>
        </x:is>
      </x:c>
      <x:c r="K140" s="84" t="inlineStr">
        <x:is>
          <x:t xml:space="preserve">Anytime</x:t>
        </x:is>
      </x:c>
      <x:c r="L140" s="44" t="inlineStr">
        <x:is>
          <x:t xml:space="preserve">Not started</x:t>
        </x:is>
      </x:c>
      <x:c r="M140" s="18" t="inlineStr">
        <x:is>
          <x:t xml:space="preserve"/>
        </x:is>
      </x:c>
    </x:row>
    <x:row r="141">
      <x:c r="A141" s="18" t="inlineStr">
        <x:is>
          <x:t xml:space="preserve">T015</x:t>
        </x:is>
      </x:c>
      <x:c r="B141" s="18" t="inlineStr">
        <x:is>
          <x:t xml:space="preserve">Contract &amp; Legal</x:t>
        </x:is>
      </x:c>
      <x:c r="C141" s="18" t="inlineStr">
        <x:is>
          <x:t xml:space="preserve">Draft 2-page redline brief (8 non-negotiables + fallback)</x:t>
        </x:is>
      </x:c>
      <x:c r="D141" s="18" t="inlineStr">
        <x:is>
          <x:t xml:space="preserve">Liability cap, indemnity, IP, MFN, termination, SLA, audit, assignment.</x:t>
        </x:is>
      </x:c>
      <x:c r="E141" s="31" t="inlineStr">
        <x:is>
          <x:t xml:space="preserve">P0</x:t>
        </x:is>
      </x:c>
      <x:c r="F141" s="39" t="inlineStr">
        <x:is>
          <x:t xml:space="preserve">2. CLAUDE DOES IT</x:t>
        </x:is>
      </x:c>
      <x:c r="G141" s="18" t="inlineStr">
        <x:is>
          <x:t xml:space="preserve">Anand</x:t>
        </x:is>
      </x:c>
      <x:c r="H141" s="18" t="inlineStr">
        <x:is>
          <x:t xml:space="preserve"/>
        </x:is>
      </x:c>
      <x:c r="I141" s="45" t="inlineStr">
        <x:is>
          <x:t xml:space="preserve">Claude (draft)</x:t>
        </x:is>
      </x:c>
      <x:c r="J141" s="52" t="inlineStr">
        <x:is>
          <x:t xml:space="preserve">$0</x:t>
        </x:is>
      </x:c>
      <x:c r="K141" s="82" t="inlineStr">
        <x:is>
          <x:t xml:space="preserve">Pre-Resign</x:t>
        </x:is>
      </x:c>
      <x:c r="L141" s="44" t="inlineStr">
        <x:is>
          <x:t xml:space="preserve">Not started</x:t>
        </x:is>
      </x:c>
      <x:c r="M141" s="18" t="inlineStr">
        <x:is>
          <x:t xml:space="preserve">See Redline Brief tab</x:t>
        </x:is>
      </x:c>
    </x:row>
    <x:row r="142">
      <x:c r="A142" s="18" t="inlineStr">
        <x:is>
          <x:t xml:space="preserve">T018</x:t>
        </x:is>
      </x:c>
      <x:c r="B142" s="18" t="inlineStr">
        <x:is>
          <x:t xml:space="preserve">Contract &amp; Legal</x:t>
        </x:is>
      </x:c>
      <x:c r="C142" s="18" t="inlineStr">
        <x:is>
          <x:t xml:space="preserve">Pre-fill SIG Lite / CAIQ security questionnaire</x:t>
        </x:is>
      </x:c>
      <x:c r="D142" s="18" t="inlineStr">
        <x:is>
          <x:t xml:space="preserve">200-300 questions. One canonical answer doc saves weeks per deal.</x:t>
        </x:is>
      </x:c>
      <x:c r="E142" s="31" t="inlineStr">
        <x:is>
          <x:t xml:space="preserve">P0</x:t>
        </x:is>
      </x:c>
      <x:c r="F142" s="39" t="inlineStr">
        <x:is>
          <x:t xml:space="preserve">2. CLAUDE DOES IT</x:t>
        </x:is>
      </x:c>
      <x:c r="G142" s="18" t="inlineStr">
        <x:is>
          <x:t xml:space="preserve">Anand</x:t>
        </x:is>
      </x:c>
      <x:c r="H142" s="18" t="inlineStr">
        <x:is>
          <x:t xml:space="preserve"/>
        </x:is>
      </x:c>
      <x:c r="I142" s="45" t="inlineStr">
        <x:is>
          <x:t xml:space="preserve">Claude (already in Security Pack)</x:t>
        </x:is>
      </x:c>
      <x:c r="J142" s="52" t="inlineStr">
        <x:is>
          <x:t xml:space="preserve">$0 (already drafted)</x:t>
        </x:is>
      </x:c>
      <x:c r="K142" s="82" t="inlineStr">
        <x:is>
          <x:t xml:space="preserve">Pre-Resign</x:t>
        </x:is>
      </x:c>
      <x:c r="L142" s="44" t="inlineStr">
        <x:is>
          <x:t xml:space="preserve">Not started</x:t>
        </x:is>
      </x:c>
      <x:c r="M142" s="18" t="inlineStr">
        <x:is>
          <x:t xml:space="preserve">See Security Pack tab</x:t>
        </x:is>
      </x:c>
    </x:row>
    <x:row r="143">
      <x:c r="A143" s="18" t="inlineStr">
        <x:is>
          <x:t xml:space="preserve">T026</x:t>
        </x:is>
      </x:c>
      <x:c r="B143" s="18" t="inlineStr">
        <x:is>
          <x:t xml:space="preserve">Contract &amp; Legal</x:t>
        </x:is>
      </x:c>
      <x:c r="C143" s="18" t="inlineStr">
        <x:is>
          <x:t xml:space="preserve">Publish subprocessor list at abarva.com/subprocessors</x:t>
        </x:is>
      </x:c>
      <x:c r="D143" s="18" t="inlineStr">
        <x:is>
          <x:t xml:space="preserve">Vercel, Clerk, Azure, Anthropic, OpenAI, Resend, PostHog, Stripe.</x:t>
        </x:is>
      </x:c>
      <x:c r="E143" s="32" t="inlineStr">
        <x:is>
          <x:t xml:space="preserve">P1</x:t>
        </x:is>
      </x:c>
      <x:c r="F143" s="39" t="inlineStr">
        <x:is>
          <x:t xml:space="preserve">2. CLAUDE DOES IT</x:t>
        </x:is>
      </x:c>
      <x:c r="G143" s="18" t="inlineStr">
        <x:is>
          <x:t xml:space="preserve">Anand</x:t>
        </x:is>
      </x:c>
      <x:c r="H143" s="18" t="inlineStr">
        <x:is>
          <x:t xml:space="preserve"/>
        </x:is>
      </x:c>
      <x:c r="I143" s="45" t="inlineStr">
        <x:is>
          <x:t xml:space="preserve">Claude (draft page)</x:t>
        </x:is>
      </x:c>
      <x:c r="J143" s="52" t="inlineStr">
        <x:is>
          <x:t xml:space="preserve">$0</x:t>
        </x:is>
      </x:c>
      <x:c r="K143" s="83" t="inlineStr">
        <x:is>
          <x:t xml:space="preserve">Post-Resign</x:t>
        </x:is>
      </x:c>
      <x:c r="L143" s="44" t="inlineStr">
        <x:is>
          <x:t xml:space="preserve">Not started</x:t>
        </x:is>
      </x:c>
      <x:c r="M143" s="18" t="inlineStr">
        <x:is>
          <x:t xml:space="preserve"/>
        </x:is>
      </x:c>
    </x:row>
    <x:row r="144">
      <x:c r="A144" s="18" t="inlineStr">
        <x:is>
          <x:t xml:space="preserve">T017</x:t>
        </x:is>
      </x:c>
      <x:c r="B144" s="18" t="inlineStr">
        <x:is>
          <x:t xml:space="preserve">Contract &amp; Legal</x:t>
        </x:is>
      </x:c>
      <x:c r="C144" s="18" t="inlineStr">
        <x:is>
          <x:t xml:space="preserve">Build vendor information package</x:t>
        </x:is>
      </x:c>
      <x:c r="D144" s="18" t="inlineStr">
        <x:is>
          <x:t xml:space="preserve">Subprocessor list, insurance certs, security policies, DPA template, BAA readiness, SOC 2 status.</x:t>
        </x:is>
      </x:c>
      <x:c r="E144" s="31" t="inlineStr">
        <x:is>
          <x:t xml:space="preserve">P0</x:t>
        </x:is>
      </x:c>
      <x:c r="F144" s="40" t="inlineStr">
        <x:is>
          <x:t xml:space="preserve">3. CLAUDE + YOU</x:t>
        </x:is>
      </x:c>
      <x:c r="G144" s="18" t="inlineStr">
        <x:is>
          <x:t xml:space="preserve">Anand</x:t>
        </x:is>
      </x:c>
      <x:c r="H144" s="18" t="inlineStr">
        <x:is>
          <x:t xml:space="preserve"/>
        </x:is>
      </x:c>
      <x:c r="I144" s="47" t="inlineStr">
        <x:is>
          <x:t xml:space="preserve">Claude + you</x:t>
        </x:is>
      </x:c>
      <x:c r="J144" s="52" t="inlineStr">
        <x:is>
          <x:t xml:space="preserve">$0</x:t>
        </x:is>
      </x:c>
      <x:c r="K144" s="82" t="inlineStr">
        <x:is>
          <x:t xml:space="preserve">Pre-Resign</x:t>
        </x:is>
      </x:c>
      <x:c r="L144" s="44" t="inlineStr">
        <x:is>
          <x:t xml:space="preserve">Not started</x:t>
        </x:is>
      </x:c>
      <x:c r="M144" s="18" t="inlineStr">
        <x:is>
          <x:t xml:space="preserve">F500 will ask for ALL of this inline</x:t>
        </x:is>
      </x:c>
    </x:row>
    <x:row r="145">
      <x:c r="A145" s="18" t="inlineStr">
        <x:is>
          <x:t xml:space="preserve">T022</x:t>
        </x:is>
      </x:c>
      <x:c r="B145" s="18" t="inlineStr">
        <x:is>
          <x:t xml:space="preserve">Contract &amp; Legal</x:t>
        </x:is>
      </x:c>
      <x:c r="C145" s="18" t="inlineStr">
        <x:is>
          <x:t xml:space="preserve">Lock pilot success criteria + auto-conversion mechanic</x:t>
        </x:is>
      </x:c>
      <x:c r="D145" s="18" t="inlineStr">
        <x:is>
          <x:t xml:space="preserve">E.g., 3 Moves launched, X users active, NPS &gt; Y. Auto-convert unless client opts out.</x:t>
        </x:is>
      </x:c>
      <x:c r="E145" s="31" t="inlineStr">
        <x:is>
          <x:t xml:space="preserve">P0</x:t>
        </x:is>
      </x:c>
      <x:c r="F145" s="40" t="inlineStr">
        <x:is>
          <x:t xml:space="preserve">3. CLAUDE + YOU</x:t>
        </x:is>
      </x:c>
      <x:c r="G145" s="18" t="inlineStr">
        <x:is>
          <x:t xml:space="preserve">Anand</x:t>
        </x:is>
      </x:c>
      <x:c r="H145" s="18" t="inlineStr">
        <x:is>
          <x:t xml:space="preserve"/>
        </x:is>
      </x:c>
      <x:c r="I145" s="47" t="inlineStr">
        <x:is>
          <x:t xml:space="preserve">Claude + you</x:t>
        </x:is>
      </x:c>
      <x:c r="J145" s="52" t="inlineStr">
        <x:is>
          <x:t xml:space="preserve">$0</x:t>
        </x:is>
      </x:c>
      <x:c r="K145" s="82" t="inlineStr">
        <x:is>
          <x:t xml:space="preserve">Pre-Resign</x:t>
        </x:is>
      </x:c>
      <x:c r="L145" s="44" t="inlineStr">
        <x:is>
          <x:t xml:space="preserve">Not started</x:t>
        </x:is>
      </x:c>
      <x:c r="M145" s="18" t="inlineStr">
        <x:is>
          <x:t xml:space="preserve">Reduces month-3 ambiguity</x:t>
        </x:is>
      </x:c>
    </x:row>
    <x:row r="146">
      <x:c r="A146" s="18" t="inlineStr">
        <x:is>
          <x:t xml:space="preserve">T019</x:t>
        </x:is>
      </x:c>
      <x:c r="B146" s="18" t="inlineStr">
        <x:is>
          <x:t xml:space="preserve">Contract &amp; Legal</x:t>
        </x:is>
      </x:c>
      <x:c r="C146" s="18" t="inlineStr">
        <x:is>
          <x:t xml:space="preserve">Review client NDA — IP assignment, non-solicit, publicity</x:t>
        </x:is>
      </x:c>
      <x:c r="D146" s="18" t="inlineStr">
        <x:is>
          <x:t xml:space="preserve">Many enterprise NDAs contain landmines. Redline before signing.</x:t>
        </x:is>
      </x:c>
      <x:c r="E146" s="31" t="inlineStr">
        <x:is>
          <x:t xml:space="preserve">P0</x:t>
        </x:is>
      </x:c>
      <x:c r="F146" s="41" t="inlineStr">
        <x:is>
          <x:t xml:space="preserve">4. CLAUDE + PRO</x:t>
        </x:is>
      </x:c>
      <x:c r="G146" s="18" t="inlineStr">
        <x:is>
          <x:t xml:space="preserve">Anand</x:t>
        </x:is>
      </x:c>
      <x:c r="H146" s="18" t="inlineStr">
        <x:is>
          <x:t xml:space="preserve">T006</x:t>
        </x:is>
      </x:c>
      <x:c r="I146" s="50" t="inlineStr">
        <x:is>
          <x:t xml:space="preserve">Claude + lawyer</x:t>
        </x:is>
      </x:c>
      <x:c r="J146" s="51" t="inlineStr">
        <x:is>
          <x:t xml:space="preserve">$1-2k (lawyer)</x:t>
        </x:is>
      </x:c>
      <x:c r="K146" s="82" t="inlineStr">
        <x:is>
          <x:t xml:space="preserve">Pre-Resign</x:t>
        </x:is>
      </x:c>
      <x:c r="L146" s="44" t="inlineStr">
        <x:is>
          <x:t xml:space="preserve">Not started</x:t>
        </x:is>
      </x:c>
      <x:c r="M146" s="18" t="inlineStr">
        <x:is>
          <x:t xml:space="preserve"/>
        </x:is>
      </x:c>
    </x:row>
    <x:row r="147">
      <x:c r="A147" s="18" t="inlineStr">
        <x:is>
          <x:t xml:space="preserve">T020</x:t>
        </x:is>
      </x:c>
      <x:c r="B147" s="18" t="inlineStr">
        <x:is>
          <x:t xml:space="preserve">Contract &amp; Legal</x:t>
        </x:is>
      </x:c>
      <x:c r="C147" s="18" t="inlineStr">
        <x:is>
          <x:t xml:space="preserve">Review client MSA — apply 8-clause redline brief</x:t>
        </x:is>
      </x:c>
      <x:c r="D147" s="18" t="inlineStr">
        <x:is>
          <x:t xml:space="preserve">Always start from client paper. Always redline.</x:t>
        </x:is>
      </x:c>
      <x:c r="E147" s="31" t="inlineStr">
        <x:is>
          <x:t xml:space="preserve">P0</x:t>
        </x:is>
      </x:c>
      <x:c r="F147" s="41" t="inlineStr">
        <x:is>
          <x:t xml:space="preserve">4. CLAUDE + PRO</x:t>
        </x:is>
      </x:c>
      <x:c r="G147" s="18" t="inlineStr">
        <x:is>
          <x:t xml:space="preserve">Anand</x:t>
        </x:is>
      </x:c>
      <x:c r="H147" s="18" t="inlineStr">
        <x:is>
          <x:t xml:space="preserve">T006,T015</x:t>
        </x:is>
      </x:c>
      <x:c r="I147" s="50" t="inlineStr">
        <x:is>
          <x:t xml:space="preserve">Claude + lawyer</x:t>
        </x:is>
      </x:c>
      <x:c r="J147" s="51" t="inlineStr">
        <x:is>
          <x:t xml:space="preserve">$3-5k (lawyer)</x:t>
        </x:is>
      </x:c>
      <x:c r="K147" s="82" t="inlineStr">
        <x:is>
          <x:t xml:space="preserve">Pre-Resign</x:t>
        </x:is>
      </x:c>
      <x:c r="L147" s="44" t="inlineStr">
        <x:is>
          <x:t xml:space="preserve">Not started</x:t>
        </x:is>
      </x:c>
      <x:c r="M147" s="18" t="inlineStr">
        <x:is>
          <x:t xml:space="preserve"/>
        </x:is>
      </x:c>
    </x:row>
    <x:row r="148">
      <x:c r="A148" s="18" t="inlineStr">
        <x:is>
          <x:t xml:space="preserve">T021</x:t>
        </x:is>
      </x:c>
      <x:c r="B148" s="18" t="inlineStr">
        <x:is>
          <x:t xml:space="preserve">Contract &amp; Legal</x:t>
        </x:is>
      </x:c>
      <x:c r="C148" s="18" t="inlineStr">
        <x:is>
          <x:t xml:space="preserve">Review client SOW — scope, deliverables, SLAs, change-order rate</x:t>
        </x:is>
      </x:c>
      <x:c r="D148" s="18" t="inlineStr">
        <x:is>
          <x:t xml:space="preserve">Pre-agree $375/hr (or $400) change-order rate inline.</x:t>
        </x:is>
      </x:c>
      <x:c r="E148" s="31" t="inlineStr">
        <x:is>
          <x:t xml:space="preserve">P0</x:t>
        </x:is>
      </x:c>
      <x:c r="F148" s="41" t="inlineStr">
        <x:is>
          <x:t xml:space="preserve">4. CLAUDE + PRO</x:t>
        </x:is>
      </x:c>
      <x:c r="G148" s="18" t="inlineStr">
        <x:is>
          <x:t xml:space="preserve">Anand</x:t>
        </x:is>
      </x:c>
      <x:c r="H148" s="18" t="inlineStr">
        <x:is>
          <x:t xml:space="preserve">T006</x:t>
        </x:is>
      </x:c>
      <x:c r="I148" s="50" t="inlineStr">
        <x:is>
          <x:t xml:space="preserve">Claude + lawyer</x:t>
        </x:is>
      </x:c>
      <x:c r="J148" s="51" t="inlineStr">
        <x:is>
          <x:t xml:space="preserve">$1-2k (lawyer)</x:t>
        </x:is>
      </x:c>
      <x:c r="K148" s="82" t="inlineStr">
        <x:is>
          <x:t xml:space="preserve">Pre-Resign</x:t>
        </x:is>
      </x:c>
      <x:c r="L148" s="44" t="inlineStr">
        <x:is>
          <x:t xml:space="preserve">Not started</x:t>
        </x:is>
      </x:c>
      <x:c r="M148" s="18" t="inlineStr">
        <x:is>
          <x:t xml:space="preserve"/>
        </x:is>
      </x:c>
    </x:row>
    <x:row r="149">
      <x:c r="A149" s="18" t="inlineStr">
        <x:is>
          <x:t xml:space="preserve">T016</x:t>
        </x:is>
      </x:c>
      <x:c r="B149" s="18" t="inlineStr">
        <x:is>
          <x:t xml:space="preserve">Contract &amp; Legal</x:t>
        </x:is>
      </x:c>
      <x:c r="C149" s="18" t="inlineStr">
        <x:is>
          <x:t xml:space="preserve">Lawyer pre-blesses the redline brief</x:t>
        </x:is>
      </x:c>
      <x:c r="D149" s="18" t="inlineStr">
        <x:is>
          <x:t xml:space="preserve">1hr review, ~$1-2k. Reusable across every future deal.</x:t>
        </x:is>
      </x:c>
      <x:c r="E149" s="31" t="inlineStr">
        <x:is>
          <x:t xml:space="preserve">P0</x:t>
        </x:is>
      </x:c>
      <x:c r="F149" s="42" t="inlineStr">
        <x:is>
          <x:t xml:space="preserve">5. EXTERNAL</x:t>
        </x:is>
      </x:c>
      <x:c r="G149" s="18" t="inlineStr">
        <x:is>
          <x:t xml:space="preserve">Anand</x:t>
        </x:is>
      </x:c>
      <x:c r="H149" s="18" t="inlineStr">
        <x:is>
          <x:t xml:space="preserve">T006,T015</x:t>
        </x:is>
      </x:c>
      <x:c r="I149" s="48" t="inlineStr">
        <x:is>
          <x:t xml:space="preserve">3rd party: lawyer</x:t>
        </x:is>
      </x:c>
      <x:c r="J149" s="51" t="inlineStr">
        <x:is>
          <x:t xml:space="preserve">$1-2k one-time</x:t>
        </x:is>
      </x:c>
      <x:c r="K149" s="82" t="inlineStr">
        <x:is>
          <x:t xml:space="preserve">Pre-Resign</x:t>
        </x:is>
      </x:c>
      <x:c r="L149" s="44" t="inlineStr">
        <x:is>
          <x:t xml:space="preserve">Not started</x:t>
        </x:is>
      </x:c>
      <x:c r="M149" s="18" t="inlineStr">
        <x:is>
          <x:t xml:space="preserve"/>
        </x:is>
      </x:c>
    </x:row>
    <x:row r="150">
      <x:c r="A150" s="18" t="inlineStr">
        <x:is>
          <x:t xml:space="preserve">T023</x:t>
        </x:is>
      </x:c>
      <x:c r="B150" s="18" t="inlineStr">
        <x:is>
          <x:t xml:space="preserve">Contract &amp; Legal</x:t>
        </x:is>
      </x:c>
      <x:c r="C150" s="18" t="inlineStr">
        <x:is>
          <x:t xml:space="preserve">Define reference rights (logo + case study after 90d)</x:t>
        </x:is>
      </x:c>
      <x:c r="D150" s="18" t="inlineStr">
        <x:is>
          <x:t xml:space="preserve">Push hard. First reference customer is worth more than the cash.</x:t>
        </x:is>
      </x:c>
      <x:c r="E150" s="31" t="inlineStr">
        <x:is>
          <x:t xml:space="preserve">P0</x:t>
        </x:is>
      </x:c>
      <x:c r="F150" s="42" t="inlineStr">
        <x:is>
          <x:t xml:space="preserve">5. EXTERNAL</x:t>
        </x:is>
      </x:c>
      <x:c r="G150" s="18" t="inlineStr">
        <x:is>
          <x:t xml:space="preserve">Anand</x:t>
        </x:is>
      </x:c>
      <x:c r="H150" s="18" t="inlineStr">
        <x:is>
          <x:t xml:space="preserve"/>
        </x:is>
      </x:c>
      <x:c r="I150" s="48" t="inlineStr">
        <x:is>
          <x:t xml:space="preserve">You only</x:t>
        </x:is>
      </x:c>
      <x:c r="J150" s="52" t="inlineStr">
        <x:is>
          <x:t xml:space="preserve">$0</x:t>
        </x:is>
      </x:c>
      <x:c r="K150" s="83" t="inlineStr">
        <x:is>
          <x:t xml:space="preserve">Post-Resign</x:t>
        </x:is>
      </x:c>
      <x:c r="L150" s="44" t="inlineStr">
        <x:is>
          <x:t xml:space="preserve">Not started</x:t>
        </x:is>
      </x:c>
      <x:c r="M150" s="18" t="inlineStr">
        <x:is>
          <x:t xml:space="preserve"/>
        </x:is>
      </x:c>
    </x:row>
    <x:row r="151">
      <x:c r="A151" s="18" t="inlineStr">
        <x:is>
          <x:t xml:space="preserve">T024</x:t>
        </x:is>
      </x:c>
      <x:c r="B151" s="18" t="inlineStr">
        <x:is>
          <x:t xml:space="preserve">Contract &amp; Legal</x:t>
        </x:is>
      </x:c>
      <x:c r="C151" s="18" t="inlineStr">
        <x:is>
          <x:t xml:space="preserve">Pre-agree payment terms: Net 30 or annual pre-pay</x:t>
        </x:is>
      </x:c>
      <x:c r="D151" s="18" t="inlineStr">
        <x:is>
          <x:t xml:space="preserve">Net 60/90 will starve a startup. Annual pre-pay with 5-10% discount preferred.</x:t>
        </x:is>
      </x:c>
      <x:c r="E151" s="31" t="inlineStr">
        <x:is>
          <x:t xml:space="preserve">P0</x:t>
        </x:is>
      </x:c>
      <x:c r="F151" s="42" t="inlineStr">
        <x:is>
          <x:t xml:space="preserve">5. EXTERNAL</x:t>
        </x:is>
      </x:c>
      <x:c r="G151" s="18" t="inlineStr">
        <x:is>
          <x:t xml:space="preserve">Anand</x:t>
        </x:is>
      </x:c>
      <x:c r="H151" s="18" t="inlineStr">
        <x:is>
          <x:t xml:space="preserve"/>
        </x:is>
      </x:c>
      <x:c r="I151" s="48" t="inlineStr">
        <x:is>
          <x:t xml:space="preserve">You only</x:t>
        </x:is>
      </x:c>
      <x:c r="J151" s="52" t="inlineStr">
        <x:is>
          <x:t xml:space="preserve">$0</x:t>
        </x:is>
      </x:c>
      <x:c r="K151" s="82" t="inlineStr">
        <x:is>
          <x:t xml:space="preserve">Pre-Resign</x:t>
        </x:is>
      </x:c>
      <x:c r="L151" s="44" t="inlineStr">
        <x:is>
          <x:t xml:space="preserve">Not started</x:t>
        </x:is>
      </x:c>
      <x:c r="M151" s="18" t="inlineStr">
        <x:is>
          <x:t xml:space="preserve">Cash &gt; margin at this stage</x:t>
        </x:is>
      </x:c>
    </x:row>
    <x:row r="152">
      <x:c r="A152" s="18" t="inlineStr">
        <x:is>
          <x:t xml:space="preserve">T025</x:t>
        </x:is>
      </x:c>
      <x:c r="B152" s="18" t="inlineStr">
        <x:is>
          <x:t xml:space="preserve">Contract &amp; Legal</x:t>
        </x:is>
      </x:c>
      <x:c r="C152" s="18" t="inlineStr">
        <x:is>
          <x:t xml:space="preserve">Lock annual escalator (CPI+3% or 5% flat)</x:t>
        </x:is>
      </x:c>
      <x:c r="D152" s="18" t="inlineStr">
        <x:is>
          <x:t xml:space="preserve">Standard SaaS.</x:t>
        </x:is>
      </x:c>
      <x:c r="E152" s="32" t="inlineStr">
        <x:is>
          <x:t xml:space="preserve">P1</x:t>
        </x:is>
      </x:c>
      <x:c r="F152" s="42" t="inlineStr">
        <x:is>
          <x:t xml:space="preserve">5. EXTERNAL</x:t>
        </x:is>
      </x:c>
      <x:c r="G152" s="18" t="inlineStr">
        <x:is>
          <x:t xml:space="preserve">Anand</x:t>
        </x:is>
      </x:c>
      <x:c r="H152" s="18" t="inlineStr">
        <x:is>
          <x:t xml:space="preserve"/>
        </x:is>
      </x:c>
      <x:c r="I152" s="48" t="inlineStr">
        <x:is>
          <x:t xml:space="preserve">You only</x:t>
        </x:is>
      </x:c>
      <x:c r="J152" s="52" t="inlineStr">
        <x:is>
          <x:t xml:space="preserve">$0</x:t>
        </x:is>
      </x:c>
      <x:c r="K152" s="83" t="inlineStr">
        <x:is>
          <x:t xml:space="preserve">Post-Resign</x:t>
        </x:is>
      </x:c>
      <x:c r="L152" s="44" t="inlineStr">
        <x:is>
          <x:t xml:space="preserve">Not started</x:t>
        </x:is>
      </x:c>
      <x:c r="M152" s="18" t="inlineStr">
        <x:is>
          <x:t xml:space="preserve"/>
        </x:is>
      </x:c>
    </x:row>
    <x:row r="153">
      <x:c r="A153" s="18" t="inlineStr">
        <x:is>
          <x:t xml:space="preserve">T306</x:t>
        </x:is>
      </x:c>
      <x:c r="B153" s="18" t="inlineStr">
        <x:is>
          <x:t xml:space="preserve">Employer Conflict</x:t>
        </x:is>
      </x:c>
      <x:c r="C153" s="18" t="inlineStr">
        <x:is>
          <x:t xml:space="preserve">TODAY: Pull Accenture employment agreement + every addendum/amendment ever signed</x:t>
        </x:is>
      </x:c>
      <x:c r="D153" s="18" t="inlineStr">
        <x:is>
          <x:t xml:space="preserve">Read cold. Need to know exact non-compete, non-solicit, confidentiality, IP-assignment language. Upstream of everything.</x:t>
        </x:is>
      </x:c>
      <x:c r="E153" s="31" t="inlineStr">
        <x:is>
          <x:t xml:space="preserve">P0</x:t>
        </x:is>
      </x:c>
      <x:c r="F153" s="38" t="inlineStr">
        <x:is>
          <x:t xml:space="preserve">1. QUICK WIN</x:t>
        </x:is>
      </x:c>
      <x:c r="G153" s="18" t="inlineStr">
        <x:is>
          <x:t xml:space="preserve">Anand</x:t>
        </x:is>
      </x:c>
      <x:c r="H153" s="18" t="inlineStr">
        <x:is>
          <x:t xml:space="preserve"/>
        </x:is>
      </x:c>
      <x:c r="I153" s="43" t="inlineStr">
        <x:is>
          <x:t xml:space="preserve">Self-serve</x:t>
        </x:is>
      </x:c>
      <x:c r="J153" s="52" t="inlineStr">
        <x:is>
          <x:t xml:space="preserve">$0</x:t>
        </x:is>
      </x:c>
      <x:c r="K153" s="82" t="inlineStr">
        <x:is>
          <x:t xml:space="preserve">Pre-Resign</x:t>
        </x:is>
      </x:c>
      <x:c r="L153" s="44" t="inlineStr">
        <x:is>
          <x:t xml:space="preserve">Not started</x:t>
        </x:is>
      </x:c>
      <x:c r="M153" s="18" t="inlineStr">
        <x:is>
          <x:t xml:space="preserve"/>
        </x:is>
      </x:c>
    </x:row>
    <x:row r="154">
      <x:c r="A154" s="18" t="inlineStr">
        <x:is>
          <x:t xml:space="preserve">T307</x:t>
        </x:is>
      </x:c>
      <x:c r="B154" s="18" t="inlineStr">
        <x:is>
          <x:t xml:space="preserve">Employer Conflict</x:t>
        </x:is>
      </x:c>
      <x:c r="C154" s="18" t="inlineStr">
        <x:is>
          <x:t xml:space="preserve">Identify governing state law (where Accenture entity employs you, not where you live)</x:t>
        </x:is>
      </x:c>
      <x:c r="D154" s="18" t="inlineStr">
        <x:is>
          <x:t xml:space="preserve">Determines non-compete enforceability. CA/WA/MA = favorable. FL/TX = unfavorable. Drives risk assessment.</x:t>
        </x:is>
      </x:c>
      <x:c r="E154" s="31" t="inlineStr">
        <x:is>
          <x:t xml:space="preserve">P0</x:t>
        </x:is>
      </x:c>
      <x:c r="F154" s="38" t="inlineStr">
        <x:is>
          <x:t xml:space="preserve">1. QUICK WIN</x:t>
        </x:is>
      </x:c>
      <x:c r="G154" s="18" t="inlineStr">
        <x:is>
          <x:t xml:space="preserve">Anand</x:t>
        </x:is>
      </x:c>
      <x:c r="H154" s="18" t="inlineStr">
        <x:is>
          <x:t xml:space="preserve"/>
        </x:is>
      </x:c>
      <x:c r="I154" s="43" t="inlineStr">
        <x:is>
          <x:t xml:space="preserve">Self-serve</x:t>
        </x:is>
      </x:c>
      <x:c r="J154" s="52" t="inlineStr">
        <x:is>
          <x:t xml:space="preserve">$0</x:t>
        </x:is>
      </x:c>
      <x:c r="K154" s="82" t="inlineStr">
        <x:is>
          <x:t xml:space="preserve">Pre-Resign</x:t>
        </x:is>
      </x:c>
      <x:c r="L154" s="44" t="inlineStr">
        <x:is>
          <x:t xml:space="preserve">Not started</x:t>
        </x:is>
      </x:c>
      <x:c r="M154" s="18" t="inlineStr">
        <x:is>
          <x:t xml:space="preserve"/>
        </x:is>
      </x:c>
    </x:row>
    <x:row r="155">
      <x:c r="A155" s="18" t="inlineStr">
        <x:is>
          <x:t xml:space="preserve">T319</x:t>
        </x:is>
      </x:c>
      <x:c r="B155" s="18" t="inlineStr">
        <x:is>
          <x:t xml:space="preserve">Employer Conflict</x:t>
        </x:is>
      </x:c>
      <x:c r="C155" s="18" t="inlineStr">
        <x:is>
          <x:t xml:space="preserve">Archive original AbarVa repository with full history — multiple encrypted offline backups</x:t>
        </x:is>
      </x:c>
      <x:c r="D155" s="18" t="inlineStr">
        <x:is>
          <x:t xml:space="preserve">Time Machine + USB drive + encrypted cloud (2+ copies). This is your proof of authorship + timeline. Date-stamp the backups.</x:t>
        </x:is>
      </x:c>
      <x:c r="E155" s="31" t="inlineStr">
        <x:is>
          <x:t xml:space="preserve">P0</x:t>
        </x:is>
      </x:c>
      <x:c r="F155" s="38" t="inlineStr">
        <x:is>
          <x:t xml:space="preserve">1. QUICK WIN</x:t>
        </x:is>
      </x:c>
      <x:c r="G155" s="18" t="inlineStr">
        <x:is>
          <x:t xml:space="preserve">Anand</x:t>
        </x:is>
      </x:c>
      <x:c r="H155" s="18" t="inlineStr">
        <x:is>
          <x:t xml:space="preserve"/>
        </x:is>
      </x:c>
      <x:c r="I155" s="43" t="inlineStr">
        <x:is>
          <x:t xml:space="preserve">Self-serve (backup)</x:t>
        </x:is>
      </x:c>
      <x:c r="J155" s="52" t="inlineStr">
        <x:is>
          <x:t xml:space="preserve">$0</x:t>
        </x:is>
      </x:c>
      <x:c r="K155" s="82" t="inlineStr">
        <x:is>
          <x:t xml:space="preserve">Pre-Resign</x:t>
        </x:is>
      </x:c>
      <x:c r="L155" s="44" t="inlineStr">
        <x:is>
          <x:t xml:space="preserve">Not started</x:t>
        </x:is>
      </x:c>
      <x:c r="M155" s="18" t="inlineStr">
        <x:is>
          <x:t xml:space="preserve"/>
        </x:is>
      </x:c>
    </x:row>
    <x:row r="156">
      <x:c r="A156" s="18" t="inlineStr">
        <x:is>
          <x:t xml:space="preserve">T320</x:t>
        </x:is>
      </x:c>
      <x:c r="B156" s="18" t="inlineStr">
        <x:is>
          <x:t xml:space="preserve">Employer Conflict</x:t>
        </x:is>
      </x:c>
      <x:c r="C156" s="18" t="inlineStr">
        <x:is>
          <x:t xml:space="preserve">Notarize current code state with OpenTimestamps or similar (tamper-evident proof of existence)</x:t>
        </x:is>
      </x:c>
      <x:c r="D156" s="18" t="inlineStr">
        <x:is>
          <x:t xml:space="preserve">Free service. Generates a cryptographic proof: 'this code existed as of this date.' Belt-and-suspenders on timeline evidence.</x:t>
        </x:is>
      </x:c>
      <x:c r="E156" s="31" t="inlineStr">
        <x:is>
          <x:t xml:space="preserve">P0</x:t>
        </x:is>
      </x:c>
      <x:c r="F156" s="38" t="inlineStr">
        <x:is>
          <x:t xml:space="preserve">1. QUICK WIN</x:t>
        </x:is>
      </x:c>
      <x:c r="G156" s="18" t="inlineStr">
        <x:is>
          <x:t xml:space="preserve">Anand</x:t>
        </x:is>
      </x:c>
      <x:c r="H156" s="18" t="inlineStr">
        <x:is>
          <x:t xml:space="preserve"/>
        </x:is>
      </x:c>
      <x:c r="I156" s="43" t="inlineStr">
        <x:is>
          <x:t xml:space="preserve">Self-serve</x:t>
        </x:is>
      </x:c>
      <x:c r="J156" s="52" t="inlineStr">
        <x:is>
          <x:t xml:space="preserve">$0 (OpenTimestamps free)</x:t>
        </x:is>
      </x:c>
      <x:c r="K156" s="82" t="inlineStr">
        <x:is>
          <x:t xml:space="preserve">Pre-Resign</x:t>
        </x:is>
      </x:c>
      <x:c r="L156" s="44" t="inlineStr">
        <x:is>
          <x:t xml:space="preserve">Not started</x:t>
        </x:is>
      </x:c>
      <x:c r="M156" s="18" t="inlineStr">
        <x:is>
          <x:t xml:space="preserve"/>
        </x:is>
      </x:c>
    </x:row>
    <x:row r="157">
      <x:c r="A157" s="18" t="inlineStr">
        <x:is>
          <x:t xml:space="preserve">T321</x:t>
        </x:is>
      </x:c>
      <x:c r="B157" s="18" t="inlineStr">
        <x:is>
          <x:t xml:space="preserve">Employer Conflict</x:t>
        </x:is>
      </x:c>
      <x:c r="C157" s="18" t="inlineStr">
        <x:is>
          <x:t xml:space="preserve">Build personal evidence portfolio: MacBook ownership proof, Apple receipts, domain registration dates, personal credit card records for AbarVa spend</x:t>
        </x:is>
      </x:c>
      <x:c r="D157" s="18" t="inlineStr">
        <x:is>
          <x:t xml:space="preserve">Discoverable proof that work was on personal equipment + personal funds. Save in same archive as code. NOTE: 5/17-5/26 vacation work is gold-standard evidence — capture vacation request records + commit timestamps in this window.</x:t>
        </x:is>
      </x:c>
      <x:c r="E157" s="31" t="inlineStr">
        <x:is>
          <x:t xml:space="preserve">P0</x:t>
        </x:is>
      </x:c>
      <x:c r="F157" s="38" t="inlineStr">
        <x:is>
          <x:t xml:space="preserve">1. QUICK WIN</x:t>
        </x:is>
      </x:c>
      <x:c r="G157" s="18" t="inlineStr">
        <x:is>
          <x:t xml:space="preserve">Anand</x:t>
        </x:is>
      </x:c>
      <x:c r="H157" s="18" t="inlineStr">
        <x:is>
          <x:t xml:space="preserve"/>
        </x:is>
      </x:c>
      <x:c r="I157" s="43" t="inlineStr">
        <x:is>
          <x:t xml:space="preserve">Self-serve (compile)</x:t>
        </x:is>
      </x:c>
      <x:c r="J157" s="52" t="inlineStr">
        <x:is>
          <x:t xml:space="preserve">$0</x:t>
        </x:is>
      </x:c>
      <x:c r="K157" s="82" t="inlineStr">
        <x:is>
          <x:t xml:space="preserve">Pre-Resign</x:t>
        </x:is>
      </x:c>
      <x:c r="L157" s="44" t="inlineStr">
        <x:is>
          <x:t xml:space="preserve">Not started</x:t>
        </x:is>
      </x:c>
      <x:c r="M157" s="18" t="inlineStr">
        <x:is>
          <x:t xml:space="preserve">5/17-5/26 PTO concentrated build = clean evidence</x:t>
        </x:is>
      </x:c>
    </x:row>
    <x:row r="158">
      <x:c r="A158" s="18" t="inlineStr">
        <x:is>
          <x:t xml:space="preserve">T323</x:t>
        </x:is>
      </x:c>
      <x:c r="B158" s="18" t="inlineStr">
        <x:is>
          <x:t xml:space="preserve">Employer Conflict</x:t>
        </x:is>
      </x:c>
      <x:c r="C158" s="18" t="inlineStr">
        <x:is>
          <x:t xml:space="preserve">New AbarVa Inc. corporate repo: import code as initial commit + clearly state assignment in commit message</x:t>
        </x:is>
      </x:c>
      <x:c r="D158" s="18" t="inlineStr">
        <x:is>
          <x:t xml:space="preserve">New repo date is fine — it's a transfer event, not concealment. Commit message references the assignment agreement. Original repo preserved as archive.</x:t>
        </x:is>
      </x:c>
      <x:c r="E158" s="31" t="inlineStr">
        <x:is>
          <x:t xml:space="preserve">P0</x:t>
        </x:is>
      </x:c>
      <x:c r="F158" s="38" t="inlineStr">
        <x:is>
          <x:t xml:space="preserve">1. QUICK WIN</x:t>
        </x:is>
      </x:c>
      <x:c r="G158" s="18" t="inlineStr">
        <x:is>
          <x:t xml:space="preserve">Anand</x:t>
        </x:is>
      </x:c>
      <x:c r="H158" s="18" t="inlineStr">
        <x:is>
          <x:t xml:space="preserve"/>
        </x:is>
      </x:c>
      <x:c r="I158" s="43" t="inlineStr">
        <x:is>
          <x:t xml:space="preserve">Self-serve (git)</x:t>
        </x:is>
      </x:c>
      <x:c r="J158" s="52" t="inlineStr">
        <x:is>
          <x:t xml:space="preserve">$0</x:t>
        </x:is>
      </x:c>
      <x:c r="K158" s="82" t="inlineStr">
        <x:is>
          <x:t xml:space="preserve">Pre-Resign</x:t>
        </x:is>
      </x:c>
      <x:c r="L158" s="44" t="inlineStr">
        <x:is>
          <x:t xml:space="preserve">Not started</x:t>
        </x:is>
      </x:c>
      <x:c r="M158" s="18" t="inlineStr">
        <x:is>
          <x:t xml:space="preserve"/>
        </x:is>
      </x:c>
    </x:row>
    <x:row r="159">
      <x:c r="A159" s="18" t="inlineStr">
        <x:is>
          <x:t xml:space="preserve">T312</x:t>
        </x:is>
      </x:c>
      <x:c r="B159" s="18" t="inlineStr">
        <x:is>
          <x:t xml:space="preserve">Employer Conflict</x:t>
        </x:is>
      </x:c>
      <x:c r="C159" s="18" t="inlineStr">
        <x:is>
          <x:t xml:space="preserve">Audit AbarVa corpus + Move templates + methodologies for any Accenture-derived material</x:t>
        </x:is>
      </x:c>
      <x:c r="D159" s="18" t="inlineStr">
        <x:is>
          <x:t xml:space="preserve">Patterns must derive from public sources or original work — NOT from Accenture engagements. Scrub anything ambiguous.</x:t>
        </x:is>
      </x:c>
      <x:c r="E159" s="31" t="inlineStr">
        <x:is>
          <x:t xml:space="preserve">P0</x:t>
        </x:is>
      </x:c>
      <x:c r="F159" s="39" t="inlineStr">
        <x:is>
          <x:t xml:space="preserve">2. CLAUDE DOES IT</x:t>
        </x:is>
      </x:c>
      <x:c r="G159" s="18" t="inlineStr">
        <x:is>
          <x:t xml:space="preserve">Anand</x:t>
        </x:is>
      </x:c>
      <x:c r="H159" s="18" t="inlineStr">
        <x:is>
          <x:t xml:space="preserve"/>
        </x:is>
      </x:c>
      <x:c r="I159" s="45" t="inlineStr">
        <x:is>
          <x:t xml:space="preserve">Claude (audit) + you</x:t>
        </x:is>
      </x:c>
      <x:c r="J159" s="52" t="inlineStr">
        <x:is>
          <x:t xml:space="preserve">$0</x:t>
        </x:is>
      </x:c>
      <x:c r="K159" s="82" t="inlineStr">
        <x:is>
          <x:t xml:space="preserve">Pre-Resign</x:t>
        </x:is>
      </x:c>
      <x:c r="L159" s="44" t="inlineStr">
        <x:is>
          <x:t xml:space="preserve">Not started</x:t>
        </x:is>
      </x:c>
      <x:c r="M159" s="18" t="inlineStr">
        <x:is>
          <x:t xml:space="preserve"/>
        </x:is>
      </x:c>
    </x:row>
    <x:row r="160">
      <x:c r="A160" s="18" t="inlineStr">
        <x:is>
          <x:t xml:space="preserve">T322</x:t>
        </x:is>
      </x:c>
      <x:c r="B160" s="18" t="inlineStr">
        <x:is>
          <x:t xml:space="preserve">Employer Conflict</x:t>
        </x:is>
      </x:c>
      <x:c r="C160" s="18" t="inlineStr">
        <x:is>
          <x:t xml:space="preserve">Post-incorporation: clean IP assignment from founder to AbarVa Inc. (written agreement, dated)</x:t>
        </x:is>
      </x:c>
      <x:c r="D160" s="18" t="inlineStr">
        <x:is>
          <x:t xml:space="preserve">'Founder transfers all rights in code created on personal time/equipment between [date] and [date] to AbarVa Inc.' Lawyer drafts. THIS is the right way to 'transfer to company' — not git wipe.</x:t>
        </x:is>
      </x:c>
      <x:c r="E160" s="31" t="inlineStr">
        <x:is>
          <x:t xml:space="preserve">P0</x:t>
        </x:is>
      </x:c>
      <x:c r="F160" s="39" t="inlineStr">
        <x:is>
          <x:t xml:space="preserve">2. CLAUDE DOES IT</x:t>
        </x:is>
      </x:c>
      <x:c r="G160" s="18" t="inlineStr">
        <x:is>
          <x:t xml:space="preserve">Anand</x:t>
        </x:is>
      </x:c>
      <x:c r="H160" s="18" t="inlineStr">
        <x:is>
          <x:t xml:space="preserve"/>
        </x:is>
      </x:c>
      <x:c r="I160" s="45" t="inlineStr">
        <x:is>
          <x:t xml:space="preserve">Claude (draft) + lawyer</x:t>
        </x:is>
      </x:c>
      <x:c r="J160" s="51" t="inlineStr">
        <x:is>
          <x:t xml:space="preserve">$500 (within lawyer initial)</x:t>
        </x:is>
      </x:c>
      <x:c r="K160" s="82" t="inlineStr">
        <x:is>
          <x:t xml:space="preserve">Pre-Resign</x:t>
        </x:is>
      </x:c>
      <x:c r="L160" s="44" t="inlineStr">
        <x:is>
          <x:t xml:space="preserve">Not started</x:t>
        </x:is>
      </x:c>
      <x:c r="M160" s="18" t="inlineStr">
        <x:is>
          <x:t xml:space="preserve"/>
        </x:is>
      </x:c>
    </x:row>
    <x:row r="161">
      <x:c r="A161" s="18" t="inlineStr">
        <x:is>
          <x:t xml:space="preserve">T311</x:t>
        </x:is>
      </x:c>
      <x:c r="B161" s="18" t="inlineStr">
        <x:is>
          <x:t xml:space="preserve">Employer Conflict</x:t>
        </x:is>
      </x:c>
      <x:c r="C161" s="18" t="inlineStr">
        <x:is>
          <x:t xml:space="preserve">Document AbarVa development timeline — clean separation from Accenture work</x:t>
        </x:is>
      </x:c>
      <x:c r="D161" s="18" t="inlineStr">
        <x:is>
          <x:t xml:space="preserve">Personal time, personal equipment, no Accenture resources, no Accenture client data. Git commits, time stamps, equipment IDs. Defensible audit trail if challenged.</x:t>
        </x:is>
      </x:c>
      <x:c r="E161" s="31" t="inlineStr">
        <x:is>
          <x:t xml:space="preserve">P0</x:t>
        </x:is>
      </x:c>
      <x:c r="F161" s="40" t="inlineStr">
        <x:is>
          <x:t xml:space="preserve">3. CLAUDE + YOU</x:t>
        </x:is>
      </x:c>
      <x:c r="G161" s="18" t="inlineStr">
        <x:is>
          <x:t xml:space="preserve">Anand</x:t>
        </x:is>
      </x:c>
      <x:c r="H161" s="18" t="inlineStr">
        <x:is>
          <x:t xml:space="preserve"/>
        </x:is>
      </x:c>
      <x:c r="I161" s="47" t="inlineStr">
        <x:is>
          <x:t xml:space="preserve">Claude + you (compile)</x:t>
        </x:is>
      </x:c>
      <x:c r="J161" s="52" t="inlineStr">
        <x:is>
          <x:t xml:space="preserve">$0</x:t>
        </x:is>
      </x:c>
      <x:c r="K161" s="82" t="inlineStr">
        <x:is>
          <x:t xml:space="preserve">Pre-Resign</x:t>
        </x:is>
      </x:c>
      <x:c r="L161" s="44" t="inlineStr">
        <x:is>
          <x:t xml:space="preserve">Not started</x:t>
        </x:is>
      </x:c>
      <x:c r="M161" s="18" t="inlineStr">
        <x:is>
          <x:t xml:space="preserve"/>
        </x:is>
      </x:c>
    </x:row>
    <x:row r="162">
      <x:c r="A162" s="18" t="inlineStr">
        <x:is>
          <x:t xml:space="preserve">T314</x:t>
        </x:is>
      </x:c>
      <x:c r="B162" s="18" t="inlineStr">
        <x:is>
          <x:t xml:space="preserve">Employer Conflict</x:t>
        </x:is>
      </x:c>
      <x:c r="C162" s="18" t="inlineStr">
        <x:is>
          <x:t xml:space="preserve">Plan notice period + garden leave (if required) — bake into pilot timing</x:t>
        </x:is>
      </x:c>
      <x:c r="D162" s="18" t="inlineStr">
        <x:is>
          <x:t xml:space="preserve">Accenture notice typically 30-90 days senior level. Garden leave may delay your free-to-work date. Must align with July 1 pilot kickoff target.</x:t>
        </x:is>
      </x:c>
      <x:c r="E162" s="31" t="inlineStr">
        <x:is>
          <x:t xml:space="preserve">P0</x:t>
        </x:is>
      </x:c>
      <x:c r="F162" s="40" t="inlineStr">
        <x:is>
          <x:t xml:space="preserve">3. CLAUDE + YOU</x:t>
        </x:is>
      </x:c>
      <x:c r="G162" s="18" t="inlineStr">
        <x:is>
          <x:t xml:space="preserve">Anand</x:t>
        </x:is>
      </x:c>
      <x:c r="H162" s="18" t="inlineStr">
        <x:is>
          <x:t xml:space="preserve"/>
        </x:is>
      </x:c>
      <x:c r="I162" s="47" t="inlineStr">
        <x:is>
          <x:t xml:space="preserve">Claude + you</x:t>
        </x:is>
      </x:c>
      <x:c r="J162" s="52" t="inlineStr">
        <x:is>
          <x:t xml:space="preserve">$0</x:t>
        </x:is>
      </x:c>
      <x:c r="K162" s="82" t="inlineStr">
        <x:is>
          <x:t xml:space="preserve">Pre-Resign</x:t>
        </x:is>
      </x:c>
      <x:c r="L162" s="44" t="inlineStr">
        <x:is>
          <x:t xml:space="preserve">Not started</x:t>
        </x:is>
      </x:c>
      <x:c r="M162" s="18" t="inlineStr">
        <x:is>
          <x:t xml:space="preserve"/>
        </x:is>
      </x:c>
    </x:row>
    <x:row r="163">
      <x:c r="A163" s="18" t="inlineStr">
        <x:is>
          <x:t xml:space="preserve">T308</x:t>
        </x:is>
      </x:c>
      <x:c r="B163" s="18" t="inlineStr">
        <x:is>
          <x:t xml:space="preserve">Employer Conflict</x:t>
        </x:is>
      </x:c>
      <x:c r="C163" s="18" t="inlineStr">
        <x:is>
          <x:t xml:space="preserve">Engage employment lawyer (separate from corp/tech lawyer) for Accenture-specific opinion letter</x:t>
        </x:is>
      </x:c>
      <x:c r="D163" s="18" t="inlineStr">
        <x:is>
          <x:t xml:space="preserve">$2-5k. Review non-compete, non-solicit, confidentiality, IP. Get WRITTEN opinion you can rely on.</x:t>
        </x:is>
      </x:c>
      <x:c r="E163" s="31" t="inlineStr">
        <x:is>
          <x:t xml:space="preserve">P0</x:t>
        </x:is>
      </x:c>
      <x:c r="F163" s="42" t="inlineStr">
        <x:is>
          <x:t xml:space="preserve">5. EXTERNAL</x:t>
        </x:is>
      </x:c>
      <x:c r="G163" s="18" t="inlineStr">
        <x:is>
          <x:t xml:space="preserve">Anand</x:t>
        </x:is>
      </x:c>
      <x:c r="H163" s="18" t="inlineStr">
        <x:is>
          <x:t xml:space="preserve"/>
        </x:is>
      </x:c>
      <x:c r="I163" s="48" t="inlineStr">
        <x:is>
          <x:t xml:space="preserve">3rd party: employment lawyer</x:t>
        </x:is>
      </x:c>
      <x:c r="J163" s="51" t="inlineStr">
        <x:is>
          <x:t xml:space="preserve">$2-5k one-time</x:t>
        </x:is>
      </x:c>
      <x:c r="K163" s="82" t="inlineStr">
        <x:is>
          <x:t xml:space="preserve">Pre-Resign</x:t>
        </x:is>
      </x:c>
      <x:c r="L163" s="44" t="inlineStr">
        <x:is>
          <x:t xml:space="preserve">Not started</x:t>
        </x:is>
      </x:c>
      <x:c r="M163" s="18" t="inlineStr">
        <x:is>
          <x:t xml:space="preserve"/>
        </x:is>
      </x:c>
    </x:row>
    <x:row r="164">
      <x:c r="A164" s="18" t="inlineStr">
        <x:is>
          <x:t xml:space="preserve">T309</x:t>
        </x:is>
      </x:c>
      <x:c r="B164" s="18" t="inlineStr">
        <x:is>
          <x:t xml:space="preserve">Employer Conflict</x:t>
        </x:is>
      </x:c>
      <x:c r="C164" s="18" t="inlineStr">
        <x:is>
          <x:t xml:space="preserve">Map PHS / KK / Surekha against Accenture's client list — any overlap?</x:t>
        </x:is>
      </x:c>
      <x:c r="D164" s="18" t="inlineStr">
        <x:is>
          <x:t xml:space="preserve">If any are current/recent Accenture clients, especially ones you've worked on, that prospect is high-risk.</x:t>
        </x:is>
      </x:c>
      <x:c r="E164" s="31" t="inlineStr">
        <x:is>
          <x:t xml:space="preserve">P0</x:t>
        </x:is>
      </x:c>
      <x:c r="F164" s="42" t="inlineStr">
        <x:is>
          <x:t xml:space="preserve">5. EXTERNAL</x:t>
        </x:is>
      </x:c>
      <x:c r="G164" s="18" t="inlineStr">
        <x:is>
          <x:t xml:space="preserve">Anand</x:t>
        </x:is>
      </x:c>
      <x:c r="H164" s="18" t="inlineStr">
        <x:is>
          <x:t xml:space="preserve"/>
        </x:is>
      </x:c>
      <x:c r="I164" s="48" t="inlineStr">
        <x:is>
          <x:t xml:space="preserve">You only (relationship audit)</x:t>
        </x:is>
      </x:c>
      <x:c r="J164" s="52" t="inlineStr">
        <x:is>
          <x:t xml:space="preserve">$0</x:t>
        </x:is>
      </x:c>
      <x:c r="K164" s="82" t="inlineStr">
        <x:is>
          <x:t xml:space="preserve">Pre-Resign</x:t>
        </x:is>
      </x:c>
      <x:c r="L164" s="44" t="inlineStr">
        <x:is>
          <x:t xml:space="preserve">Not started</x:t>
        </x:is>
      </x:c>
      <x:c r="M164" s="18" t="inlineStr">
        <x:is>
          <x:t xml:space="preserve"/>
        </x:is>
      </x:c>
    </x:row>
    <x:row r="165">
      <x:c r="A165" s="18" t="inlineStr">
        <x:is>
          <x:t xml:space="preserve">T310</x:t>
        </x:is>
      </x:c>
      <x:c r="B165" s="18" t="inlineStr">
        <x:is>
          <x:t xml:space="preserve">Employer Conflict</x:t>
        </x:is>
      </x:c>
      <x:c r="C165" s="18" t="inlineStr">
        <x:is>
          <x:t xml:space="preserve">PAUSE active close sprints until employment lawyer opinion received</x:t>
        </x:is>
      </x:c>
      <x:c r="D165" s="18" t="inlineStr">
        <x:is>
          <x:t xml:space="preserve">Continuing without clarity = career + litigation risk. 1-2 week pause is cheap insurance.</x:t>
        </x:is>
      </x:c>
      <x:c r="E165" s="31" t="inlineStr">
        <x:is>
          <x:t xml:space="preserve">P0</x:t>
        </x:is>
      </x:c>
      <x:c r="F165" s="42" t="inlineStr">
        <x:is>
          <x:t xml:space="preserve">5. EXTERNAL</x:t>
        </x:is>
      </x:c>
      <x:c r="G165" s="18" t="inlineStr">
        <x:is>
          <x:t xml:space="preserve">Anand</x:t>
        </x:is>
      </x:c>
      <x:c r="H165" s="18" t="inlineStr">
        <x:is>
          <x:t xml:space="preserve"/>
        </x:is>
      </x:c>
      <x:c r="I165" s="48" t="inlineStr">
        <x:is>
          <x:t xml:space="preserve">You only (calendar pause)</x:t>
        </x:is>
      </x:c>
      <x:c r="J165" s="52" t="inlineStr">
        <x:is>
          <x:t xml:space="preserve">$0</x:t>
        </x:is>
      </x:c>
      <x:c r="K165" s="82" t="inlineStr">
        <x:is>
          <x:t xml:space="preserve">Pre-Resign</x:t>
        </x:is>
      </x:c>
      <x:c r="L165" s="44" t="inlineStr">
        <x:is>
          <x:t xml:space="preserve">Not started</x:t>
        </x:is>
      </x:c>
      <x:c r="M165" s="18" t="inlineStr">
        <x:is>
          <x:t xml:space="preserve"/>
        </x:is>
      </x:c>
    </x:row>
    <x:row r="166">
      <x:c r="A166" s="18" t="inlineStr">
        <x:is>
          <x:t xml:space="preserve">T313</x:t>
        </x:is>
      </x:c>
      <x:c r="B166" s="18" t="inlineStr">
        <x:is>
          <x:t xml:space="preserve">Employer Conflict</x:t>
        </x:is>
      </x:c>
      <x:c r="C166" s="18" t="inlineStr">
        <x:is>
          <x:t xml:space="preserve">Decide Accenture exit timing relative to pilot signings</x:t>
        </x:is>
      </x:c>
      <x:c r="D166" s="18" t="inlineStr">
        <x:is>
          <x:t xml:space="preserve">Cleanest: leave BEFORE signing pilots, with conflicts cleared. Risky: sign while at Accenture. Worst: sign with client overlap.</x:t>
        </x:is>
      </x:c>
      <x:c r="E166" s="31" t="inlineStr">
        <x:is>
          <x:t xml:space="preserve">P0</x:t>
        </x:is>
      </x:c>
      <x:c r="F166" s="42" t="inlineStr">
        <x:is>
          <x:t xml:space="preserve">5. EXTERNAL</x:t>
        </x:is>
      </x:c>
      <x:c r="G166" s="18" t="inlineStr">
        <x:is>
          <x:t xml:space="preserve">Anand</x:t>
        </x:is>
      </x:c>
      <x:c r="H166" s="18" t="inlineStr">
        <x:is>
          <x:t xml:space="preserve"/>
        </x:is>
      </x:c>
      <x:c r="I166" s="48" t="inlineStr">
        <x:is>
          <x:t xml:space="preserve">You only (strategic decision)</x:t>
        </x:is>
      </x:c>
      <x:c r="J166" s="52" t="inlineStr">
        <x:is>
          <x:t xml:space="preserve">$0</x:t>
        </x:is>
      </x:c>
      <x:c r="K166" s="82" t="inlineStr">
        <x:is>
          <x:t xml:space="preserve">Pre-Resign</x:t>
        </x:is>
      </x:c>
      <x:c r="L166" s="44" t="inlineStr">
        <x:is>
          <x:t xml:space="preserve">Not started</x:t>
        </x:is>
      </x:c>
      <x:c r="M166" s="18" t="inlineStr">
        <x:is>
          <x:t xml:space="preserve"/>
        </x:is>
      </x:c>
    </x:row>
    <x:row r="167">
      <x:c r="A167" s="18" t="inlineStr">
        <x:is>
          <x:t xml:space="preserve">T316</x:t>
        </x:is>
      </x:c>
      <x:c r="B167" s="18" t="inlineStr">
        <x:is>
          <x:t xml:space="preserve">Employer Conflict</x:t>
        </x:is>
      </x:c>
      <x:c r="C167" s="18" t="inlineStr">
        <x:is>
          <x:t xml:space="preserve">Don't mention AbarVa to Accenture colleagues yet</x:t>
        </x:is>
      </x:c>
      <x:c r="D167" s="18" t="inlineStr">
        <x:is>
          <x:t xml:space="preserve">Discoverable in litigation. Keep counsel close. Discuss with employment lawyer when/how to disclose internally.</x:t>
        </x:is>
      </x:c>
      <x:c r="E167" s="31" t="inlineStr">
        <x:is>
          <x:t xml:space="preserve">P0</x:t>
        </x:is>
      </x:c>
      <x:c r="F167" s="42" t="inlineStr">
        <x:is>
          <x:t xml:space="preserve">5. EXTERNAL</x:t>
        </x:is>
      </x:c>
      <x:c r="G167" s="18" t="inlineStr">
        <x:is>
          <x:t xml:space="preserve">Anand</x:t>
        </x:is>
      </x:c>
      <x:c r="H167" s="18" t="inlineStr">
        <x:is>
          <x:t xml:space="preserve"/>
        </x:is>
      </x:c>
      <x:c r="I167" s="48" t="inlineStr">
        <x:is>
          <x:t xml:space="preserve">You only</x:t>
        </x:is>
      </x:c>
      <x:c r="J167" s="52" t="inlineStr">
        <x:is>
          <x:t xml:space="preserve">$0</x:t>
        </x:is>
      </x:c>
      <x:c r="K167" s="82" t="inlineStr">
        <x:is>
          <x:t xml:space="preserve">Pre-Resign</x:t>
        </x:is>
      </x:c>
      <x:c r="L167" s="44" t="inlineStr">
        <x:is>
          <x:t xml:space="preserve">Not started</x:t>
        </x:is>
      </x:c>
      <x:c r="M167" s="18" t="inlineStr">
        <x:is>
          <x:t xml:space="preserve"/>
        </x:is>
      </x:c>
    </x:row>
    <x:row r="168">
      <x:c r="A168" s="18" t="inlineStr">
        <x:is>
          <x:t xml:space="preserve">T318</x:t>
        </x:is>
      </x:c>
      <x:c r="B168" s="18" t="inlineStr">
        <x:is>
          <x:t xml:space="preserve">Employer Conflict</x:t>
        </x:is>
      </x:c>
      <x:c r="C168" s="18" t="inlineStr">
        <x:is>
          <x:t xml:space="preserve">⚠️ DO NOT wipe git history for 'fresh timestamp' — PRESERVE original commits as proof</x:t>
        </x:is>
      </x:c>
      <x:c r="D168" s="18" t="inlineStr">
        <x:is>
          <x:t xml:space="preserve">Original timestamps + personal email + evening/weekend commits are your PROOF the code is yours. Wiping = looks like spoliation of evidence in litigation. KEEP everything.</x:t>
        </x:is>
      </x:c>
      <x:c r="E168" s="31" t="inlineStr">
        <x:is>
          <x:t xml:space="preserve">P0</x:t>
        </x:is>
      </x:c>
      <x:c r="F168" s="42" t="inlineStr">
        <x:is>
          <x:t xml:space="preserve">5. EXTERNAL</x:t>
        </x:is>
      </x:c>
      <x:c r="G168" s="18" t="inlineStr">
        <x:is>
          <x:t xml:space="preserve">Anand</x:t>
        </x:is>
      </x:c>
      <x:c r="H168" s="18" t="inlineStr">
        <x:is>
          <x:t xml:space="preserve"/>
        </x:is>
      </x:c>
      <x:c r="I168" s="48" t="inlineStr">
        <x:is>
          <x:t xml:space="preserve">You only (don't do the wipe)</x:t>
        </x:is>
      </x:c>
      <x:c r="J168" s="52" t="inlineStr">
        <x:is>
          <x:t xml:space="preserve">$0</x:t>
        </x:is>
      </x:c>
      <x:c r="K168" s="82" t="inlineStr">
        <x:is>
          <x:t xml:space="preserve">Pre-Resign</x:t>
        </x:is>
      </x:c>
      <x:c r="L168" s="44" t="inlineStr">
        <x:is>
          <x:t xml:space="preserve">Not started</x:t>
        </x:is>
      </x:c>
      <x:c r="M168" s="18" t="inlineStr">
        <x:is>
          <x:t xml:space="preserve"/>
        </x:is>
      </x:c>
    </x:row>
    <x:row r="169">
      <x:c r="A169" s="18" t="inlineStr">
        <x:is>
          <x:t xml:space="preserve">T324</x:t>
        </x:is>
      </x:c>
      <x:c r="B169" s="18" t="inlineStr">
        <x:is>
          <x:t xml:space="preserve">Employer Conflict</x:t>
        </x:is>
      </x:c>
      <x:c r="C169" s="18" t="inlineStr">
        <x:is>
          <x:t xml:space="preserve">PHS-SPECIFIC LAWYER QUESTION: does Accenture non-solicit restrict business with PHS CDAO given 15-year preexisting personal relationship + Sutter handoff history?</x:t>
        </x:is>
      </x:c>
      <x:c r="D169" s="18" t="inlineStr">
        <x:is>
          <x:t xml:space="preserve">Most important question for your lawyer. Get WRITTEN opinion specifically on this fact pattern. 'Preexisting personal relationship' is your defense; 'introduced him to Accenture revenue' is their counter.</x:t>
        </x:is>
      </x:c>
      <x:c r="E169" s="31" t="inlineStr">
        <x:is>
          <x:t xml:space="preserve">P0</x:t>
        </x:is>
      </x:c>
      <x:c r="F169" s="42" t="inlineStr">
        <x:is>
          <x:t xml:space="preserve">5. EXTERNAL</x:t>
        </x:is>
      </x:c>
      <x:c r="G169" s="18" t="inlineStr">
        <x:is>
          <x:t xml:space="preserve">Anand</x:t>
        </x:is>
      </x:c>
      <x:c r="H169" s="18" t="inlineStr">
        <x:is>
          <x:t xml:space="preserve"/>
        </x:is>
      </x:c>
      <x:c r="I169" s="48" t="inlineStr">
        <x:is>
          <x:t xml:space="preserve">3rd party: employment lawyer</x:t>
        </x:is>
      </x:c>
      <x:c r="J169" s="52" t="inlineStr">
        <x:is>
          <x:t xml:space="preserve">$0 (within lawyer review)</x:t>
        </x:is>
      </x:c>
      <x:c r="K169" s="82" t="inlineStr">
        <x:is>
          <x:t xml:space="preserve">Pre-Resign</x:t>
        </x:is>
      </x:c>
      <x:c r="L169" s="44" t="inlineStr">
        <x:is>
          <x:t xml:space="preserve">Not started</x:t>
        </x:is>
      </x:c>
      <x:c r="M169" s="18" t="inlineStr">
        <x:is>
          <x:t xml:space="preserve"/>
        </x:is>
      </x:c>
    </x:row>
    <x:row r="170">
      <x:c r="A170" s="18" t="inlineStr">
        <x:is>
          <x:t xml:space="preserve">T325</x:t>
        </x:is>
      </x:c>
      <x:c r="B170" s="18" t="inlineStr">
        <x:is>
          <x:t xml:space="preserve">Employer Conflict</x:t>
        </x:is>
      </x:c>
      <x:c r="C170" s="18" t="inlineStr">
        <x:is>
          <x:t xml:space="preserve">Document 15-year PHS CDAO relationship timeline (predates Accenture)</x:t>
        </x:is>
      </x:c>
      <x:c r="D170" s="18" t="inlineStr">
        <x:is>
          <x:t xml:space="preserve">Emails, LinkedIn connection date, prior employer overlap dates. Contemporaneous evidence of personal relationship.</x:t>
        </x:is>
      </x:c>
      <x:c r="E170" s="31" t="inlineStr">
        <x:is>
          <x:t xml:space="preserve">P0</x:t>
        </x:is>
      </x:c>
      <x:c r="F170" s="42" t="inlineStr">
        <x:is>
          <x:t xml:space="preserve">5. EXTERNAL</x:t>
        </x:is>
      </x:c>
      <x:c r="G170" s="18" t="inlineStr">
        <x:is>
          <x:t xml:space="preserve">Anand</x:t>
        </x:is>
      </x:c>
      <x:c r="H170" s="18" t="inlineStr">
        <x:is>
          <x:t xml:space="preserve"/>
        </x:is>
      </x:c>
      <x:c r="I170" s="48" t="inlineStr">
        <x:is>
          <x:t xml:space="preserve">You only (compile)</x:t>
        </x:is>
      </x:c>
      <x:c r="J170" s="52" t="inlineStr">
        <x:is>
          <x:t xml:space="preserve">$0</x:t>
        </x:is>
      </x:c>
      <x:c r="K170" s="82" t="inlineStr">
        <x:is>
          <x:t xml:space="preserve">Pre-Resign</x:t>
        </x:is>
      </x:c>
      <x:c r="L170" s="44" t="inlineStr">
        <x:is>
          <x:t xml:space="preserve">Not started</x:t>
        </x:is>
      </x:c>
      <x:c r="M170" s="18" t="inlineStr">
        <x:is>
          <x:t xml:space="preserve"/>
        </x:is>
      </x:c>
    </x:row>
    <x:row r="171">
      <x:c r="A171" s="18" t="inlineStr">
        <x:is>
          <x:t xml:space="preserve">T326</x:t>
        </x:is>
      </x:c>
      <x:c r="B171" s="18" t="inlineStr">
        <x:is>
          <x:t xml:space="preserve">Employer Conflict</x:t>
        </x:is>
      </x:c>
      <x:c r="C171" s="18" t="inlineStr">
        <x:is>
          <x:t xml:space="preserve">PHS: do NOT sign pilot until (a) Accenture exit complete, (b) written lawyer opinion on CDAO non-solicit in hand</x:t>
        </x:is>
      </x:c>
      <x:c r="D171" s="18" t="inlineStr">
        <x:is>
          <x:t xml:space="preserve">Even with clean facts, PHS is the highest-risk prospect because user brought CDAO to Accenture revenue at Sutter. Buffer matters here.</x:t>
        </x:is>
      </x:c>
      <x:c r="E171" s="31" t="inlineStr">
        <x:is>
          <x:t xml:space="preserve">P0</x:t>
        </x:is>
      </x:c>
      <x:c r="F171" s="42" t="inlineStr">
        <x:is>
          <x:t xml:space="preserve">5. EXTERNAL</x:t>
        </x:is>
      </x:c>
      <x:c r="G171" s="18" t="inlineStr">
        <x:is>
          <x:t xml:space="preserve">Anand</x:t>
        </x:is>
      </x:c>
      <x:c r="H171" s="18" t="inlineStr">
        <x:is>
          <x:t xml:space="preserve"/>
        </x:is>
      </x:c>
      <x:c r="I171" s="48" t="inlineStr">
        <x:is>
          <x:t xml:space="preserve">You only (discipline)</x:t>
        </x:is>
      </x:c>
      <x:c r="J171" s="52" t="inlineStr">
        <x:is>
          <x:t xml:space="preserve">$0</x:t>
        </x:is>
      </x:c>
      <x:c r="K171" s="82" t="inlineStr">
        <x:is>
          <x:t xml:space="preserve">Pre-Resign</x:t>
        </x:is>
      </x:c>
      <x:c r="L171" s="44" t="inlineStr">
        <x:is>
          <x:t xml:space="preserve">Not started</x:t>
        </x:is>
      </x:c>
      <x:c r="M171" s="18" t="inlineStr">
        <x:is>
          <x:t xml:space="preserve"/>
        </x:is>
      </x:c>
    </x:row>
    <x:row r="172">
      <x:c r="A172" s="18" t="inlineStr">
        <x:is>
          <x:t xml:space="preserve">T328</x:t>
        </x:is>
      </x:c>
      <x:c r="B172" s="18" t="inlineStr">
        <x:is>
          <x:t xml:space="preserve">Employer Conflict</x:t>
        </x:is>
      </x:c>
      <x:c r="C172" s="18" t="inlineStr">
        <x:is>
          <x:t xml:space="preserve">Delta-SPECIFIC LAWYER QUESTION: lookback period on non-solicit; 2022 work + 6-month-ago visit — outside window?</x:t>
        </x:is>
      </x:c>
      <x:c r="D172" s="18" t="inlineStr">
        <x:is>
          <x:t xml:space="preserve">Likely LOW risk. Most non-solicit lookbacks are 12-24 months. 2022 work is outside. Visit was consultative, not engagement. Get confirmation.</x:t>
        </x:is>
      </x:c>
      <x:c r="E172" s="31" t="inlineStr">
        <x:is>
          <x:t xml:space="preserve">P0</x:t>
        </x:is>
      </x:c>
      <x:c r="F172" s="42" t="inlineStr">
        <x:is>
          <x:t xml:space="preserve">5. EXTERNAL</x:t>
        </x:is>
      </x:c>
      <x:c r="G172" s="18" t="inlineStr">
        <x:is>
          <x:t xml:space="preserve">Anand</x:t>
        </x:is>
      </x:c>
      <x:c r="H172" s="18" t="inlineStr">
        <x:is>
          <x:t xml:space="preserve"/>
        </x:is>
      </x:c>
      <x:c r="I172" s="48" t="inlineStr">
        <x:is>
          <x:t xml:space="preserve">3rd party: employment lawyer</x:t>
        </x:is>
      </x:c>
      <x:c r="J172" s="52" t="inlineStr">
        <x:is>
          <x:t xml:space="preserve">$0 (within lawyer review)</x:t>
        </x:is>
      </x:c>
      <x:c r="K172" s="82" t="inlineStr">
        <x:is>
          <x:t xml:space="preserve">Pre-Resign</x:t>
        </x:is>
      </x:c>
      <x:c r="L172" s="44" t="inlineStr">
        <x:is>
          <x:t xml:space="preserve">Not started</x:t>
        </x:is>
      </x:c>
      <x:c r="M172" s="18" t="inlineStr">
        <x:is>
          <x:t xml:space="preserve"/>
        </x:is>
      </x:c>
    </x:row>
    <x:row r="173">
      <x:c r="A173" s="18" t="inlineStr">
        <x:is>
          <x:t xml:space="preserve">T329</x:t>
        </x:is>
      </x:c>
      <x:c r="B173" s="18" t="inlineStr">
        <x:is>
          <x:t xml:space="preserve">Employer Conflict</x:t>
        </x:is>
      </x:c>
      <x:c r="C173" s="18" t="inlineStr">
        <x:is>
          <x:t xml:space="preserve">Surekha-SPECIFIC: confirm Morgan Street Holdings is NOT on Accenture client list (any segment)</x:t>
        </x:is>
      </x:c>
      <x:c r="D173" s="18" t="inlineStr">
        <x:is>
          <x:t xml:space="preserve">Likely clean (user has no history with them). Quick lawyer check of Accenture's client database.</x:t>
        </x:is>
      </x:c>
      <x:c r="E173" s="31" t="inlineStr">
        <x:is>
          <x:t xml:space="preserve">P0</x:t>
        </x:is>
      </x:c>
      <x:c r="F173" s="42" t="inlineStr">
        <x:is>
          <x:t xml:space="preserve">5. EXTERNAL</x:t>
        </x:is>
      </x:c>
      <x:c r="G173" s="18" t="inlineStr">
        <x:is>
          <x:t xml:space="preserve">Anand</x:t>
        </x:is>
      </x:c>
      <x:c r="H173" s="18" t="inlineStr">
        <x:is>
          <x:t xml:space="preserve"/>
        </x:is>
      </x:c>
      <x:c r="I173" s="48" t="inlineStr">
        <x:is>
          <x:t xml:space="preserve">3rd party: employment lawyer</x:t>
        </x:is>
      </x:c>
      <x:c r="J173" s="52" t="inlineStr">
        <x:is>
          <x:t xml:space="preserve">$0 (within lawyer review)</x:t>
        </x:is>
      </x:c>
      <x:c r="K173" s="82" t="inlineStr">
        <x:is>
          <x:t xml:space="preserve">Pre-Resign</x:t>
        </x:is>
      </x:c>
      <x:c r="L173" s="44" t="inlineStr">
        <x:is>
          <x:t xml:space="preserve">Not started</x:t>
        </x:is>
      </x:c>
      <x:c r="M173" s="18" t="inlineStr">
        <x:is>
          <x:t xml:space="preserve"/>
        </x:is>
      </x:c>
    </x:row>
    <x:row r="174">
      <x:c r="A174" s="18" t="inlineStr">
        <x:is>
          <x:t xml:space="preserve">T315</x:t>
        </x:is>
      </x:c>
      <x:c r="B174" s="18" t="inlineStr">
        <x:is>
          <x:t xml:space="preserve">Employer Conflict</x:t>
        </x:is>
      </x:c>
      <x:c r="C174" s="18" t="inlineStr">
        <x:is>
          <x:t xml:space="preserve">If prospect overlap exists: get written non-solicit waiver from Accenture (RISKY but possible)</x:t>
        </x:is>
      </x:c>
      <x:c r="D174" s="18" t="inlineStr">
        <x:is>
          <x:t xml:space="preserve">Some firms grant in writing for non-strategic clients. Accenture is more aggressive — but worth a quiet ask if specific client is critical.</x:t>
        </x:is>
      </x:c>
      <x:c r="E174" s="32" t="inlineStr">
        <x:is>
          <x:t xml:space="preserve">P1</x:t>
        </x:is>
      </x:c>
      <x:c r="F174" s="42" t="inlineStr">
        <x:is>
          <x:t xml:space="preserve">5. EXTERNAL</x:t>
        </x:is>
      </x:c>
      <x:c r="G174" s="18" t="inlineStr">
        <x:is>
          <x:t xml:space="preserve">Anand</x:t>
        </x:is>
      </x:c>
      <x:c r="H174" s="18" t="inlineStr">
        <x:is>
          <x:t xml:space="preserve"/>
        </x:is>
      </x:c>
      <x:c r="I174" s="48" t="inlineStr">
        <x:is>
          <x:t xml:space="preserve">3rd party: lawyer</x:t>
        </x:is>
      </x:c>
      <x:c r="J174" s="51" t="inlineStr">
        <x:is>
          <x:t xml:space="preserve">$1-2k (lawyer-drafted ask)</x:t>
        </x:is>
      </x:c>
      <x:c r="K174" s="82" t="inlineStr">
        <x:is>
          <x:t xml:space="preserve">Pre-Resign</x:t>
        </x:is>
      </x:c>
      <x:c r="L174" s="44" t="inlineStr">
        <x:is>
          <x:t xml:space="preserve">Not started</x:t>
        </x:is>
      </x:c>
      <x:c r="M174" s="18" t="inlineStr">
        <x:is>
          <x:t xml:space="preserve"/>
        </x:is>
      </x:c>
    </x:row>
    <x:row r="175">
      <x:c r="A175" s="18" t="inlineStr">
        <x:is>
          <x:t xml:space="preserve">T317</x:t>
        </x:is>
      </x:c>
      <x:c r="B175" s="18" t="inlineStr">
        <x:is>
          <x:t xml:space="preserve">Employer Conflict</x:t>
        </x:is>
      </x:c>
      <x:c r="C175" s="18" t="inlineStr">
        <x:is>
          <x:t xml:space="preserve">Identify any non-Accenture-client AbarVa prospects as fallback pipeline</x:t>
        </x:is>
      </x:c>
      <x:c r="D175" s="18" t="inlineStr">
        <x:is>
          <x:t xml:space="preserve">If PHS/KK/Morgan Street turn out to have Accenture conflict, you need clean prospects. 2-3 backups not from Accenture book.</x:t>
        </x:is>
      </x:c>
      <x:c r="E175" s="32" t="inlineStr">
        <x:is>
          <x:t xml:space="preserve">P1</x:t>
        </x:is>
      </x:c>
      <x:c r="F175" s="42" t="inlineStr">
        <x:is>
          <x:t xml:space="preserve">5. EXTERNAL</x:t>
        </x:is>
      </x:c>
      <x:c r="G175" s="18" t="inlineStr">
        <x:is>
          <x:t xml:space="preserve">Anand</x:t>
        </x:is>
      </x:c>
      <x:c r="H175" s="18" t="inlineStr">
        <x:is>
          <x:t xml:space="preserve"/>
        </x:is>
      </x:c>
      <x:c r="I175" s="48" t="inlineStr">
        <x:is>
          <x:t xml:space="preserve">You only</x:t>
        </x:is>
      </x:c>
      <x:c r="J175" s="52" t="inlineStr">
        <x:is>
          <x:t xml:space="preserve">$0</x:t>
        </x:is>
      </x:c>
      <x:c r="K175" s="82" t="inlineStr">
        <x:is>
          <x:t xml:space="preserve">Pre-Resign</x:t>
        </x:is>
      </x:c>
      <x:c r="L175" s="44" t="inlineStr">
        <x:is>
          <x:t xml:space="preserve">Not started</x:t>
        </x:is>
      </x:c>
      <x:c r="M175" s="18" t="inlineStr">
        <x:is>
          <x:t xml:space="preserve"/>
        </x:is>
      </x:c>
    </x:row>
    <x:row r="176">
      <x:c r="A176" s="18" t="inlineStr">
        <x:is>
          <x:t xml:space="preserve">T327</x:t>
        </x:is>
      </x:c>
      <x:c r="B176" s="18" t="inlineStr">
        <x:is>
          <x:t xml:space="preserve">Employer Conflict</x:t>
        </x:is>
      </x:c>
      <x:c r="C176" s="18" t="inlineStr">
        <x:is>
          <x:t xml:space="preserve">Consider 30-90 day buffer post-Accenture-exit before signing PHS specifically</x:t>
        </x:is>
      </x:c>
      <x:c r="D176" s="18" t="inlineStr">
        <x:is>
          <x:t xml:space="preserve">Reduces appearance of overlap. Lawyer will advise on whether needed based on agreement language.</x:t>
        </x:is>
      </x:c>
      <x:c r="E176" s="32" t="inlineStr">
        <x:is>
          <x:t xml:space="preserve">P1</x:t>
        </x:is>
      </x:c>
      <x:c r="F176" s="42" t="inlineStr">
        <x:is>
          <x:t xml:space="preserve">5. EXTERNAL</x:t>
        </x:is>
      </x:c>
      <x:c r="G176" s="18" t="inlineStr">
        <x:is>
          <x:t xml:space="preserve">Anand</x:t>
        </x:is>
      </x:c>
      <x:c r="H176" s="18" t="inlineStr">
        <x:is>
          <x:t xml:space="preserve"/>
        </x:is>
      </x:c>
      <x:c r="I176" s="48" t="inlineStr">
        <x:is>
          <x:t xml:space="preserve">You only (timing)</x:t>
        </x:is>
      </x:c>
      <x:c r="J176" s="52" t="inlineStr">
        <x:is>
          <x:t xml:space="preserve">$0</x:t>
        </x:is>
      </x:c>
      <x:c r="K176" s="82" t="inlineStr">
        <x:is>
          <x:t xml:space="preserve">Pre-Resign</x:t>
        </x:is>
      </x:c>
      <x:c r="L176" s="44" t="inlineStr">
        <x:is>
          <x:t xml:space="preserve">Not started</x:t>
        </x:is>
      </x:c>
      <x:c r="M176" s="18" t="inlineStr">
        <x:is>
          <x:t xml:space="preserve"/>
        </x:is>
      </x:c>
    </x:row>
    <x:row r="177">
      <x:c r="A177" s="18" t="inlineStr">
        <x:is>
          <x:t xml:space="preserve">T077</x:t>
        </x:is>
      </x:c>
      <x:c r="B177" s="18" t="inlineStr">
        <x:is>
          <x:t xml:space="preserve">Eng Governance</x:t>
        </x:is>
      </x:c>
      <x:c r="C177" s="18" t="inlineStr">
        <x:is>
          <x:t xml:space="preserve">Write GOVERNANCE.md — one-pager source of truth</x:t>
        </x:is>
      </x:c>
      <x:c r="D177" s="18" t="inlineStr">
        <x:is>
          <x:t xml:space="preserve">Links to: AGENTS.md, ADR index, CODEOWNERS, CI gates, runbooks, AI tool rules.</x:t>
        </x:is>
      </x:c>
      <x:c r="E177" s="31" t="inlineStr">
        <x:is>
          <x:t xml:space="preserve">P0</x:t>
        </x:is>
      </x:c>
      <x:c r="F177" s="39" t="inlineStr">
        <x:is>
          <x:t xml:space="preserve">2. CLAUDE DOES IT</x:t>
        </x:is>
      </x:c>
      <x:c r="G177" s="18" t="inlineStr">
        <x:is>
          <x:t xml:space="preserve">Anand</x:t>
        </x:is>
      </x:c>
      <x:c r="H177" s="18" t="inlineStr">
        <x:is>
          <x:t xml:space="preserve"/>
        </x:is>
      </x:c>
      <x:c r="I177" s="45" t="inlineStr">
        <x:is>
          <x:t xml:space="preserve">Claude (draft)</x:t>
        </x:is>
      </x:c>
      <x:c r="J177" s="52" t="inlineStr">
        <x:is>
          <x:t xml:space="preserve">$0</x:t>
        </x:is>
      </x:c>
      <x:c r="K177" s="82" t="inlineStr">
        <x:is>
          <x:t xml:space="preserve">Pre-Resign</x:t>
        </x:is>
      </x:c>
      <x:c r="L177" s="44" t="inlineStr">
        <x:is>
          <x:t xml:space="preserve">Not started</x:t>
        </x:is>
      </x:c>
      <x:c r="M177" s="18" t="inlineStr">
        <x:is>
          <x:t xml:space="preserve">Every contributor reads this on day 1</x:t>
        </x:is>
      </x:c>
    </x:row>
    <x:row r="178">
      <x:c r="A178" s="18" t="inlineStr">
        <x:is>
          <x:t xml:space="preserve">T078</x:t>
        </x:is>
      </x:c>
      <x:c r="B178" s="18" t="inlineStr">
        <x:is>
          <x:t xml:space="preserve">Eng Governance</x:t>
        </x:is>
      </x:c>
      <x:c r="C178" s="18" t="inlineStr">
        <x:is>
          <x:t xml:space="preserve">ADR (Architecture Decision Record) framework</x:t>
        </x:is>
      </x:c>
      <x:c r="D178" s="18" t="inlineStr">
        <x:is>
          <x:t xml:space="preserve">docs/architecture/adr/ with template. ADR required for: framework change, new dependency &gt;X stars, cross-cutting refactor, security boundary change.</x:t>
        </x:is>
      </x:c>
      <x:c r="E178" s="31" t="inlineStr">
        <x:is>
          <x:t xml:space="preserve">P0</x:t>
        </x:is>
      </x:c>
      <x:c r="F178" s="39" t="inlineStr">
        <x:is>
          <x:t xml:space="preserve">2. CLAUDE DOES IT</x:t>
        </x:is>
      </x:c>
      <x:c r="G178" s="18" t="inlineStr">
        <x:is>
          <x:t xml:space="preserve">Anand</x:t>
        </x:is>
      </x:c>
      <x:c r="H178" s="18" t="inlineStr">
        <x:is>
          <x:t xml:space="preserve"/>
        </x:is>
      </x:c>
      <x:c r="I178" s="45" t="inlineStr">
        <x:is>
          <x:t xml:space="preserve">Claude (template)</x:t>
        </x:is>
      </x:c>
      <x:c r="J178" s="52" t="inlineStr">
        <x:is>
          <x:t xml:space="preserve">$0</x:t>
        </x:is>
      </x:c>
      <x:c r="K178" s="84" t="inlineStr">
        <x:is>
          <x:t xml:space="preserve">Anytime</x:t>
        </x:is>
      </x:c>
      <x:c r="L178" s="44" t="inlineStr">
        <x:is>
          <x:t xml:space="preserve">Not started</x:t>
        </x:is>
      </x:c>
      <x:c r="M178" s="18" t="inlineStr">
        <x:is>
          <x:t xml:space="preserve">Numbered ADR-0001+; CI checks ADR-touched paths</x:t>
        </x:is>
      </x:c>
    </x:row>
    <x:row r="179">
      <x:c r="A179" s="18" t="inlineStr">
        <x:is>
          <x:t xml:space="preserve">T079</x:t>
        </x:is>
      </x:c>
      <x:c r="B179" s="18" t="inlineStr">
        <x:is>
          <x:t xml:space="preserve">Eng Governance</x:t>
        </x:is>
      </x:c>
      <x:c r="C179" s="18" t="inlineStr">
        <x:is>
          <x:t xml:space="preserve">Write first 5 foundational ADRs</x:t>
        </x:is>
      </x:c>
      <x:c r="D179" s="18" t="inlineStr">
        <x:is>
          <x:t xml:space="preserve">ADR-001 Control/data plane split. ADR-002 Broker boundary. ADR-003 Release lanes. ADR-004 Per-user RLS. ADR-005 AI tool governance.</x:t>
        </x:is>
      </x:c>
      <x:c r="E179" s="31" t="inlineStr">
        <x:is>
          <x:t xml:space="preserve">P0</x:t>
        </x:is>
      </x:c>
      <x:c r="F179" s="39" t="inlineStr">
        <x:is>
          <x:t xml:space="preserve">2. CLAUDE DOES IT</x:t>
        </x:is>
      </x:c>
      <x:c r="G179" s="18" t="inlineStr">
        <x:is>
          <x:t xml:space="preserve">Anand</x:t>
        </x:is>
      </x:c>
      <x:c r="H179" s="18" t="inlineStr">
        <x:is>
          <x:t xml:space="preserve">T078</x:t>
        </x:is>
      </x:c>
      <x:c r="I179" s="45" t="inlineStr">
        <x:is>
          <x:t xml:space="preserve">Claude (draft)</x:t>
        </x:is>
      </x:c>
      <x:c r="J179" s="52" t="inlineStr">
        <x:is>
          <x:t xml:space="preserve">$0</x:t>
        </x:is>
      </x:c>
      <x:c r="K179" s="82" t="inlineStr">
        <x:is>
          <x:t xml:space="preserve">Pre-Resign</x:t>
        </x:is>
      </x:c>
      <x:c r="L179" s="44" t="inlineStr">
        <x:is>
          <x:t xml:space="preserve">Not started</x:t>
        </x:is>
      </x:c>
      <x:c r="M179" s="18" t="inlineStr">
        <x:is>
          <x:t xml:space="preserve">Backfill what's already true</x:t>
        </x:is>
      </x:c>
    </x:row>
    <x:row r="180">
      <x:c r="A180" s="18" t="inlineStr">
        <x:is>
          <x:t xml:space="preserve">T080</x:t>
        </x:is>
      </x:c>
      <x:c r="B180" s="18" t="inlineStr">
        <x:is>
          <x:t xml:space="preserve">Eng Governance</x:t>
        </x:is>
      </x:c>
      <x:c r="C180" s="18" t="inlineStr">
        <x:is>
          <x:t xml:space="preserve">CODEOWNERS — gates who reviews what</x:t>
        </x:is>
      </x:c>
      <x:c r="D180" s="18" t="inlineStr">
        <x:is>
          <x:t xml:space="preserve">.github/CODEOWNERS. Auth/security/migrations/broker = anand-only; routine = anyone.</x:t>
        </x:is>
      </x:c>
      <x:c r="E180" s="31" t="inlineStr">
        <x:is>
          <x:t xml:space="preserve">P0</x:t>
        </x:is>
      </x:c>
      <x:c r="F180" s="39" t="inlineStr">
        <x:is>
          <x:t xml:space="preserve">2. CLAUDE DOES IT</x:t>
        </x:is>
      </x:c>
      <x:c r="G180" s="18" t="inlineStr">
        <x:is>
          <x:t xml:space="preserve">Anand</x:t>
        </x:is>
      </x:c>
      <x:c r="H180" s="18" t="inlineStr">
        <x:is>
          <x:t xml:space="preserve"/>
        </x:is>
      </x:c>
      <x:c r="I180" s="45" t="inlineStr">
        <x:is>
          <x:t xml:space="preserve">Claude (draft)</x:t>
        </x:is>
      </x:c>
      <x:c r="J180" s="52" t="inlineStr">
        <x:is>
          <x:t xml:space="preserve">$0</x:t>
        </x:is>
      </x:c>
      <x:c r="K180" s="84" t="inlineStr">
        <x:is>
          <x:t xml:space="preserve">Anytime</x:t>
        </x:is>
      </x:c>
      <x:c r="L180" s="44" t="inlineStr">
        <x:is>
          <x:t xml:space="preserve">Not started</x:t>
        </x:is>
      </x:c>
      <x:c r="M180" s="18" t="inlineStr">
        <x:is>
          <x:t xml:space="preserve">Branch protection enforces this</x:t>
        </x:is>
      </x:c>
    </x:row>
    <x:row r="181">
      <x:c r="A181" s="18" t="inlineStr">
        <x:is>
          <x:t xml:space="preserve">T082</x:t>
        </x:is>
      </x:c>
      <x:c r="B181" s="18" t="inlineStr">
        <x:is>
          <x:t xml:space="preserve">Eng Governance</x:t>
        </x:is>
      </x:c>
      <x:c r="C181" s="18" t="inlineStr">
        <x:is>
          <x:t xml:space="preserve">Pre-commit hooks (husky + lint-staged)</x:t>
        </x:is>
      </x:c>
      <x:c r="D181" s="18" t="inlineStr">
        <x:is>
          <x:t xml:space="preserve">Lint + format + typecheck on staged files. Block bad commits before they hit CI.</x:t>
        </x:is>
      </x:c>
      <x:c r="E181" s="31" t="inlineStr">
        <x:is>
          <x:t xml:space="preserve">P0</x:t>
        </x:is>
      </x:c>
      <x:c r="F181" s="39" t="inlineStr">
        <x:is>
          <x:t xml:space="preserve">2. CLAUDE DOES IT</x:t>
        </x:is>
      </x:c>
      <x:c r="G181" s="18" t="inlineStr">
        <x:is>
          <x:t xml:space="preserve">Anand</x:t>
        </x:is>
      </x:c>
      <x:c r="H181" s="18" t="inlineStr">
        <x:is>
          <x:t xml:space="preserve"/>
        </x:is>
      </x:c>
      <x:c r="I181" s="45" t="inlineStr">
        <x:is>
          <x:t xml:space="preserve">Claude (config)</x:t>
        </x:is>
      </x:c>
      <x:c r="J181" s="52" t="inlineStr">
        <x:is>
          <x:t xml:space="preserve">$0</x:t>
        </x:is>
      </x:c>
      <x:c r="K181" s="84" t="inlineStr">
        <x:is>
          <x:t xml:space="preserve">Anytime</x:t>
        </x:is>
      </x:c>
      <x:c r="L181" s="44" t="inlineStr">
        <x:is>
          <x:t xml:space="preserve">Not started</x:t>
        </x:is>
      </x:c>
      <x:c r="M181" s="18" t="inlineStr">
        <x:is>
          <x:t xml:space="preserve">Fast feedback = adoption</x:t>
        </x:is>
      </x:c>
    </x:row>
    <x:row r="182">
      <x:c r="A182" s="18" t="inlineStr">
        <x:is>
          <x:t xml:space="preserve">T084</x:t>
        </x:is>
      </x:c>
      <x:c r="B182" s="18" t="inlineStr">
        <x:is>
          <x:t xml:space="preserve">Eng Governance</x:t>
        </x:is>
      </x:c>
      <x:c r="C182" s="18" t="inlineStr">
        <x:is>
          <x:t xml:space="preserve">Required CI gates (must pass to merge)</x:t>
        </x:is>
      </x:c>
      <x:c r="D182" s="18" t="inlineStr">
        <x:is>
          <x:t xml:space="preserve">Lint, typecheck, unit, integration, build, bundle-size, secret scan, dep audit, license, ADR check, release record.</x:t>
        </x:is>
      </x:c>
      <x:c r="E182" s="31" t="inlineStr">
        <x:is>
          <x:t xml:space="preserve">P0</x:t>
        </x:is>
      </x:c>
      <x:c r="F182" s="39" t="inlineStr">
        <x:is>
          <x:t xml:space="preserve">2. CLAUDE DOES IT</x:t>
        </x:is>
      </x:c>
      <x:c r="G182" s="18" t="inlineStr">
        <x:is>
          <x:t xml:space="preserve">Anand</x:t>
        </x:is>
      </x:c>
      <x:c r="H182" s="18" t="inlineStr">
        <x:is>
          <x:t xml:space="preserve"/>
        </x:is>
      </x:c>
      <x:c r="I182" s="45" t="inlineStr">
        <x:is>
          <x:t xml:space="preserve">Claude (workflows)</x:t>
        </x:is>
      </x:c>
      <x:c r="J182" s="52" t="inlineStr">
        <x:is>
          <x:t xml:space="preserve">$0 (GH Actions free at startup scale)</x:t>
        </x:is>
      </x:c>
      <x:c r="K182" s="84" t="inlineStr">
        <x:is>
          <x:t xml:space="preserve">Anytime</x:t>
        </x:is>
      </x:c>
      <x:c r="L182" s="44" t="inlineStr">
        <x:is>
          <x:t xml:space="preserve">Not started</x:t>
        </x:is>
      </x:c>
      <x:c r="M182" s="18" t="inlineStr">
        <x:is>
          <x:t xml:space="preserve">Lock these in branch protection</x:t>
        </x:is>
      </x:c>
    </x:row>
    <x:row r="183">
      <x:c r="A183" s="18" t="inlineStr">
        <x:is>
          <x:t xml:space="preserve">T085</x:t>
        </x:is>
      </x:c>
      <x:c r="B183" s="18" t="inlineStr">
        <x:is>
          <x:t xml:space="preserve">Eng Governance</x:t>
        </x:is>
      </x:c>
      <x:c r="C183" s="18" t="inlineStr">
        <x:is>
          <x:t xml:space="preserve">Architecture boundary enforcement (dependency-cruiser)</x:t>
        </x:is>
      </x:c>
      <x:c r="D183" s="18" t="inlineStr">
        <x:is>
          <x:t xml:space="preserve">Encode rules: app tier MUST NOT import broker/EnterpriseDataRoom; routes MUST NOT import data layer directly; etc.</x:t>
        </x:is>
      </x:c>
      <x:c r="E183" s="31" t="inlineStr">
        <x:is>
          <x:t xml:space="preserve">P0</x:t>
        </x:is>
      </x:c>
      <x:c r="F183" s="39" t="inlineStr">
        <x:is>
          <x:t xml:space="preserve">2. CLAUDE DOES IT</x:t>
        </x:is>
      </x:c>
      <x:c r="G183" s="18" t="inlineStr">
        <x:is>
          <x:t xml:space="preserve">Anand</x:t>
        </x:is>
      </x:c>
      <x:c r="H183" s="18" t="inlineStr">
        <x:is>
          <x:t xml:space="preserve"/>
        </x:is>
      </x:c>
      <x:c r="I183" s="45" t="inlineStr">
        <x:is>
          <x:t xml:space="preserve">Claude (.dep-cruiser)</x:t>
        </x:is>
      </x:c>
      <x:c r="J183" s="52" t="inlineStr">
        <x:is>
          <x:t xml:space="preserve">$0</x:t>
        </x:is>
      </x:c>
      <x:c r="K183" s="84" t="inlineStr">
        <x:is>
          <x:t xml:space="preserve">Anytime</x:t>
        </x:is>
      </x:c>
      <x:c r="L183" s="44" t="inlineStr">
        <x:is>
          <x:t xml:space="preserve">Not started</x:t>
        </x:is>
      </x:c>
      <x:c r="M183" s="18" t="inlineStr">
        <x:is>
          <x:t xml:space="preserve">Codifies feedback_broker_boundary in memory</x:t>
        </x:is>
      </x:c>
    </x:row>
    <x:row r="184">
      <x:c r="A184" s="18" t="inlineStr">
        <x:is>
          <x:t xml:space="preserve">T089</x:t>
        </x:is>
      </x:c>
      <x:c r="B184" s="18" t="inlineStr">
        <x:is>
          <x:t xml:space="preserve">Eng Governance</x:t>
        </x:is>
      </x:c>
      <x:c r="C184" s="18" t="inlineStr">
        <x:is>
          <x:t xml:space="preserve">Secret scanning (gitleaks in CI + pre-commit)</x:t>
        </x:is>
      </x:c>
      <x:c r="D184" s="18" t="inlineStr">
        <x:is>
          <x:t xml:space="preserve">Block secrets from entering git history. Belt + suspenders.</x:t>
        </x:is>
      </x:c>
      <x:c r="E184" s="31" t="inlineStr">
        <x:is>
          <x:t xml:space="preserve">P0</x:t>
        </x:is>
      </x:c>
      <x:c r="F184" s="39" t="inlineStr">
        <x:is>
          <x:t xml:space="preserve">2. CLAUDE DOES IT</x:t>
        </x:is>
      </x:c>
      <x:c r="G184" s="18" t="inlineStr">
        <x:is>
          <x:t xml:space="preserve">Anand</x:t>
        </x:is>
      </x:c>
      <x:c r="H184" s="18" t="inlineStr">
        <x:is>
          <x:t xml:space="preserve"/>
        </x:is>
      </x:c>
      <x:c r="I184" s="45" t="inlineStr">
        <x:is>
          <x:t xml:space="preserve">Claude (gitleaks)</x:t>
        </x:is>
      </x:c>
      <x:c r="J184" s="52" t="inlineStr">
        <x:is>
          <x:t xml:space="preserve">$0 (gitleaks free)</x:t>
        </x:is>
      </x:c>
      <x:c r="K184" s="84" t="inlineStr">
        <x:is>
          <x:t xml:space="preserve">Anytime</x:t>
        </x:is>
      </x:c>
      <x:c r="L184" s="44" t="inlineStr">
        <x:is>
          <x:t xml:space="preserve">Not started</x:t>
        </x:is>
      </x:c>
      <x:c r="M184" s="18" t="inlineStr">
        <x:is>
          <x:t xml:space="preserve">One leak kills SOC 2</x:t>
        </x:is>
      </x:c>
    </x:row>
    <x:row r="185">
      <x:c r="A185" s="18" t="inlineStr">
        <x:is>
          <x:t xml:space="preserve">T090</x:t>
        </x:is>
      </x:c>
      <x:c r="B185" s="18" t="inlineStr">
        <x:is>
          <x:t xml:space="preserve">Eng Governance</x:t>
        </x:is>
      </x:c>
      <x:c r="C185" s="18" t="inlineStr">
        <x:is>
          <x:t xml:space="preserve">Dependency vulnerability scanning (Snyk or GitHub Dependabot + audit)</x:t>
        </x:is>
      </x:c>
      <x:c r="D185" s="18" t="inlineStr">
        <x:is>
          <x:t xml:space="preserve">Auto-PRs for vulnerable deps. Critical = same-day fix policy.</x:t>
        </x:is>
      </x:c>
      <x:c r="E185" s="31" t="inlineStr">
        <x:is>
          <x:t xml:space="preserve">P0</x:t>
        </x:is>
      </x:c>
      <x:c r="F185" s="39" t="inlineStr">
        <x:is>
          <x:t xml:space="preserve">2. CLAUDE DOES IT</x:t>
        </x:is>
      </x:c>
      <x:c r="G185" s="18" t="inlineStr">
        <x:is>
          <x:t xml:space="preserve">Anand</x:t>
        </x:is>
      </x:c>
      <x:c r="H185" s="18" t="inlineStr">
        <x:is>
          <x:t xml:space="preserve"/>
        </x:is>
      </x:c>
      <x:c r="I185" s="45" t="inlineStr">
        <x:is>
          <x:t xml:space="preserve">Claude (workflow)</x:t>
        </x:is>
      </x:c>
      <x:c r="J185" s="52" t="inlineStr">
        <x:is>
          <x:t xml:space="preserve">$0 (Dependabot) or $50/mo (Snyk)</x:t>
        </x:is>
      </x:c>
      <x:c r="K185" s="84" t="inlineStr">
        <x:is>
          <x:t xml:space="preserve">Anytime</x:t>
        </x:is>
      </x:c>
      <x:c r="L185" s="44" t="inlineStr">
        <x:is>
          <x:t xml:space="preserve">Not started</x:t>
        </x:is>
      </x:c>
      <x:c r="M185" s="18" t="inlineStr">
        <x:is>
          <x:t xml:space="preserve"/>
        </x:is>
      </x:c>
    </x:row>
    <x:row r="186">
      <x:c r="A186" s="18" t="inlineStr">
        <x:is>
          <x:t xml:space="preserve">T094</x:t>
        </x:is>
      </x:c>
      <x:c r="B186" s="18" t="inlineStr">
        <x:is>
          <x:t xml:space="preserve">Eng Governance</x:t>
        </x:is>
      </x:c>
      <x:c r="C186" s="18" t="inlineStr">
        <x:is>
          <x:t xml:space="preserve">Unified AI tool instructions (single source: AGENTS.md)</x:t>
        </x:is>
      </x:c>
      <x:c r="D186" s="18" t="inlineStr">
        <x:is>
          <x:t xml:space="preserve">Generate .cursor/rules, .github/copilot-instructions.md, CLAUDE.md, codex AGENTS.md from one source. Any AI tool reads same rules.</x:t>
        </x:is>
      </x:c>
      <x:c r="E186" s="31" t="inlineStr">
        <x:is>
          <x:t xml:space="preserve">P0</x:t>
        </x:is>
      </x:c>
      <x:c r="F186" s="39" t="inlineStr">
        <x:is>
          <x:t xml:space="preserve">2. CLAUDE DOES IT</x:t>
        </x:is>
      </x:c>
      <x:c r="G186" s="18" t="inlineStr">
        <x:is>
          <x:t xml:space="preserve">Anand</x:t>
        </x:is>
      </x:c>
      <x:c r="H186" s="18" t="inlineStr">
        <x:is>
          <x:t xml:space="preserve"/>
        </x:is>
      </x:c>
      <x:c r="I186" s="45" t="inlineStr">
        <x:is>
          <x:t xml:space="preserve">Claude (sync script)</x:t>
        </x:is>
      </x:c>
      <x:c r="J186" s="52" t="inlineStr">
        <x:is>
          <x:t xml:space="preserve">$0</x:t>
        </x:is>
      </x:c>
      <x:c r="K186" s="84" t="inlineStr">
        <x:is>
          <x:t xml:space="preserve">Anytime</x:t>
        </x:is>
      </x:c>
      <x:c r="L186" s="44" t="inlineStr">
        <x:is>
          <x:t xml:space="preserve">Not started</x:t>
        </x:is>
      </x:c>
      <x:c r="M186" s="18" t="inlineStr">
        <x:is>
          <x:t xml:space="preserve">Prevents AI-driven drift</x:t>
        </x:is>
      </x:c>
    </x:row>
    <x:row r="187">
      <x:c r="A187" s="18" t="inlineStr">
        <x:is>
          <x:t xml:space="preserve">T096</x:t>
        </x:is>
      </x:c>
      <x:c r="B187" s="18" t="inlineStr">
        <x:is>
          <x:t xml:space="preserve">Eng Governance</x:t>
        </x:is>
      </x:c>
      <x:c r="C187" s="18" t="inlineStr">
        <x:is>
          <x:t xml:space="preserve">PR template enforcing release-control fields</x:t>
        </x:is>
      </x:c>
      <x:c r="D187" s="18" t="inlineStr">
        <x:is>
          <x:t xml:space="preserve">Lane / Layer / Clients / QA / Rollout / Rollback — required sections. Block merge if blank.</x:t>
        </x:is>
      </x:c>
      <x:c r="E187" s="31" t="inlineStr">
        <x:is>
          <x:t xml:space="preserve">P0</x:t>
        </x:is>
      </x:c>
      <x:c r="F187" s="39" t="inlineStr">
        <x:is>
          <x:t xml:space="preserve">2. CLAUDE DOES IT</x:t>
        </x:is>
      </x:c>
      <x:c r="G187" s="18" t="inlineStr">
        <x:is>
          <x:t xml:space="preserve">Anand</x:t>
        </x:is>
      </x:c>
      <x:c r="H187" s="18" t="inlineStr">
        <x:is>
          <x:t xml:space="preserve"/>
        </x:is>
      </x:c>
      <x:c r="I187" s="45" t="inlineStr">
        <x:is>
          <x:t xml:space="preserve">Claude (template)</x:t>
        </x:is>
      </x:c>
      <x:c r="J187" s="52" t="inlineStr">
        <x:is>
          <x:t xml:space="preserve">$0</x:t>
        </x:is>
      </x:c>
      <x:c r="K187" s="82" t="inlineStr">
        <x:is>
          <x:t xml:space="preserve">Pre-Resign</x:t>
        </x:is>
      </x:c>
      <x:c r="L187" s="44" t="inlineStr">
        <x:is>
          <x:t xml:space="preserve">Not started</x:t>
        </x:is>
      </x:c>
      <x:c r="M187" s="18" t="inlineStr">
        <x:is>
          <x:t xml:space="preserve">AGENTS.md already documents this — enforce it</x:t>
        </x:is>
      </x:c>
    </x:row>
    <x:row r="188">
      <x:c r="A188" s="18" t="inlineStr">
        <x:is>
          <x:t xml:space="preserve">T097</x:t>
        </x:is>
      </x:c>
      <x:c r="B188" s="18" t="inlineStr">
        <x:is>
          <x:t xml:space="preserve">Eng Governance</x:t>
        </x:is>
      </x:c>
      <x:c r="C188" s="18" t="inlineStr">
        <x:is>
          <x:t xml:space="preserve">Release record presence check (already in npm run release:check)</x:t>
        </x:is>
      </x:c>
      <x:c r="D188" s="18" t="inlineStr">
        <x:is>
          <x:t xml:space="preserve">Formalize: CI fails if release-relevant paths change without docs/releases/records/ entry.</x:t>
        </x:is>
      </x:c>
      <x:c r="E188" s="31" t="inlineStr">
        <x:is>
          <x:t xml:space="preserve">P0</x:t>
        </x:is>
      </x:c>
      <x:c r="F188" s="39" t="inlineStr">
        <x:is>
          <x:t xml:space="preserve">2. CLAUDE DOES IT</x:t>
        </x:is>
      </x:c>
      <x:c r="G188" s="18" t="inlineStr">
        <x:is>
          <x:t xml:space="preserve">Anand</x:t>
        </x:is>
      </x:c>
      <x:c r="H188" s="18" t="inlineStr">
        <x:is>
          <x:t xml:space="preserve"/>
        </x:is>
      </x:c>
      <x:c r="I188" s="45" t="inlineStr">
        <x:is>
          <x:t xml:space="preserve">Claude (CI check)</x:t>
        </x:is>
      </x:c>
      <x:c r="J188" s="52" t="inlineStr">
        <x:is>
          <x:t xml:space="preserve">$0</x:t>
        </x:is>
      </x:c>
      <x:c r="K188" s="84" t="inlineStr">
        <x:is>
          <x:t xml:space="preserve">Anytime</x:t>
        </x:is>
      </x:c>
      <x:c r="L188" s="44" t="inlineStr">
        <x:is>
          <x:t xml:space="preserve">Not started</x:t>
        </x:is>
      </x:c>
      <x:c r="M188" s="18" t="inlineStr">
        <x:is>
          <x:t xml:space="preserve">Already partially done</x:t>
        </x:is>
      </x:c>
    </x:row>
    <x:row r="189">
      <x:c r="A189" s="18" t="inlineStr">
        <x:is>
          <x:t xml:space="preserve">T100</x:t>
        </x:is>
      </x:c>
      <x:c r="B189" s="18" t="inlineStr">
        <x:is>
          <x:t xml:space="preserve">Eng Governance</x:t>
        </x:is>
      </x:c>
      <x:c r="C189" s="18" t="inlineStr">
        <x:is>
          <x:t xml:space="preserve">Runbooks: incident response, rollback, DB migration, on-call rotation</x:t>
        </x:is>
      </x:c>
      <x:c r="D189" s="18" t="inlineStr">
        <x:is>
          <x:t xml:space="preserve">Living docs in docs/runbooks/. Quarterly tabletop test.</x:t>
        </x:is>
      </x:c>
      <x:c r="E189" s="31" t="inlineStr">
        <x:is>
          <x:t xml:space="preserve">P0</x:t>
        </x:is>
      </x:c>
      <x:c r="F189" s="39" t="inlineStr">
        <x:is>
          <x:t xml:space="preserve">2. CLAUDE DOES IT</x:t>
        </x:is>
      </x:c>
      <x:c r="G189" s="18" t="inlineStr">
        <x:is>
          <x:t xml:space="preserve">Anand</x:t>
        </x:is>
      </x:c>
      <x:c r="H189" s="18" t="inlineStr">
        <x:is>
          <x:t xml:space="preserve"/>
        </x:is>
      </x:c>
      <x:c r="I189" s="45" t="inlineStr">
        <x:is>
          <x:t xml:space="preserve">Claude (templates)</x:t>
        </x:is>
      </x:c>
      <x:c r="J189" s="52" t="inlineStr">
        <x:is>
          <x:t xml:space="preserve">$0</x:t>
        </x:is>
      </x:c>
      <x:c r="K189" s="84" t="inlineStr">
        <x:is>
          <x:t xml:space="preserve">Anytime</x:t>
        </x:is>
      </x:c>
      <x:c r="L189" s="44" t="inlineStr">
        <x:is>
          <x:t xml:space="preserve">Not started</x:t>
        </x:is>
      </x:c>
      <x:c r="M189" s="18" t="inlineStr">
        <x:is>
          <x:t xml:space="preserve"/>
        </x:is>
      </x:c>
    </x:row>
    <x:row r="190">
      <x:c r="A190" s="18" t="inlineStr">
        <x:is>
          <x:t xml:space="preserve">T083</x:t>
        </x:is>
      </x:c>
      <x:c r="B190" s="18" t="inlineStr">
        <x:is>
          <x:t xml:space="preserve">Eng Governance</x:t>
        </x:is>
      </x:c>
      <x:c r="C190" s="18" t="inlineStr">
        <x:is>
          <x:t xml:space="preserve">Conventional Commits enforced (commitlint)</x:t>
        </x:is>
      </x:c>
      <x:c r="D190" s="18" t="inlineStr">
        <x:is>
          <x:t xml:space="preserve">feat:/fix:/chore:/refactor:/docs:/test:/perf:/ci:/build:/revert: — enables auto-changelogs.</x:t>
        </x:is>
      </x:c>
      <x:c r="E190" s="32" t="inlineStr">
        <x:is>
          <x:t xml:space="preserve">P1</x:t>
        </x:is>
      </x:c>
      <x:c r="F190" s="39" t="inlineStr">
        <x:is>
          <x:t xml:space="preserve">2. CLAUDE DOES IT</x:t>
        </x:is>
      </x:c>
      <x:c r="G190" s="18" t="inlineStr">
        <x:is>
          <x:t xml:space="preserve">Anand</x:t>
        </x:is>
      </x:c>
      <x:c r="H190" s="18" t="inlineStr">
        <x:is>
          <x:t xml:space="preserve"/>
        </x:is>
      </x:c>
      <x:c r="I190" s="45" t="inlineStr">
        <x:is>
          <x:t xml:space="preserve">Claude (config)</x:t>
        </x:is>
      </x:c>
      <x:c r="J190" s="52" t="inlineStr">
        <x:is>
          <x:t xml:space="preserve">$0</x:t>
        </x:is>
      </x:c>
      <x:c r="K190" s="84" t="inlineStr">
        <x:is>
          <x:t xml:space="preserve">Anytime</x:t>
        </x:is>
      </x:c>
      <x:c r="L190" s="44" t="inlineStr">
        <x:is>
          <x:t xml:space="preserve">Not started</x:t>
        </x:is>
      </x:c>
      <x:c r="M190" s="18" t="inlineStr">
        <x:is>
          <x:t xml:space="preserve"/>
        </x:is>
      </x:c>
    </x:row>
    <x:row r="191">
      <x:c r="A191" s="18" t="inlineStr">
        <x:is>
          <x:t xml:space="preserve">T086</x:t>
        </x:is>
      </x:c>
      <x:c r="B191" s="18" t="inlineStr">
        <x:is>
          <x:t xml:space="preserve">Eng Governance</x:t>
        </x:is>
      </x:c>
      <x:c r="C191" s="18" t="inlineStr">
        <x:is>
          <x:t xml:space="preserve">Coverage threshold (Vitest/Jest)</x:t>
        </x:is>
      </x:c>
      <x:c r="D191" s="18" t="inlineStr">
        <x:is>
          <x:t xml:space="preserve">70% lines global; 90% on broker/auth/migrations. Fail CI under threshold.</x:t>
        </x:is>
      </x:c>
      <x:c r="E191" s="32" t="inlineStr">
        <x:is>
          <x:t xml:space="preserve">P1</x:t>
        </x:is>
      </x:c>
      <x:c r="F191" s="39" t="inlineStr">
        <x:is>
          <x:t xml:space="preserve">2. CLAUDE DOES IT</x:t>
        </x:is>
      </x:c>
      <x:c r="G191" s="18" t="inlineStr">
        <x:is>
          <x:t xml:space="preserve">Anand</x:t>
        </x:is>
      </x:c>
      <x:c r="H191" s="18" t="inlineStr">
        <x:is>
          <x:t xml:space="preserve"/>
        </x:is>
      </x:c>
      <x:c r="I191" s="45" t="inlineStr">
        <x:is>
          <x:t xml:space="preserve">Claude (config)</x:t>
        </x:is>
      </x:c>
      <x:c r="J191" s="52" t="inlineStr">
        <x:is>
          <x:t xml:space="preserve">$0</x:t>
        </x:is>
      </x:c>
      <x:c r="K191" s="84" t="inlineStr">
        <x:is>
          <x:t xml:space="preserve">Anytime</x:t>
        </x:is>
      </x:c>
      <x:c r="L191" s="44" t="inlineStr">
        <x:is>
          <x:t xml:space="preserve">Not started</x:t>
        </x:is>
      </x:c>
      <x:c r="M191" s="18" t="inlineStr">
        <x:is>
          <x:t xml:space="preserve">Floor not target</x:t>
        </x:is>
      </x:c>
    </x:row>
    <x:row r="192">
      <x:c r="A192" s="18" t="inlineStr">
        <x:is>
          <x:t xml:space="preserve">T087</x:t>
        </x:is>
      </x:c>
      <x:c r="B192" s="18" t="inlineStr">
        <x:is>
          <x:t xml:space="preserve">Eng Governance</x:t>
        </x:is>
      </x:c>
      <x:c r="C192" s="18" t="inlineStr">
        <x:is>
          <x:t xml:space="preserve">Bundle size budget (next-bundle-analyzer)</x:t>
        </x:is>
      </x:c>
      <x:c r="D192" s="18" t="inlineStr">
        <x:is>
          <x:t xml:space="preserve">Per-route budget. Fail CI if any route exceeds. Track over time.</x:t>
        </x:is>
      </x:c>
      <x:c r="E192" s="32" t="inlineStr">
        <x:is>
          <x:t xml:space="preserve">P1</x:t>
        </x:is>
      </x:c>
      <x:c r="F192" s="39" t="inlineStr">
        <x:is>
          <x:t xml:space="preserve">2. CLAUDE DOES IT</x:t>
        </x:is>
      </x:c>
      <x:c r="G192" s="18" t="inlineStr">
        <x:is>
          <x:t xml:space="preserve">Anand</x:t>
        </x:is>
      </x:c>
      <x:c r="H192" s="18" t="inlineStr">
        <x:is>
          <x:t xml:space="preserve"/>
        </x:is>
      </x:c>
      <x:c r="I192" s="45" t="inlineStr">
        <x:is>
          <x:t xml:space="preserve">Claude (config)</x:t>
        </x:is>
      </x:c>
      <x:c r="J192" s="52" t="inlineStr">
        <x:is>
          <x:t xml:space="preserve">$0</x:t>
        </x:is>
      </x:c>
      <x:c r="K192" s="84" t="inlineStr">
        <x:is>
          <x:t xml:space="preserve">Anytime</x:t>
        </x:is>
      </x:c>
      <x:c r="L192" s="44" t="inlineStr">
        <x:is>
          <x:t xml:space="preserve">Not started</x:t>
        </x:is>
      </x:c>
      <x:c r="M192" s="18" t="inlineStr">
        <x:is>
          <x:t xml:space="preserve"/>
        </x:is>
      </x:c>
    </x:row>
    <x:row r="193">
      <x:c r="A193" s="18" t="inlineStr">
        <x:is>
          <x:t xml:space="preserve">T088</x:t>
        </x:is>
      </x:c>
      <x:c r="B193" s="18" t="inlineStr">
        <x:is>
          <x:t xml:space="preserve">Eng Governance</x:t>
        </x:is>
      </x:c>
      <x:c r="C193" s="18" t="inlineStr">
        <x:is>
          <x:t xml:space="preserve">Lighthouse CI — Core Web Vitals budget</x:t>
        </x:is>
      </x:c>
      <x:c r="D193" s="18" t="inlineStr">
        <x:is>
          <x:t xml:space="preserve">LCP, INP, CLS budgets per route. Fail on regression. Runs on PR.</x:t>
        </x:is>
      </x:c>
      <x:c r="E193" s="32" t="inlineStr">
        <x:is>
          <x:t xml:space="preserve">P1</x:t>
        </x:is>
      </x:c>
      <x:c r="F193" s="39" t="inlineStr">
        <x:is>
          <x:t xml:space="preserve">2. CLAUDE DOES IT</x:t>
        </x:is>
      </x:c>
      <x:c r="G193" s="18" t="inlineStr">
        <x:is>
          <x:t xml:space="preserve">Anand</x:t>
        </x:is>
      </x:c>
      <x:c r="H193" s="18" t="inlineStr">
        <x:is>
          <x:t xml:space="preserve"/>
        </x:is>
      </x:c>
      <x:c r="I193" s="45" t="inlineStr">
        <x:is>
          <x:t xml:space="preserve">Claude (workflow)</x:t>
        </x:is>
      </x:c>
      <x:c r="J193" s="52" t="inlineStr">
        <x:is>
          <x:t xml:space="preserve">$0</x:t>
        </x:is>
      </x:c>
      <x:c r="K193" s="84" t="inlineStr">
        <x:is>
          <x:t xml:space="preserve">Anytime</x:t>
        </x:is>
      </x:c>
      <x:c r="L193" s="44" t="inlineStr">
        <x:is>
          <x:t xml:space="preserve">Not started</x:t>
        </x:is>
      </x:c>
      <x:c r="M193" s="18" t="inlineStr">
        <x:is>
          <x:t xml:space="preserve"/>
        </x:is>
      </x:c>
    </x:row>
    <x:row r="194">
      <x:c r="A194" s="18" t="inlineStr">
        <x:is>
          <x:t xml:space="preserve">T091</x:t>
        </x:is>
      </x:c>
      <x:c r="B194" s="18" t="inlineStr">
        <x:is>
          <x:t xml:space="preserve">Eng Governance</x:t>
        </x:is>
      </x:c>
      <x:c r="C194" s="18" t="inlineStr">
        <x:is>
          <x:t xml:space="preserve">License compliance check (license-checker in CI)</x:t>
        </x:is>
      </x:c>
      <x:c r="D194" s="18" t="inlineStr">
        <x:is>
          <x:t xml:space="preserve">Allowlist: MIT/Apache-2/BSD/ISC. Block GPL/AGPL/copyleft.</x:t>
        </x:is>
      </x:c>
      <x:c r="E194" s="32" t="inlineStr">
        <x:is>
          <x:t xml:space="preserve">P1</x:t>
        </x:is>
      </x:c>
      <x:c r="F194" s="39" t="inlineStr">
        <x:is>
          <x:t xml:space="preserve">2. CLAUDE DOES IT</x:t>
        </x:is>
      </x:c>
      <x:c r="G194" s="18" t="inlineStr">
        <x:is>
          <x:t xml:space="preserve">Anand</x:t>
        </x:is>
      </x:c>
      <x:c r="H194" s="18" t="inlineStr">
        <x:is>
          <x:t xml:space="preserve"/>
        </x:is>
      </x:c>
      <x:c r="I194" s="45" t="inlineStr">
        <x:is>
          <x:t xml:space="preserve">Claude (config)</x:t>
        </x:is>
      </x:c>
      <x:c r="J194" s="52" t="inlineStr">
        <x:is>
          <x:t xml:space="preserve">$0</x:t>
        </x:is>
      </x:c>
      <x:c r="K194" s="84" t="inlineStr">
        <x:is>
          <x:t xml:space="preserve">Anytime</x:t>
        </x:is>
      </x:c>
      <x:c r="L194" s="44" t="inlineStr">
        <x:is>
          <x:t xml:space="preserve">Not started</x:t>
        </x:is>
      </x:c>
      <x:c r="M194" s="18" t="inlineStr">
        <x:is>
          <x:t xml:space="preserve">F500 will ask for SBOM</x:t>
        </x:is>
      </x:c>
    </x:row>
    <x:row r="195">
      <x:c r="A195" s="18" t="inlineStr">
        <x:is>
          <x:t xml:space="preserve">T092</x:t>
        </x:is>
      </x:c>
      <x:c r="B195" s="18" t="inlineStr">
        <x:is>
          <x:t xml:space="preserve">Eng Governance</x:t>
        </x:is>
      </x:c>
      <x:c r="C195" s="18" t="inlineStr">
        <x:is>
          <x:t xml:space="preserve">SBOM (Software Bill of Materials) generation</x:t>
        </x:is>
      </x:c>
      <x:c r="D195" s="18" t="inlineStr">
        <x:is>
          <x:t xml:space="preserve">CycloneDX or SPDX format, generated each release. Auto-attach to release record.</x:t>
        </x:is>
      </x:c>
      <x:c r="E195" s="32" t="inlineStr">
        <x:is>
          <x:t xml:space="preserve">P1</x:t>
        </x:is>
      </x:c>
      <x:c r="F195" s="39" t="inlineStr">
        <x:is>
          <x:t xml:space="preserve">2. CLAUDE DOES IT</x:t>
        </x:is>
      </x:c>
      <x:c r="G195" s="18" t="inlineStr">
        <x:is>
          <x:t xml:space="preserve">Anand</x:t>
        </x:is>
      </x:c>
      <x:c r="H195" s="18" t="inlineStr">
        <x:is>
          <x:t xml:space="preserve"/>
        </x:is>
      </x:c>
      <x:c r="I195" s="45" t="inlineStr">
        <x:is>
          <x:t xml:space="preserve">Claude (workflow)</x:t>
        </x:is>
      </x:c>
      <x:c r="J195" s="52" t="inlineStr">
        <x:is>
          <x:t xml:space="preserve">$0</x:t>
        </x:is>
      </x:c>
      <x:c r="K195" s="84" t="inlineStr">
        <x:is>
          <x:t xml:space="preserve">Anytime</x:t>
        </x:is>
      </x:c>
      <x:c r="L195" s="44" t="inlineStr">
        <x:is>
          <x:t xml:space="preserve">Not started</x:t>
        </x:is>
      </x:c>
      <x:c r="M195" s="18" t="inlineStr">
        <x:is>
          <x:t xml:space="preserve">F500 procurement increasingly requires</x:t>
        </x:is>
      </x:c>
    </x:row>
    <x:row r="196">
      <x:c r="A196" s="18" t="inlineStr">
        <x:is>
          <x:t xml:space="preserve">T093</x:t>
        </x:is>
      </x:c>
      <x:c r="B196" s="18" t="inlineStr">
        <x:is>
          <x:t xml:space="preserve">Eng Governance</x:t>
        </x:is>
      </x:c>
      <x:c r="C196" s="18" t="inlineStr">
        <x:is>
          <x:t xml:space="preserve">Renovate or Dependabot — automated dep updates</x:t>
        </x:is>
      </x:c>
      <x:c r="D196" s="18" t="inlineStr">
        <x:is>
          <x:t xml:space="preserve">Weekly PRs, auto-merge for patch/minor on green CI, manual for major.</x:t>
        </x:is>
      </x:c>
      <x:c r="E196" s="32" t="inlineStr">
        <x:is>
          <x:t xml:space="preserve">P1</x:t>
        </x:is>
      </x:c>
      <x:c r="F196" s="39" t="inlineStr">
        <x:is>
          <x:t xml:space="preserve">2. CLAUDE DOES IT</x:t>
        </x:is>
      </x:c>
      <x:c r="G196" s="18" t="inlineStr">
        <x:is>
          <x:t xml:space="preserve">Anand</x:t>
        </x:is>
      </x:c>
      <x:c r="H196" s="18" t="inlineStr">
        <x:is>
          <x:t xml:space="preserve"/>
        </x:is>
      </x:c>
      <x:c r="I196" s="45" t="inlineStr">
        <x:is>
          <x:t xml:space="preserve">Claude (config)</x:t>
        </x:is>
      </x:c>
      <x:c r="J196" s="52" t="inlineStr">
        <x:is>
          <x:t xml:space="preserve">$0</x:t>
        </x:is>
      </x:c>
      <x:c r="K196" s="84" t="inlineStr">
        <x:is>
          <x:t xml:space="preserve">Anytime</x:t>
        </x:is>
      </x:c>
      <x:c r="L196" s="44" t="inlineStr">
        <x:is>
          <x:t xml:space="preserve">Not started</x:t>
        </x:is>
      </x:c>
      <x:c r="M196" s="18" t="inlineStr">
        <x:is>
          <x:t xml:space="preserve"/>
        </x:is>
      </x:c>
    </x:row>
    <x:row r="197">
      <x:c r="A197" s="18" t="inlineStr">
        <x:is>
          <x:t xml:space="preserve">T095</x:t>
        </x:is>
      </x:c>
      <x:c r="B197" s="18" t="inlineStr">
        <x:is>
          <x:t xml:space="preserve">Eng Governance</x:t>
        </x:is>
      </x:c>
      <x:c r="C197" s="18" t="inlineStr">
        <x:is>
          <x:t xml:space="preserve">Scaffolding scripts (npm run scaffold:*)</x:t>
        </x:is>
      </x:c>
      <x:c r="D197" s="18" t="inlineStr">
        <x:is>
          <x:t xml:space="preserve">scaffold:route, scaffold:component, scaffold:migration, scaffold:adr — start from blessed templates.</x:t>
        </x:is>
      </x:c>
      <x:c r="E197" s="32" t="inlineStr">
        <x:is>
          <x:t xml:space="preserve">P1</x:t>
        </x:is>
      </x:c>
      <x:c r="F197" s="39" t="inlineStr">
        <x:is>
          <x:t xml:space="preserve">2. CLAUDE DOES IT</x:t>
        </x:is>
      </x:c>
      <x:c r="G197" s="18" t="inlineStr">
        <x:is>
          <x:t xml:space="preserve">Anand</x:t>
        </x:is>
      </x:c>
      <x:c r="H197" s="18" t="inlineStr">
        <x:is>
          <x:t xml:space="preserve"/>
        </x:is>
      </x:c>
      <x:c r="I197" s="45" t="inlineStr">
        <x:is>
          <x:t xml:space="preserve">Claude (code)</x:t>
        </x:is>
      </x:c>
      <x:c r="J197" s="52" t="inlineStr">
        <x:is>
          <x:t xml:space="preserve">$0</x:t>
        </x:is>
      </x:c>
      <x:c r="K197" s="84" t="inlineStr">
        <x:is>
          <x:t xml:space="preserve">Anytime</x:t>
        </x:is>
      </x:c>
      <x:c r="L197" s="44" t="inlineStr">
        <x:is>
          <x:t xml:space="preserve">Not started</x:t>
        </x:is>
      </x:c>
      <x:c r="M197" s="18" t="inlineStr">
        <x:is>
          <x:t xml:space="preserve">AI tools use these = consistency</x:t>
        </x:is>
      </x:c>
    </x:row>
    <x:row r="198">
      <x:c r="A198" s="18" t="inlineStr">
        <x:is>
          <x:t xml:space="preserve">T101</x:t>
        </x:is>
      </x:c>
      <x:c r="B198" s="18" t="inlineStr">
        <x:is>
          <x:t xml:space="preserve">Eng Governance</x:t>
        </x:is>
      </x:c>
      <x:c r="C198" s="18" t="inlineStr">
        <x:is>
          <x:t xml:space="preserve">Engineer onboarding runbook (docs/runbooks/onboarding.md)</x:t>
        </x:is>
      </x:c>
      <x:c r="D198" s="18" t="inlineStr">
        <x:is>
          <x:t xml:space="preserve">Day-1 to first-PR checklist. Write it for the NEXT person; you'll need it when you hire #2.</x:t>
        </x:is>
      </x:c>
      <x:c r="E198" s="32" t="inlineStr">
        <x:is>
          <x:t xml:space="preserve">P1</x:t>
        </x:is>
      </x:c>
      <x:c r="F198" s="39" t="inlineStr">
        <x:is>
          <x:t xml:space="preserve">2. CLAUDE DOES IT</x:t>
        </x:is>
      </x:c>
      <x:c r="G198" s="18" t="inlineStr">
        <x:is>
          <x:t xml:space="preserve">Anand</x:t>
        </x:is>
      </x:c>
      <x:c r="H198" s="18" t="inlineStr">
        <x:is>
          <x:t xml:space="preserve"/>
        </x:is>
      </x:c>
      <x:c r="I198" s="45" t="inlineStr">
        <x:is>
          <x:t xml:space="preserve">Claude (draft)</x:t>
        </x:is>
      </x:c>
      <x:c r="J198" s="52" t="inlineStr">
        <x:is>
          <x:t xml:space="preserve">$0</x:t>
        </x:is>
      </x:c>
      <x:c r="K198" s="84" t="inlineStr">
        <x:is>
          <x:t xml:space="preserve">Anytime</x:t>
        </x:is>
      </x:c>
      <x:c r="L198" s="44" t="inlineStr">
        <x:is>
          <x:t xml:space="preserve">Not started</x:t>
        </x:is>
      </x:c>
      <x:c r="M198" s="18" t="inlineStr">
        <x:is>
          <x:t xml:space="preserve">Write while you remember the steps</x:t>
        </x:is>
      </x:c>
    </x:row>
    <x:row r="199">
      <x:c r="A199" s="18" t="inlineStr">
        <x:is>
          <x:t xml:space="preserve">T103</x:t>
        </x:is>
      </x:c>
      <x:c r="B199" s="18" t="inlineStr">
        <x:is>
          <x:t xml:space="preserve">Eng Governance</x:t>
        </x:is>
      </x:c>
      <x:c r="C199" s="18" t="inlineStr">
        <x:is>
          <x:t xml:space="preserve">Accessibility (WCAG 2.1 AA) — axe-core in CI</x:t>
        </x:is>
      </x:c>
      <x:c r="D199" s="18" t="inlineStr">
        <x:is>
          <x:t xml:space="preserve">Required for many F500 procurement. axe-core on every route in E2E suite.</x:t>
        </x:is>
      </x:c>
      <x:c r="E199" s="32" t="inlineStr">
        <x:is>
          <x:t xml:space="preserve">P1</x:t>
        </x:is>
      </x:c>
      <x:c r="F199" s="39" t="inlineStr">
        <x:is>
          <x:t xml:space="preserve">2. CLAUDE DOES IT</x:t>
        </x:is>
      </x:c>
      <x:c r="G199" s="18" t="inlineStr">
        <x:is>
          <x:t xml:space="preserve">Anand</x:t>
        </x:is>
      </x:c>
      <x:c r="H199" s="18" t="inlineStr">
        <x:is>
          <x:t xml:space="preserve"/>
        </x:is>
      </x:c>
      <x:c r="I199" s="45" t="inlineStr">
        <x:is>
          <x:t xml:space="preserve">Claude (axe-core)</x:t>
        </x:is>
      </x:c>
      <x:c r="J199" s="52" t="inlineStr">
        <x:is>
          <x:t xml:space="preserve">$0 (axe-core free)</x:t>
        </x:is>
      </x:c>
      <x:c r="K199" s="84" t="inlineStr">
        <x:is>
          <x:t xml:space="preserve">Anytime</x:t>
        </x:is>
      </x:c>
      <x:c r="L199" s="44" t="inlineStr">
        <x:is>
          <x:t xml:space="preserve">Not started</x:t>
        </x:is>
      </x:c>
      <x:c r="M199" s="18" t="inlineStr">
        <x:is>
          <x:t xml:space="preserve">Procurement table stakes</x:t>
        </x:is>
      </x:c>
    </x:row>
    <x:row r="200">
      <x:c r="A200" s="18" t="inlineStr">
        <x:is>
          <x:t xml:space="preserve">T104</x:t>
        </x:is>
      </x:c>
      <x:c r="B200" s="18" t="inlineStr">
        <x:is>
          <x:t xml:space="preserve">Eng Governance</x:t>
        </x:is>
      </x:c>
      <x:c r="C200" s="18" t="inlineStr">
        <x:is>
          <x:t xml:space="preserve">Test pyramid policy — every new route requires behavior test</x:t>
        </x:is>
      </x:c>
      <x:c r="D200" s="18" t="inlineStr">
        <x:is>
          <x:t xml:space="preserve">Encoded in PR template + CI check. New route file w/o test = fail.</x:t>
        </x:is>
      </x:c>
      <x:c r="E200" s="32" t="inlineStr">
        <x:is>
          <x:t xml:space="preserve">P1</x:t>
        </x:is>
      </x:c>
      <x:c r="F200" s="39" t="inlineStr">
        <x:is>
          <x:t xml:space="preserve">2. CLAUDE DOES IT</x:t>
        </x:is>
      </x:c>
      <x:c r="G200" s="18" t="inlineStr">
        <x:is>
          <x:t xml:space="preserve">Anand</x:t>
        </x:is>
      </x:c>
      <x:c r="H200" s="18" t="inlineStr">
        <x:is>
          <x:t xml:space="preserve"/>
        </x:is>
      </x:c>
      <x:c r="I200" s="45" t="inlineStr">
        <x:is>
          <x:t xml:space="preserve">Claude (config)</x:t>
        </x:is>
      </x:c>
      <x:c r="J200" s="52" t="inlineStr">
        <x:is>
          <x:t xml:space="preserve">$0</x:t>
        </x:is>
      </x:c>
      <x:c r="K200" s="84" t="inlineStr">
        <x:is>
          <x:t xml:space="preserve">Anytime</x:t>
        </x:is>
      </x:c>
      <x:c r="L200" s="44" t="inlineStr">
        <x:is>
          <x:t xml:space="preserve">Not started</x:t>
        </x:is>
      </x:c>
      <x:c r="M200" s="18" t="inlineStr">
        <x:is>
          <x:t xml:space="preserve"/>
        </x:is>
      </x:c>
    </x:row>
    <x:row r="201">
      <x:c r="A201" s="18" t="inlineStr">
        <x:is>
          <x:t xml:space="preserve">T099</x:t>
        </x:is>
      </x:c>
      <x:c r="B201" s="18" t="inlineStr">
        <x:is>
          <x:t xml:space="preserve">Eng Governance</x:t>
        </x:is>
      </x:c>
      <x:c r="C201" s="18" t="inlineStr">
        <x:is>
          <x:t xml:space="preserve">Specialist catalog kept current in docs/architecture/specialist-catalog.md</x:t>
        </x:is>
      </x:c>
      <x:c r="D201" s="18" t="inlineStr">
        <x:is>
          <x:t xml:space="preserve">CI check: every new specialist class has catalog entry.</x:t>
        </x:is>
      </x:c>
      <x:c r="E201" s="49" t="inlineStr">
        <x:is>
          <x:t xml:space="preserve">P2</x:t>
        </x:is>
      </x:c>
      <x:c r="F201" s="39" t="inlineStr">
        <x:is>
          <x:t xml:space="preserve">2. CLAUDE DOES IT</x:t>
        </x:is>
      </x:c>
      <x:c r="G201" s="18" t="inlineStr">
        <x:is>
          <x:t xml:space="preserve">Anand</x:t>
        </x:is>
      </x:c>
      <x:c r="H201" s="18" t="inlineStr">
        <x:is>
          <x:t xml:space="preserve"/>
        </x:is>
      </x:c>
      <x:c r="I201" s="45" t="inlineStr">
        <x:is>
          <x:t xml:space="preserve">Claude (docs)</x:t>
        </x:is>
      </x:c>
      <x:c r="J201" s="52" t="inlineStr">
        <x:is>
          <x:t xml:space="preserve">$0</x:t>
        </x:is>
      </x:c>
      <x:c r="K201" s="84" t="inlineStr">
        <x:is>
          <x:t xml:space="preserve">Anytime</x:t>
        </x:is>
      </x:c>
      <x:c r="L201" s="44" t="inlineStr">
        <x:is>
          <x:t xml:space="preserve">Not started</x:t>
        </x:is>
      </x:c>
      <x:c r="M201" s="18" t="inlineStr">
        <x:is>
          <x:t xml:space="preserve"/>
        </x:is>
      </x:c>
    </x:row>
    <x:row r="202">
      <x:c r="A202" s="18" t="inlineStr">
        <x:is>
          <x:t xml:space="preserve">T105</x:t>
        </x:is>
      </x:c>
      <x:c r="B202" s="18" t="inlineStr">
        <x:is>
          <x:t xml:space="preserve">Eng Governance</x:t>
        </x:is>
      </x:c>
      <x:c r="C202" s="18" t="inlineStr">
        <x:is>
          <x:t xml:space="preserve">Telemetry/observability standards — event naming convention</x:t>
        </x:is>
      </x:c>
      <x:c r="D202" s="18" t="inlineStr">
        <x:is>
          <x:t xml:space="preserve">All PostHog events follow {surface}_{noun}_{verb} schema. CI check on new events.</x:t>
        </x:is>
      </x:c>
      <x:c r="E202" s="49" t="inlineStr">
        <x:is>
          <x:t xml:space="preserve">P2</x:t>
        </x:is>
      </x:c>
      <x:c r="F202" s="39" t="inlineStr">
        <x:is>
          <x:t xml:space="preserve">2. CLAUDE DOES IT</x:t>
        </x:is>
      </x:c>
      <x:c r="G202" s="18" t="inlineStr">
        <x:is>
          <x:t xml:space="preserve">Anand</x:t>
        </x:is>
      </x:c>
      <x:c r="H202" s="18" t="inlineStr">
        <x:is>
          <x:t xml:space="preserve"/>
        </x:is>
      </x:c>
      <x:c r="I202" s="45" t="inlineStr">
        <x:is>
          <x:t xml:space="preserve">Claude (docs)</x:t>
        </x:is>
      </x:c>
      <x:c r="J202" s="52" t="inlineStr">
        <x:is>
          <x:t xml:space="preserve">$0</x:t>
        </x:is>
      </x:c>
      <x:c r="K202" s="84" t="inlineStr">
        <x:is>
          <x:t xml:space="preserve">Anytime</x:t>
        </x:is>
      </x:c>
      <x:c r="L202" s="44" t="inlineStr">
        <x:is>
          <x:t xml:space="preserve">Not started</x:t>
        </x:is>
      </x:c>
      <x:c r="M202" s="18" t="inlineStr">
        <x:is>
          <x:t xml:space="preserve">Future analytics depend on this</x:t>
        </x:is>
      </x:c>
    </x:row>
    <x:row r="203">
      <x:c r="A203" s="18" t="inlineStr">
        <x:is>
          <x:t xml:space="preserve">T098</x:t>
        </x:is>
      </x:c>
      <x:c r="B203" s="18" t="inlineStr">
        <x:is>
          <x:t xml:space="preserve">Eng Governance</x:t>
        </x:is>
      </x:c>
      <x:c r="C203" s="18" t="inlineStr">
        <x:is>
          <x:t xml:space="preserve">Migration drift check enforced as required check (currently warn-only)</x:t>
        </x:is>
      </x:c>
      <x:c r="D203" s="18" t="inlineStr">
        <x:is>
          <x:t xml:space="preserve">Move from warn to fail. Per project_drift_check_status memory — currently broken on GitHub-side auth.</x:t>
        </x:is>
      </x:c>
      <x:c r="E203" s="32" t="inlineStr">
        <x:is>
          <x:t xml:space="preserve">P1</x:t>
        </x:is>
      </x:c>
      <x:c r="F203" s="40" t="inlineStr">
        <x:is>
          <x:t xml:space="preserve">3. CLAUDE + YOU</x:t>
        </x:is>
      </x:c>
      <x:c r="G203" s="18" t="inlineStr">
        <x:is>
          <x:t xml:space="preserve">Anand</x:t>
        </x:is>
      </x:c>
      <x:c r="H203" s="18" t="inlineStr">
        <x:is>
          <x:t xml:space="preserve"/>
        </x:is>
      </x:c>
      <x:c r="I203" s="47" t="inlineStr">
        <x:is>
          <x:t xml:space="preserve">Claude + you (auth fix)</x:t>
        </x:is>
      </x:c>
      <x:c r="J203" s="52" t="inlineStr">
        <x:is>
          <x:t xml:space="preserve">$0</x:t>
        </x:is>
      </x:c>
      <x:c r="K203" s="84" t="inlineStr">
        <x:is>
          <x:t xml:space="preserve">Anytime</x:t>
        </x:is>
      </x:c>
      <x:c r="L203" s="44" t="inlineStr">
        <x:is>
          <x:t xml:space="preserve">Not started</x:t>
        </x:is>
      </x:c>
      <x:c r="M203" s="18" t="inlineStr">
        <x:is>
          <x:t xml:space="preserve">Fix GitHub auth first</x:t>
        </x:is>
      </x:c>
    </x:row>
    <x:row r="204">
      <x:c r="A204" s="18" t="inlineStr">
        <x:is>
          <x:t xml:space="preserve">T102</x:t>
        </x:is>
      </x:c>
      <x:c r="B204" s="18" t="inlineStr">
        <x:is>
          <x:t xml:space="preserve">Eng Governance</x:t>
        </x:is>
      </x:c>
      <x:c r="C204" s="18" t="inlineStr">
        <x:is>
          <x:t xml:space="preserve">DORA metrics dashboard (lead time, deploy freq, change-fail rate, MTTR)</x:t>
        </x:is>
      </x:c>
      <x:c r="D204" s="18" t="inlineStr">
        <x:is>
          <x:t xml:space="preserve">Auto-collected from GitHub + Vercel + PostHog. Weekly review.</x:t>
        </x:is>
      </x:c>
      <x:c r="E204" s="49" t="inlineStr">
        <x:is>
          <x:t xml:space="preserve">P2</x:t>
        </x:is>
      </x:c>
      <x:c r="F204" s="41" t="inlineStr">
        <x:is>
          <x:t xml:space="preserve">4. CLAUDE + PRO</x:t>
        </x:is>
      </x:c>
      <x:c r="G204" s="18" t="inlineStr">
        <x:is>
          <x:t xml:space="preserve">Anand</x:t>
        </x:is>
      </x:c>
      <x:c r="H204" s="18" t="inlineStr">
        <x:is>
          <x:t xml:space="preserve"/>
        </x:is>
      </x:c>
      <x:c r="I204" s="50" t="inlineStr">
        <x:is>
          <x:t xml:space="preserve">Claude + 3rd party</x:t>
        </x:is>
      </x:c>
      <x:c r="J204" s="52" t="inlineStr">
        <x:is>
          <x:t xml:space="preserve">$0 (build) or $50/mo (LinearB)</x:t>
        </x:is>
      </x:c>
      <x:c r="K204" s="84" t="inlineStr">
        <x:is>
          <x:t xml:space="preserve">Anytime</x:t>
        </x:is>
      </x:c>
      <x:c r="L204" s="44" t="inlineStr">
        <x:is>
          <x:t xml:space="preserve">Not started</x:t>
        </x:is>
      </x:c>
      <x:c r="M204" s="18" t="inlineStr">
        <x:is>
          <x:t xml:space="preserve">Hire conversations get easier with numbers</x:t>
        </x:is>
      </x:c>
    </x:row>
    <x:row r="205">
      <x:c r="A205" s="18" t="inlineStr">
        <x:is>
          <x:t xml:space="preserve">T081</x:t>
        </x:is>
      </x:c>
      <x:c r="B205" s="18" t="inlineStr">
        <x:is>
          <x:t xml:space="preserve">Eng Governance</x:t>
        </x:is>
      </x:c>
      <x:c r="C205" s="18" t="inlineStr">
        <x:is>
          <x:t xml:space="preserve">GitHub branch protection rules — required checks + reviewers</x:t>
        </x:is>
      </x:c>
      <x:c r="D205" s="18" t="inlineStr">
        <x:is>
          <x:t xml:space="preserve">main: required status checks, signed commits, no force-push, no admin bypass, linear history.</x:t>
        </x:is>
      </x:c>
      <x:c r="E205" s="31" t="inlineStr">
        <x:is>
          <x:t xml:space="preserve">P0</x:t>
        </x:is>
      </x:c>
      <x:c r="F205" s="42" t="inlineStr">
        <x:is>
          <x:t xml:space="preserve">5. EXTERNAL</x:t>
        </x:is>
      </x:c>
      <x:c r="G205" s="18" t="inlineStr">
        <x:is>
          <x:t xml:space="preserve">Anand</x:t>
        </x:is>
      </x:c>
      <x:c r="H205" s="18" t="inlineStr">
        <x:is>
          <x:t xml:space="preserve">T084</x:t>
        </x:is>
      </x:c>
      <x:c r="I205" s="48" t="inlineStr">
        <x:is>
          <x:t xml:space="preserve">You only (GH UI)</x:t>
        </x:is>
      </x:c>
      <x:c r="J205" s="52" t="inlineStr">
        <x:is>
          <x:t xml:space="preserve">$0</x:t>
        </x:is>
      </x:c>
      <x:c r="K205" s="84" t="inlineStr">
        <x:is>
          <x:t xml:space="preserve">Anytime</x:t>
        </x:is>
      </x:c>
      <x:c r="L205" s="44" t="inlineStr">
        <x:is>
          <x:t xml:space="preserve">Not started</x:t>
        </x:is>
      </x:c>
      <x:c r="M205" s="18" t="inlineStr">
        <x:is>
          <x:t xml:space="preserve">Hardest single thing to retrofit later</x:t>
        </x:is>
      </x:c>
    </x:row>
    <x:row r="206">
      <x:c r="A206" s="18" t="inlineStr">
        <x:is>
          <x:t xml:space="preserve">T066</x:t>
        </x:is>
      </x:c>
      <x:c r="B206" s="18" t="inlineStr">
        <x:is>
          <x:t xml:space="preserve">IP &amp; Trademark</x:t>
        </x:is>
      </x:c>
      <x:c r="C206" s="18" t="inlineStr">
        <x:is>
          <x:t xml:space="preserve">Trademark 'AbarVa' with USPTO</x:t>
        </x:is>
      </x:c>
      <x:c r="D206" s="18" t="inlineStr">
        <x:is>
          <x:t xml:space="preserve">$350 filing + optional lawyer review. Class 9 (software) + Class 42 (SaaS).</x:t>
        </x:is>
      </x:c>
      <x:c r="E206" s="31" t="inlineStr">
        <x:is>
          <x:t xml:space="preserve">P0</x:t>
        </x:is>
      </x:c>
      <x:c r="F206" s="38" t="inlineStr">
        <x:is>
          <x:t xml:space="preserve">1. QUICK WIN</x:t>
        </x:is>
      </x:c>
      <x:c r="G206" s="18" t="inlineStr">
        <x:is>
          <x:t xml:space="preserve">Anand</x:t>
        </x:is>
      </x:c>
      <x:c r="H206" s="18" t="inlineStr">
        <x:is>
          <x:t xml:space="preserve">T001</x:t>
        </x:is>
      </x:c>
      <x:c r="I206" s="43" t="inlineStr">
        <x:is>
          <x:t xml:space="preserve">Self-serve (USPTO TEAS) + Claude</x:t>
        </x:is>
      </x:c>
      <x:c r="J206" s="51" t="inlineStr">
        <x:is>
          <x:t xml:space="preserve">$350 one-time (USPTO)</x:t>
        </x:is>
      </x:c>
      <x:c r="K206" s="83" t="inlineStr">
        <x:is>
          <x:t xml:space="preserve">Post-Resign</x:t>
        </x:is>
      </x:c>
      <x:c r="L206" s="44" t="inlineStr">
        <x:is>
          <x:t xml:space="preserve">Not started</x:t>
        </x:is>
      </x:c>
      <x:c r="M206" s="18" t="inlineStr">
        <x:is>
          <x:t xml:space="preserve">Defensive — file BEFORE any public launch / press</x:t>
        </x:is>
      </x:c>
    </x:row>
    <x:row r="207">
      <x:c r="A207" s="18" t="inlineStr">
        <x:is>
          <x:t xml:space="preserve">T067</x:t>
        </x:is>
      </x:c>
      <x:c r="B207" s="18" t="inlineStr">
        <x:is>
          <x:t xml:space="preserve">IP &amp; Trademark</x:t>
        </x:is>
      </x:c>
      <x:c r="C207" s="18" t="inlineStr">
        <x:is>
          <x:t xml:space="preserve">Knockout search for agent brand names (Sentinel/Atlas/Steward/Nexus/Maestro)</x:t>
        </x:is>
      </x:c>
      <x:c r="D207" s="18" t="inlineStr">
        <x:is>
          <x:t xml:space="preserve">Free USPTO TESS search. These are common English words — expect conflicts in adjacent categories.</x:t>
        </x:is>
      </x:c>
      <x:c r="E207" s="31" t="inlineStr">
        <x:is>
          <x:t xml:space="preserve">P0</x:t>
        </x:is>
      </x:c>
      <x:c r="F207" s="38" t="inlineStr">
        <x:is>
          <x:t xml:space="preserve">1. QUICK WIN</x:t>
        </x:is>
      </x:c>
      <x:c r="G207" s="18" t="inlineStr">
        <x:is>
          <x:t xml:space="preserve">Anand</x:t>
        </x:is>
      </x:c>
      <x:c r="H207" s="18" t="inlineStr">
        <x:is>
          <x:t xml:space="preserve"/>
        </x:is>
      </x:c>
      <x:c r="I207" s="43" t="inlineStr">
        <x:is>
          <x:t xml:space="preserve">Self-serve + Claude</x:t>
        </x:is>
      </x:c>
      <x:c r="J207" s="52" t="inlineStr">
        <x:is>
          <x:t xml:space="preserve">$0 (USPTO TESS)</x:t>
        </x:is>
      </x:c>
      <x:c r="K207" s="82" t="inlineStr">
        <x:is>
          <x:t xml:space="preserve">Pre-Resign</x:t>
        </x:is>
      </x:c>
      <x:c r="L207" s="44" t="inlineStr">
        <x:is>
          <x:t xml:space="preserve">Not started</x:t>
        </x:is>
      </x:c>
      <x:c r="M207" s="18" t="inlineStr">
        <x:is>
          <x:t xml:space="preserve">Do BEFORE filing</x:t>
        </x:is>
      </x:c>
    </x:row>
    <x:row r="208">
      <x:c r="A208" s="18" t="inlineStr">
        <x:is>
          <x:t xml:space="preserve">T068</x:t>
        </x:is>
      </x:c>
      <x:c r="B208" s="18" t="inlineStr">
        <x:is>
          <x:t xml:space="preserve">IP &amp; Trademark</x:t>
        </x:is>
      </x:c>
      <x:c r="C208" s="18" t="inlineStr">
        <x:is>
          <x:t xml:space="preserve">Trademark agent brand names (qualified if needed: 'AbarVa Sentinel' etc.)</x:t>
        </x:is>
      </x:c>
      <x:c r="D208" s="18" t="inlineStr">
        <x:is>
          <x:t xml:space="preserve">Likely need qualified marks given knockout results. ~$350 × N filings.</x:t>
        </x:is>
      </x:c>
      <x:c r="E208" s="32" t="inlineStr">
        <x:is>
          <x:t xml:space="preserve">P1</x:t>
        </x:is>
      </x:c>
      <x:c r="F208" s="38" t="inlineStr">
        <x:is>
          <x:t xml:space="preserve">1. QUICK WIN</x:t>
        </x:is>
      </x:c>
      <x:c r="G208" s="18" t="inlineStr">
        <x:is>
          <x:t xml:space="preserve">Anand</x:t>
        </x:is>
      </x:c>
      <x:c r="H208" s="18" t="inlineStr">
        <x:is>
          <x:t xml:space="preserve">T067</x:t>
        </x:is>
      </x:c>
      <x:c r="I208" s="43" t="inlineStr">
        <x:is>
          <x:t xml:space="preserve">Self-serve (USPTO TEAS)</x:t>
        </x:is>
      </x:c>
      <x:c r="J208" s="51" t="inlineStr">
        <x:is>
          <x:t xml:space="preserve">$350-1400 (1-4 marks)</x:t>
        </x:is>
      </x:c>
      <x:c r="K208" s="83" t="inlineStr">
        <x:is>
          <x:t xml:space="preserve">Post-Resign</x:t>
        </x:is>
      </x:c>
      <x:c r="L208" s="44" t="inlineStr">
        <x:is>
          <x:t xml:space="preserve">Not started</x:t>
        </x:is>
      </x:c>
      <x:c r="M208" s="18" t="inlineStr">
        <x:is>
          <x:t xml:space="preserve"/>
        </x:is>
      </x:c>
    </x:row>
    <x:row r="209">
      <x:c r="A209" s="18" t="inlineStr">
        <x:is>
          <x:t xml:space="preserve">T069</x:t>
        </x:is>
      </x:c>
      <x:c r="B209" s="18" t="inlineStr">
        <x:is>
          <x:t xml:space="preserve">IP &amp; Trademark</x:t>
        </x:is>
      </x:c>
      <x:c r="C209" s="18" t="inlineStr">
        <x:is>
          <x:t xml:space="preserve">Register industry-genome corpus database with US Copyright Office</x:t>
        </x:is>
      </x:c>
      <x:c r="D209" s="18" t="inlineStr">
        <x:is>
          <x:t xml:space="preserve">$65. Database registration. Evidentiary advantage if anyone copies the corpus.</x:t>
        </x:is>
      </x:c>
      <x:c r="E209" s="32" t="inlineStr">
        <x:is>
          <x:t xml:space="preserve">P1</x:t>
        </x:is>
      </x:c>
      <x:c r="F209" s="38" t="inlineStr">
        <x:is>
          <x:t xml:space="preserve">1. QUICK WIN</x:t>
        </x:is>
      </x:c>
      <x:c r="G209" s="18" t="inlineStr">
        <x:is>
          <x:t xml:space="preserve">Anand</x:t>
        </x:is>
      </x:c>
      <x:c r="H209" s="18" t="inlineStr">
        <x:is>
          <x:t xml:space="preserve">T001</x:t>
        </x:is>
      </x:c>
      <x:c r="I209" s="43" t="inlineStr">
        <x:is>
          <x:t xml:space="preserve">Self-serve (copyright.gov)</x:t>
        </x:is>
      </x:c>
      <x:c r="J209" s="51" t="inlineStr">
        <x:is>
          <x:t xml:space="preserve">$65 one-time/yr</x:t>
        </x:is>
      </x:c>
      <x:c r="K209" s="83" t="inlineStr">
        <x:is>
          <x:t xml:space="preserve">Post-Resign</x:t>
        </x:is>
      </x:c>
      <x:c r="L209" s="44" t="inlineStr">
        <x:is>
          <x:t xml:space="preserve">Not started</x:t>
        </x:is>
      </x:c>
      <x:c r="M209" s="18" t="inlineStr">
        <x:is>
          <x:t xml:space="preserve">Re-register annually as waves grow</x:t>
        </x:is>
      </x:c>
    </x:row>
    <x:row r="210">
      <x:c r="A210" s="18" t="inlineStr">
        <x:is>
          <x:t xml:space="preserve">T070</x:t>
        </x:is>
      </x:c>
      <x:c r="B210" s="18" t="inlineStr">
        <x:is>
          <x:t xml:space="preserve">IP &amp; Trademark</x:t>
        </x:is>
      </x:c>
      <x:c r="C210" s="18" t="inlineStr">
        <x:is>
          <x:t xml:space="preserve">Write 1-page Trade Secret Policy</x:t>
        </x:is>
      </x:c>
      <x:c r="D210" s="18" t="inlineStr">
        <x:is>
          <x:t xml:space="preserve">Definition, marking convention ('AbarVa Confidential — Trade Secret'), access controls, NDA on all touch.</x:t>
        </x:is>
      </x:c>
      <x:c r="E210" s="31" t="inlineStr">
        <x:is>
          <x:t xml:space="preserve">P0</x:t>
        </x:is>
      </x:c>
      <x:c r="F210" s="39" t="inlineStr">
        <x:is>
          <x:t xml:space="preserve">2. CLAUDE DOES IT</x:t>
        </x:is>
      </x:c>
      <x:c r="G210" s="18" t="inlineStr">
        <x:is>
          <x:t xml:space="preserve">Anand</x:t>
        </x:is>
      </x:c>
      <x:c r="H210" s="18" t="inlineStr">
        <x:is>
          <x:t xml:space="preserve"/>
        </x:is>
      </x:c>
      <x:c r="I210" s="45" t="inlineStr">
        <x:is>
          <x:t xml:space="preserve">Claude (draft)</x:t>
        </x:is>
      </x:c>
      <x:c r="J210" s="52" t="inlineStr">
        <x:is>
          <x:t xml:space="preserve">$0</x:t>
        </x:is>
      </x:c>
      <x:c r="K210" s="82" t="inlineStr">
        <x:is>
          <x:t xml:space="preserve">Pre-Resign</x:t>
        </x:is>
      </x:c>
      <x:c r="L210" s="44" t="inlineStr">
        <x:is>
          <x:t xml:space="preserve">Not started</x:t>
        </x:is>
      </x:c>
      <x:c r="M210" s="18" t="inlineStr">
        <x:is>
          <x:t xml:space="preserve">Costs $0. Foundation for any trade-secret claim later.</x:t>
        </x:is>
      </x:c>
    </x:row>
    <x:row r="211">
      <x:c r="A211" s="18" t="inlineStr">
        <x:is>
          <x:t xml:space="preserve">T072</x:t>
        </x:is>
      </x:c>
      <x:c r="B211" s="18" t="inlineStr">
        <x:is>
          <x:t xml:space="preserve">IP &amp; Trademark</x:t>
        </x:is>
      </x:c>
      <x:c r="C211" s="18" t="inlineStr">
        <x:is>
          <x:t xml:space="preserve">Defensive publication: AgentContextBroker boundary contract</x:t>
        </x:is>
      </x:c>
      <x:c r="D211" s="18" t="inlineStr">
        <x:is>
          <x:t xml:space="preserve">Dated, indexed blog post on abarva.com/engineering. Prior art = no one else can patent it against you.</x:t>
        </x:is>
      </x:c>
      <x:c r="E211" s="32" t="inlineStr">
        <x:is>
          <x:t xml:space="preserve">P1</x:t>
        </x:is>
      </x:c>
      <x:c r="F211" s="39" t="inlineStr">
        <x:is>
          <x:t xml:space="preserve">2. CLAUDE DOES IT</x:t>
        </x:is>
      </x:c>
      <x:c r="G211" s="18" t="inlineStr">
        <x:is>
          <x:t xml:space="preserve">Anand</x:t>
        </x:is>
      </x:c>
      <x:c r="H211" s="18" t="inlineStr">
        <x:is>
          <x:t xml:space="preserve"/>
        </x:is>
      </x:c>
      <x:c r="I211" s="45" t="inlineStr">
        <x:is>
          <x:t xml:space="preserve">Claude (draft post)</x:t>
        </x:is>
      </x:c>
      <x:c r="J211" s="52" t="inlineStr">
        <x:is>
          <x:t xml:space="preserve">$0</x:t>
        </x:is>
      </x:c>
      <x:c r="K211" s="83" t="inlineStr">
        <x:is>
          <x:t xml:space="preserve">Post-Resign</x:t>
        </x:is>
      </x:c>
      <x:c r="L211" s="44" t="inlineStr">
        <x:is>
          <x:t xml:space="preserve">Not started</x:t>
        </x:is>
      </x:c>
      <x:c r="M211" s="18" t="inlineStr">
        <x:is>
          <x:t xml:space="preserve">Free poison pill</x:t>
        </x:is>
      </x:c>
    </x:row>
    <x:row r="212">
      <x:c r="A212" s="18" t="inlineStr">
        <x:is>
          <x:t xml:space="preserve">T073</x:t>
        </x:is>
      </x:c>
      <x:c r="B212" s="18" t="inlineStr">
        <x:is>
          <x:t xml:space="preserve">IP &amp; Trademark</x:t>
        </x:is>
      </x:c>
      <x:c r="C212" s="18" t="inlineStr">
        <x:is>
          <x:t xml:space="preserve">Defensive publication: workflow-anchored agent pattern</x:t>
        </x:is>
      </x:c>
      <x:c r="D212" s="18" t="inlineStr">
        <x:is>
          <x:t xml:space="preserve">Article describing one-front-agent-per-product + specialist routing.</x:t>
        </x:is>
      </x:c>
      <x:c r="E212" s="32" t="inlineStr">
        <x:is>
          <x:t xml:space="preserve">P1</x:t>
        </x:is>
      </x:c>
      <x:c r="F212" s="39" t="inlineStr">
        <x:is>
          <x:t xml:space="preserve">2. CLAUDE DOES IT</x:t>
        </x:is>
      </x:c>
      <x:c r="G212" s="18" t="inlineStr">
        <x:is>
          <x:t xml:space="preserve">Anand</x:t>
        </x:is>
      </x:c>
      <x:c r="H212" s="18" t="inlineStr">
        <x:is>
          <x:t xml:space="preserve"/>
        </x:is>
      </x:c>
      <x:c r="I212" s="45" t="inlineStr">
        <x:is>
          <x:t xml:space="preserve">Claude (draft post)</x:t>
        </x:is>
      </x:c>
      <x:c r="J212" s="52" t="inlineStr">
        <x:is>
          <x:t xml:space="preserve">$0</x:t>
        </x:is>
      </x:c>
      <x:c r="K212" s="83" t="inlineStr">
        <x:is>
          <x:t xml:space="preserve">Post-Resign</x:t>
        </x:is>
      </x:c>
      <x:c r="L212" s="44" t="inlineStr">
        <x:is>
          <x:t xml:space="preserve">Not started</x:t>
        </x:is>
      </x:c>
      <x:c r="M212" s="18" t="inlineStr">
        <x:is>
          <x:t xml:space="preserve"/>
        </x:is>
      </x:c>
    </x:row>
    <x:row r="213">
      <x:c r="A213" s="18" t="inlineStr">
        <x:is>
          <x:t xml:space="preserve">T074</x:t>
        </x:is>
      </x:c>
      <x:c r="B213" s="18" t="inlineStr">
        <x:is>
          <x:t xml:space="preserve">IP &amp; Trademark</x:t>
        </x:is>
      </x:c>
      <x:c r="C213" s="18" t="inlineStr">
        <x:is>
          <x:t xml:space="preserve">Defensive publication: pattern-to-Move funnel</x:t>
        </x:is>
      </x:c>
      <x:c r="D213" s="18" t="inlineStr">
        <x:is>
          <x:t xml:space="preserve">Article describing Intelligence → Moves translation flow.</x:t>
        </x:is>
      </x:c>
      <x:c r="E213" s="49" t="inlineStr">
        <x:is>
          <x:t xml:space="preserve">P2</x:t>
        </x:is>
      </x:c>
      <x:c r="F213" s="39" t="inlineStr">
        <x:is>
          <x:t xml:space="preserve">2. CLAUDE DOES IT</x:t>
        </x:is>
      </x:c>
      <x:c r="G213" s="18" t="inlineStr">
        <x:is>
          <x:t xml:space="preserve">Anand</x:t>
        </x:is>
      </x:c>
      <x:c r="H213" s="18" t="inlineStr">
        <x:is>
          <x:t xml:space="preserve"/>
        </x:is>
      </x:c>
      <x:c r="I213" s="45" t="inlineStr">
        <x:is>
          <x:t xml:space="preserve">Claude (draft post)</x:t>
        </x:is>
      </x:c>
      <x:c r="J213" s="52" t="inlineStr">
        <x:is>
          <x:t xml:space="preserve">$0</x:t>
        </x:is>
      </x:c>
      <x:c r="K213" s="83" t="inlineStr">
        <x:is>
          <x:t xml:space="preserve">Post-Resign</x:t>
        </x:is>
      </x:c>
      <x:c r="L213" s="44" t="inlineStr">
        <x:is>
          <x:t xml:space="preserve">Not started</x:t>
        </x:is>
      </x:c>
      <x:c r="M213" s="18" t="inlineStr">
        <x:is>
          <x:t xml:space="preserve"/>
        </x:is>
      </x:c>
    </x:row>
    <x:row r="214">
      <x:c r="A214" s="18" t="inlineStr">
        <x:is>
          <x:t xml:space="preserve">T076</x:t>
        </x:is>
      </x:c>
      <x:c r="B214" s="18" t="inlineStr">
        <x:is>
          <x:t xml:space="preserve">IP &amp; Trademark</x:t>
        </x:is>
      </x:c>
      <x:c r="C214" s="18" t="inlineStr">
        <x:is>
          <x:t xml:space="preserve">Invention disclosure form (1-pager) for future innovations</x:t>
        </x:is>
      </x:c>
      <x:c r="D214" s="18" t="inlineStr">
        <x:is>
          <x:t xml:space="preserve">Capture novel mechanisms as they emerge. Decision: patent / trade secret / publish.</x:t>
        </x:is>
      </x:c>
      <x:c r="E214" s="49" t="inlineStr">
        <x:is>
          <x:t xml:space="preserve">P2</x:t>
        </x:is>
      </x:c>
      <x:c r="F214" s="39" t="inlineStr">
        <x:is>
          <x:t xml:space="preserve">2. CLAUDE DOES IT</x:t>
        </x:is>
      </x:c>
      <x:c r="G214" s="18" t="inlineStr">
        <x:is>
          <x:t xml:space="preserve">Anand</x:t>
        </x:is>
      </x:c>
      <x:c r="H214" s="18" t="inlineStr">
        <x:is>
          <x:t xml:space="preserve"/>
        </x:is>
      </x:c>
      <x:c r="I214" s="45" t="inlineStr">
        <x:is>
          <x:t xml:space="preserve">Claude (template)</x:t>
        </x:is>
      </x:c>
      <x:c r="J214" s="52" t="inlineStr">
        <x:is>
          <x:t xml:space="preserve">$0</x:t>
        </x:is>
      </x:c>
      <x:c r="K214" s="82" t="inlineStr">
        <x:is>
          <x:t xml:space="preserve">Pre-Resign</x:t>
        </x:is>
      </x:c>
      <x:c r="L214" s="44" t="inlineStr">
        <x:is>
          <x:t xml:space="preserve">Not started</x:t>
        </x:is>
      </x:c>
      <x:c r="M214" s="18" t="inlineStr">
        <x:is>
          <x:t xml:space="preserve">Quarterly review cadence</x:t>
        </x:is>
      </x:c>
    </x:row>
    <x:row r="215">
      <x:c r="A215" s="18" t="inlineStr">
        <x:is>
          <x:t xml:space="preserve">T071</x:t>
        </x:is>
      </x:c>
      <x:c r="B215" s="18" t="inlineStr">
        <x:is>
          <x:t xml:space="preserve">IP &amp; Trademark</x:t>
        </x:is>
      </x:c>
      <x:c r="C215" s="18" t="inlineStr">
        <x:is>
          <x:t xml:space="preserve">Inventory trade secrets — apply marking</x:t>
        </x:is>
      </x:c>
      <x:c r="D215" s="18" t="inlineStr">
        <x:is>
          <x:t xml:space="preserve">Agent system prompts, specialist routing logic, corpus curation methodology, evaluation rubrics, growth playbooks.</x:t>
        </x:is>
      </x:c>
      <x:c r="E215" s="31" t="inlineStr">
        <x:is>
          <x:t xml:space="preserve">P0</x:t>
        </x:is>
      </x:c>
      <x:c r="F215" s="40" t="inlineStr">
        <x:is>
          <x:t xml:space="preserve">3. CLAUDE + YOU</x:t>
        </x:is>
      </x:c>
      <x:c r="G215" s="18" t="inlineStr">
        <x:is>
          <x:t xml:space="preserve">Anand</x:t>
        </x:is>
      </x:c>
      <x:c r="H215" s="18" t="inlineStr">
        <x:is>
          <x:t xml:space="preserve">T070</x:t>
        </x:is>
      </x:c>
      <x:c r="I215" s="47" t="inlineStr">
        <x:is>
          <x:t xml:space="preserve">Claude + you</x:t>
        </x:is>
      </x:c>
      <x:c r="J215" s="52" t="inlineStr">
        <x:is>
          <x:t xml:space="preserve">$0</x:t>
        </x:is>
      </x:c>
      <x:c r="K215" s="82" t="inlineStr">
        <x:is>
          <x:t xml:space="preserve">Pre-Resign</x:t>
        </x:is>
      </x:c>
      <x:c r="L215" s="44" t="inlineStr">
        <x:is>
          <x:t xml:space="preserve">Not started</x:t>
        </x:is>
      </x:c>
      <x:c r="M215" s="18" t="inlineStr">
        <x:is>
          <x:t xml:space="preserve">Mark files + docs explicitly</x:t>
        </x:is>
      </x:c>
    </x:row>
    <x:row r="216">
      <x:c r="A216" s="18" t="inlineStr">
        <x:is>
          <x:t xml:space="preserve">T075</x:t>
        </x:is>
      </x:c>
      <x:c r="B216" s="18" t="inlineStr">
        <x:is>
          <x:t xml:space="preserve">IP &amp; Trademark</x:t>
        </x:is>
      </x:c>
      <x:c r="C216" s="18" t="inlineStr">
        <x:is>
          <x:t xml:space="preserve">Contractor/employee NDA + IP assignment template</x:t>
        </x:is>
      </x:c>
      <x:c r="D216" s="18" t="inlineStr">
        <x:is>
          <x:t xml:space="preserve">Anyone who touches code, prompts, or corpus signs BEFORE access. No exceptions.</x:t>
        </x:is>
      </x:c>
      <x:c r="E216" s="31" t="inlineStr">
        <x:is>
          <x:t xml:space="preserve">P0</x:t>
        </x:is>
      </x:c>
      <x:c r="F216" s="41" t="inlineStr">
        <x:is>
          <x:t xml:space="preserve">4. CLAUDE + PRO</x:t>
        </x:is>
      </x:c>
      <x:c r="G216" s="18" t="inlineStr">
        <x:is>
          <x:t xml:space="preserve">Anand</x:t>
        </x:is>
      </x:c>
      <x:c r="H216" s="18" t="inlineStr">
        <x:is>
          <x:t xml:space="preserve">T006</x:t>
        </x:is>
      </x:c>
      <x:c r="I216" s="50" t="inlineStr">
        <x:is>
          <x:t xml:space="preserve">Claude + lawyer</x:t>
        </x:is>
      </x:c>
      <x:c r="J216" s="51" t="inlineStr">
        <x:is>
          <x:t xml:space="preserve">$500-1k (lawyer template)</x:t>
        </x:is>
      </x:c>
      <x:c r="K216" s="82" t="inlineStr">
        <x:is>
          <x:t xml:space="preserve">Pre-Resign</x:t>
        </x:is>
      </x:c>
      <x:c r="L216" s="44" t="inlineStr">
        <x:is>
          <x:t xml:space="preserve">Not started</x:t>
        </x:is>
      </x:c>
      <x:c r="M216" s="18" t="inlineStr">
        <x:is>
          <x:t xml:space="preserve">Use lawyer's standard; one-time setup</x:t>
        </x:is>
      </x:c>
    </x:row>
    <x:row r="217">
      <x:c r="A217" s="18" t="inlineStr">
        <x:is>
          <x:t xml:space="preserve">T137</x:t>
        </x:is>
      </x:c>
      <x:c r="B217" s="18" t="inlineStr">
        <x:is>
          <x:t xml:space="preserve">Internal Rehearsal</x:t>
        </x:is>
      </x:c>
      <x:c r="C217" s="18" t="inlineStr">
        <x:is>
          <x:t xml:space="preserve">Create 'FakeClient Inc.' Azure subscription (AbarVa-owned, isolated)</x:t>
        </x:is>
      </x:c>
      <x:c r="D217" s="18" t="inlineStr">
        <x:is>
          <x:t xml:space="preserve">Second Azure sub specifically to simulate a real client tenant end-to-end. Covered by Founders Hub credits.</x:t>
        </x:is>
      </x:c>
      <x:c r="E217" s="31" t="inlineStr">
        <x:is>
          <x:t xml:space="preserve">P0</x:t>
        </x:is>
      </x:c>
      <x:c r="F217" s="38" t="inlineStr">
        <x:is>
          <x:t xml:space="preserve">1. QUICK WIN</x:t>
        </x:is>
      </x:c>
      <x:c r="G217" s="18" t="inlineStr">
        <x:is>
          <x:t xml:space="preserve">Anand</x:t>
        </x:is>
      </x:c>
      <x:c r="H217" s="18" t="inlineStr">
        <x:is>
          <x:t xml:space="preserve">T124</x:t>
        </x:is>
      </x:c>
      <x:c r="I217" s="43" t="inlineStr">
        <x:is>
          <x:t xml:space="preserve">Self-serve (Azure portal)</x:t>
        </x:is>
      </x:c>
      <x:c r="J217" s="52" t="inlineStr">
        <x:is>
          <x:t xml:space="preserve">$0 (credits)</x:t>
        </x:is>
      </x:c>
      <x:c r="K217" s="84" t="inlineStr">
        <x:is>
          <x:t xml:space="preserve">Anytime</x:t>
        </x:is>
      </x:c>
      <x:c r="L217" s="44" t="inlineStr">
        <x:is>
          <x:t xml:space="preserve">Not started</x:t>
        </x:is>
      </x:c>
      <x:c r="M217" s="18" t="inlineStr">
        <x:is>
          <x:t xml:space="preserve"/>
        </x:is>
      </x:c>
    </x:row>
    <x:row r="218">
      <x:c r="A218" s="18" t="inlineStr">
        <x:is>
          <x:t xml:space="preserve">T138</x:t>
        </x:is>
      </x:c>
      <x:c r="B218" s="18" t="inlineStr">
        <x:is>
          <x:t xml:space="preserve">Internal Rehearsal</x:t>
        </x:is>
      </x:c>
      <x:c r="C218" s="18" t="inlineStr">
        <x:is>
          <x:t xml:space="preserve">Set up Microsoft Entra ID dev tenant for FakeClient (free)</x:t>
        </x:is>
      </x:c>
      <x:c r="D218" s="18" t="inlineStr">
        <x:is>
          <x:t xml:space="preserve">Free tier Entra tenant. Acts as client IdP for SSO testing. 10 synthetic users + group structure.</x:t>
        </x:is>
      </x:c>
      <x:c r="E218" s="31" t="inlineStr">
        <x:is>
          <x:t xml:space="preserve">P0</x:t>
        </x:is>
      </x:c>
      <x:c r="F218" s="38" t="inlineStr">
        <x:is>
          <x:t xml:space="preserve">1. QUICK WIN</x:t>
        </x:is>
      </x:c>
      <x:c r="G218" s="18" t="inlineStr">
        <x:is>
          <x:t xml:space="preserve">Anand</x:t>
        </x:is>
      </x:c>
      <x:c r="H218" s="18" t="inlineStr">
        <x:is>
          <x:t xml:space="preserve"/>
        </x:is>
      </x:c>
      <x:c r="I218" s="43" t="inlineStr">
        <x:is>
          <x:t xml:space="preserve">Self-serve (Entra portal)</x:t>
        </x:is>
      </x:c>
      <x:c r="J218" s="52" t="inlineStr">
        <x:is>
          <x:t xml:space="preserve">$0 (Entra free tier)</x:t>
        </x:is>
      </x:c>
      <x:c r="K218" s="84" t="inlineStr">
        <x:is>
          <x:t xml:space="preserve">Anytime</x:t>
        </x:is>
      </x:c>
      <x:c r="L218" s="44" t="inlineStr">
        <x:is>
          <x:t xml:space="preserve">Not started</x:t>
        </x:is>
      </x:c>
      <x:c r="M218" s="18" t="inlineStr">
        <x:is>
          <x:t xml:space="preserve"/>
        </x:is>
      </x:c>
    </x:row>
    <x:row r="219">
      <x:c r="A219" s="18" t="inlineStr">
        <x:is>
          <x:t xml:space="preserve">T140</x:t>
        </x:is>
      </x:c>
      <x:c r="B219" s="18" t="inlineStr">
        <x:is>
          <x:t xml:space="preserve">Internal Rehearsal</x:t>
        </x:is>
      </x:c>
      <x:c r="C219" s="18" t="inlineStr">
        <x:is>
          <x:t xml:space="preserve">Configure SAML/SCIM: FakeClient Entra → Clerk → AbarVa app</x:t>
        </x:is>
      </x:c>
      <x:c r="D219" s="18" t="inlineStr">
        <x:is>
          <x:t xml:space="preserve">Real SSO config end-to-end. SCIM auto-provisions Entra users into Clerk → AbarVa.</x:t>
        </x:is>
      </x:c>
      <x:c r="E219" s="31" t="inlineStr">
        <x:is>
          <x:t xml:space="preserve">P0</x:t>
        </x:is>
      </x:c>
      <x:c r="F219" s="38" t="inlineStr">
        <x:is>
          <x:t xml:space="preserve">1. QUICK WIN</x:t>
        </x:is>
      </x:c>
      <x:c r="G219" s="18" t="inlineStr">
        <x:is>
          <x:t xml:space="preserve">Anand</x:t>
        </x:is>
      </x:c>
      <x:c r="H219" s="18" t="inlineStr">
        <x:is>
          <x:t xml:space="preserve">T138,T034</x:t>
        </x:is>
      </x:c>
      <x:c r="I219" s="43" t="inlineStr">
        <x:is>
          <x:t xml:space="preserve">Self-serve + Claude (config)</x:t>
        </x:is>
      </x:c>
      <x:c r="J219" s="52" t="inlineStr">
        <x:is>
          <x:t xml:space="preserve">$0 (within Clerk plan)</x:t>
        </x:is>
      </x:c>
      <x:c r="K219" s="84" t="inlineStr">
        <x:is>
          <x:t xml:space="preserve">Anytime</x:t>
        </x:is>
      </x:c>
      <x:c r="L219" s="44" t="inlineStr">
        <x:is>
          <x:t xml:space="preserve">Not started</x:t>
        </x:is>
      </x:c>
      <x:c r="M219" s="18" t="inlineStr">
        <x:is>
          <x:t xml:space="preserve"/>
        </x:is>
      </x:c>
    </x:row>
    <x:row r="220">
      <x:c r="A220" s="18" t="inlineStr">
        <x:is>
          <x:t xml:space="preserve">T139</x:t>
        </x:is>
      </x:c>
      <x:c r="B220" s="18" t="inlineStr">
        <x:is>
          <x:t xml:space="preserve">Internal Rehearsal</x:t>
        </x:is>
      </x:c>
      <x:c r="C220" s="18" t="inlineStr">
        <x:is>
          <x:t xml:space="preserve">Deploy IaC end-to-end onto FakeClient tenant (target &lt;2h)</x:t>
        </x:is>
      </x:c>
      <x:c r="D220" s="18" t="inlineStr">
        <x:is>
          <x:t xml:space="preserve">Run client-tenant IaC templates as-if onboarding real F500. Time every step.</x:t>
        </x:is>
      </x:c>
      <x:c r="E220" s="31" t="inlineStr">
        <x:is>
          <x:t xml:space="preserve">P0</x:t>
        </x:is>
      </x:c>
      <x:c r="F220" s="39" t="inlineStr">
        <x:is>
          <x:t xml:space="preserve">2. CLAUDE DOES IT</x:t>
        </x:is>
      </x:c>
      <x:c r="G220" s="18" t="inlineStr">
        <x:is>
          <x:t xml:space="preserve">Anand</x:t>
        </x:is>
      </x:c>
      <x:c r="H220" s="18" t="inlineStr">
        <x:is>
          <x:t xml:space="preserve">T029,T137</x:t>
        </x:is>
      </x:c>
      <x:c r="I220" s="45" t="inlineStr">
        <x:is>
          <x:t xml:space="preserve">Claude (script orchestration)</x:t>
        </x:is>
      </x:c>
      <x:c r="J220" s="52" t="inlineStr">
        <x:is>
          <x:t xml:space="preserve">$0 (credits cover compute)</x:t>
        </x:is>
      </x:c>
      <x:c r="K220" s="84" t="inlineStr">
        <x:is>
          <x:t xml:space="preserve">Anytime</x:t>
        </x:is>
      </x:c>
      <x:c r="L220" s="44" t="inlineStr">
        <x:is>
          <x:t xml:space="preserve">Not started</x:t>
        </x:is>
      </x:c>
      <x:c r="M220" s="18" t="inlineStr">
        <x:is>
          <x:t xml:space="preserve"/>
        </x:is>
      </x:c>
    </x:row>
    <x:row r="221">
      <x:c r="A221" s="18" t="inlineStr">
        <x:is>
          <x:t xml:space="preserve">T141</x:t>
        </x:is>
      </x:c>
      <x:c r="B221" s="18" t="inlineStr">
        <x:is>
          <x:t xml:space="preserve">Internal Rehearsal</x:t>
        </x:is>
      </x:c>
      <x:c r="C221" s="18" t="inlineStr">
        <x:is>
          <x:t xml:space="preserve">Load synthetic corpus into FakeClient data plane via SAS upload</x:t>
        </x:is>
      </x:c>
      <x:c r="D221" s="18" t="inlineStr">
        <x:is>
          <x:t xml:space="preserve">Use existing Apex/Meridian fixtures. Run actual upload pattern (browser → blob via SAS).</x:t>
        </x:is>
      </x:c>
      <x:c r="E221" s="31" t="inlineStr">
        <x:is>
          <x:t xml:space="preserve">P0</x:t>
        </x:is>
      </x:c>
      <x:c r="F221" s="39" t="inlineStr">
        <x:is>
          <x:t xml:space="preserve">2. CLAUDE DOES IT</x:t>
        </x:is>
      </x:c>
      <x:c r="G221" s="18" t="inlineStr">
        <x:is>
          <x:t xml:space="preserve">Anand</x:t>
        </x:is>
      </x:c>
      <x:c r="H221" s="18" t="inlineStr">
        <x:is>
          <x:t xml:space="preserve">T137</x:t>
        </x:is>
      </x:c>
      <x:c r="I221" s="45" t="inlineStr">
        <x:is>
          <x:t xml:space="preserve">Claude (code+docs)</x:t>
        </x:is>
      </x:c>
      <x:c r="J221" s="52" t="inlineStr">
        <x:is>
          <x:t xml:space="preserve">$0 (covered by credits)</x:t>
        </x:is>
      </x:c>
      <x:c r="K221" s="84" t="inlineStr">
        <x:is>
          <x:t xml:space="preserve">Anytime</x:t>
        </x:is>
      </x:c>
      <x:c r="L221" s="44" t="inlineStr">
        <x:is>
          <x:t xml:space="preserve">Not started</x:t>
        </x:is>
      </x:c>
      <x:c r="M221" s="18" t="inlineStr">
        <x:is>
          <x:t xml:space="preserve"/>
        </x:is>
      </x:c>
    </x:row>
    <x:row r="222">
      <x:c r="A222" s="18" t="inlineStr">
        <x:is>
          <x:t xml:space="preserve">T143</x:t>
        </x:is>
      </x:c>
      <x:c r="B222" s="18" t="inlineStr">
        <x:is>
          <x:t xml:space="preserve">Internal Rehearsal</x:t>
        </x:is>
      </x:c>
      <x:c r="C222" s="18" t="inlineStr">
        <x:is>
          <x:t xml:space="preserve">Time every onboarding step → publish as commitments in real SOW</x:t>
        </x:is>
      </x:c>
      <x:c r="D222" s="18" t="inlineStr">
        <x:is>
          <x:t xml:space="preserve">Day-1, day-7, day-30 timeline based on observed reality, not estimate.</x:t>
        </x:is>
      </x:c>
      <x:c r="E222" s="31" t="inlineStr">
        <x:is>
          <x:t xml:space="preserve">P0</x:t>
        </x:is>
      </x:c>
      <x:c r="F222" s="39" t="inlineStr">
        <x:is>
          <x:t xml:space="preserve">2. CLAUDE DOES IT</x:t>
        </x:is>
      </x:c>
      <x:c r="G222" s="18" t="inlineStr">
        <x:is>
          <x:t xml:space="preserve">Anand</x:t>
        </x:is>
      </x:c>
      <x:c r="H222" s="18" t="inlineStr">
        <x:is>
          <x:t xml:space="preserve">T142</x:t>
        </x:is>
      </x:c>
      <x:c r="I222" s="45" t="inlineStr">
        <x:is>
          <x:t xml:space="preserve">Claude (docs from timing data)</x:t>
        </x:is>
      </x:c>
      <x:c r="J222" s="52" t="inlineStr">
        <x:is>
          <x:t xml:space="preserve">$0</x:t>
        </x:is>
      </x:c>
      <x:c r="K222" s="84" t="inlineStr">
        <x:is>
          <x:t xml:space="preserve">Anytime</x:t>
        </x:is>
      </x:c>
      <x:c r="L222" s="44" t="inlineStr">
        <x:is>
          <x:t xml:space="preserve">Not started</x:t>
        </x:is>
      </x:c>
      <x:c r="M222" s="18" t="inlineStr">
        <x:is>
          <x:t xml:space="preserve"/>
        </x:is>
      </x:c>
    </x:row>
    <x:row r="223">
      <x:c r="A223" s="18" t="inlineStr">
        <x:is>
          <x:t xml:space="preserve">T164</x:t>
        </x:is>
      </x:c>
      <x:c r="B223" s="18" t="inlineStr">
        <x:is>
          <x:t xml:space="preserve">Internal Rehearsal</x:t>
        </x:is>
      </x:c>
      <x:c r="C223" s="18" t="inlineStr">
        <x:is>
          <x:t xml:space="preserve">Real-world tenant test: run FakeClient at production-equivalent scale for 1 week</x:t>
        </x:is>
      </x:c>
      <x:c r="D223" s="18" t="inlineStr">
        <x:is>
          <x:t xml:space="preserve">Not just deploy + smoke test. Run continuously with synthetic traffic for 7 days. Detect: cost drift, memory leaks, log volume, alert noise, cron reliability.</x:t>
        </x:is>
      </x:c>
      <x:c r="E223" s="31" t="inlineStr">
        <x:is>
          <x:t xml:space="preserve">P0</x:t>
        </x:is>
      </x:c>
      <x:c r="F223" s="39" t="inlineStr">
        <x:is>
          <x:t xml:space="preserve">2. CLAUDE DOES IT</x:t>
        </x:is>
      </x:c>
      <x:c r="G223" s="18" t="inlineStr">
        <x:is>
          <x:t xml:space="preserve">Anand</x:t>
        </x:is>
      </x:c>
      <x:c r="H223" s="18" t="inlineStr">
        <x:is>
          <x:t xml:space="preserve">T142</x:t>
        </x:is>
      </x:c>
      <x:c r="I223" s="45" t="inlineStr">
        <x:is>
          <x:t xml:space="preserve">Claude (orchestrate) + you</x:t>
        </x:is>
      </x:c>
      <x:c r="J223" s="52" t="inlineStr">
        <x:is>
          <x:t xml:space="preserve">$0 (credits)</x:t>
        </x:is>
      </x:c>
      <x:c r="K223" s="84" t="inlineStr">
        <x:is>
          <x:t xml:space="preserve">Anytime</x:t>
        </x:is>
      </x:c>
      <x:c r="L223" s="44" t="inlineStr">
        <x:is>
          <x:t xml:space="preserve">Not started</x:t>
        </x:is>
      </x:c>
      <x:c r="M223" s="18" t="inlineStr">
        <x:is>
          <x:t xml:space="preserve"/>
        </x:is>
      </x:c>
    </x:row>
    <x:row r="224">
      <x:c r="A224" s="18" t="inlineStr">
        <x:is>
          <x:t xml:space="preserve">T165</x:t>
        </x:is>
      </x:c>
      <x:c r="B224" s="18" t="inlineStr">
        <x:is>
          <x:t xml:space="preserve">Internal Rehearsal</x:t>
        </x:is>
      </x:c>
      <x:c r="C224" s="18" t="inlineStr">
        <x:is>
          <x:t xml:space="preserve">Capture every error/warning emitted during 1-week tenant run</x:t>
        </x:is>
      </x:c>
      <x:c r="D224" s="18" t="inlineStr">
        <x:is>
          <x:t xml:space="preserve">Build dashboard of all logs/exceptions/timeouts. Triage each. Fix or document as known-acceptable.</x:t>
        </x:is>
      </x:c>
      <x:c r="E224" s="31" t="inlineStr">
        <x:is>
          <x:t xml:space="preserve">P0</x:t>
        </x:is>
      </x:c>
      <x:c r="F224" s="39" t="inlineStr">
        <x:is>
          <x:t xml:space="preserve">2. CLAUDE DOES IT</x:t>
        </x:is>
      </x:c>
      <x:c r="G224" s="18" t="inlineStr">
        <x:is>
          <x:t xml:space="preserve">Anand</x:t>
        </x:is>
      </x:c>
      <x:c r="H224" s="18" t="inlineStr">
        <x:is>
          <x:t xml:space="preserve"/>
        </x:is>
      </x:c>
      <x:c r="I224" s="45" t="inlineStr">
        <x:is>
          <x:t xml:space="preserve">Claude (analysis)</x:t>
        </x:is>
      </x:c>
      <x:c r="J224" s="52" t="inlineStr">
        <x:is>
          <x:t xml:space="preserve">$0</x:t>
        </x:is>
      </x:c>
      <x:c r="K224" s="84" t="inlineStr">
        <x:is>
          <x:t xml:space="preserve">Anytime</x:t>
        </x:is>
      </x:c>
      <x:c r="L224" s="44" t="inlineStr">
        <x:is>
          <x:t xml:space="preserve">Not started</x:t>
        </x:is>
      </x:c>
      <x:c r="M224" s="18" t="inlineStr">
        <x:is>
          <x:t xml:space="preserve"/>
        </x:is>
      </x:c>
    </x:row>
    <x:row r="225">
      <x:c r="A225" s="18" t="inlineStr">
        <x:is>
          <x:t xml:space="preserve">T167</x:t>
        </x:is>
      </x:c>
      <x:c r="B225" s="18" t="inlineStr">
        <x:is>
          <x:t xml:space="preserve">Internal Rehearsal</x:t>
        </x:is>
      </x:c>
      <x:c r="C225" s="18" t="inlineStr">
        <x:is>
          <x:t xml:space="preserve">Multi-tenant simulation: stand up 3 FakeClient tenants concurrently</x:t>
        </x:is>
      </x:c>
      <x:c r="D225" s="18" t="inlineStr">
        <x:is>
          <x:t xml:space="preserve">Validates cross-tenant isolation under load. Detect ANY data bleed via deliberate cross-tenant queries.</x:t>
        </x:is>
      </x:c>
      <x:c r="E225" s="31" t="inlineStr">
        <x:is>
          <x:t xml:space="preserve">P0</x:t>
        </x:is>
      </x:c>
      <x:c r="F225" s="39" t="inlineStr">
        <x:is>
          <x:t xml:space="preserve">2. CLAUDE DOES IT</x:t>
        </x:is>
      </x:c>
      <x:c r="G225" s="18" t="inlineStr">
        <x:is>
          <x:t xml:space="preserve">Anand</x:t>
        </x:is>
      </x:c>
      <x:c r="H225" s="18" t="inlineStr">
        <x:is>
          <x:t xml:space="preserve">T142</x:t>
        </x:is>
      </x:c>
      <x:c r="I225" s="45" t="inlineStr">
        <x:is>
          <x:t xml:space="preserve">Claude (orchestrate) + you</x:t>
        </x:is>
      </x:c>
      <x:c r="J225" s="52" t="inlineStr">
        <x:is>
          <x:t xml:space="preserve">$0 (credits)</x:t>
        </x:is>
      </x:c>
      <x:c r="K225" s="84" t="inlineStr">
        <x:is>
          <x:t xml:space="preserve">Anytime</x:t>
        </x:is>
      </x:c>
      <x:c r="L225" s="44" t="inlineStr">
        <x:is>
          <x:t xml:space="preserve">Not started</x:t>
        </x:is>
      </x:c>
      <x:c r="M225" s="18" t="inlineStr">
        <x:is>
          <x:t xml:space="preserve"/>
        </x:is>
      </x:c>
    </x:row>
    <x:row r="226">
      <x:c r="A226" s="18" t="inlineStr">
        <x:is>
          <x:t xml:space="preserve">T145</x:t>
        </x:is>
      </x:c>
      <x:c r="B226" s="18" t="inlineStr">
        <x:is>
          <x:t xml:space="preserve">Internal Rehearsal</x:t>
        </x:is>
      </x:c>
      <x:c r="C226" s="18" t="inlineStr">
        <x:is>
          <x:t xml:space="preserve">Iterate to &lt;1-hour standup time (vs 2h baseline)</x:t>
        </x:is>
      </x:c>
      <x:c r="D226" s="18" t="inlineStr">
        <x:is>
          <x:t xml:space="preserve">Tighten IaC, scripting, runbook until a fresh tenant comes online in &lt;1h.</x:t>
        </x:is>
      </x:c>
      <x:c r="E226" s="32" t="inlineStr">
        <x:is>
          <x:t xml:space="preserve">P1</x:t>
        </x:is>
      </x:c>
      <x:c r="F226" s="39" t="inlineStr">
        <x:is>
          <x:t xml:space="preserve">2. CLAUDE DOES IT</x:t>
        </x:is>
      </x:c>
      <x:c r="G226" s="18" t="inlineStr">
        <x:is>
          <x:t xml:space="preserve">Anand</x:t>
        </x:is>
      </x:c>
      <x:c r="H226" s="18" t="inlineStr">
        <x:is>
          <x:t xml:space="preserve">T144</x:t>
        </x:is>
      </x:c>
      <x:c r="I226" s="45" t="inlineStr">
        <x:is>
          <x:t xml:space="preserve">Claude (code) + you</x:t>
        </x:is>
      </x:c>
      <x:c r="J226" s="52" t="inlineStr">
        <x:is>
          <x:t xml:space="preserve">$0 (credits)</x:t>
        </x:is>
      </x:c>
      <x:c r="K226" s="84" t="inlineStr">
        <x:is>
          <x:t xml:space="preserve">Anytime</x:t>
        </x:is>
      </x:c>
      <x:c r="L226" s="44" t="inlineStr">
        <x:is>
          <x:t xml:space="preserve">Not started</x:t>
        </x:is>
      </x:c>
      <x:c r="M226" s="18" t="inlineStr">
        <x:is>
          <x:t xml:space="preserve"/>
        </x:is>
      </x:c>
    </x:row>
    <x:row r="227">
      <x:c r="A227" s="18" t="inlineStr">
        <x:is>
          <x:t xml:space="preserve">T147</x:t>
        </x:is>
      </x:c>
      <x:c r="B227" s="18" t="inlineStr">
        <x:is>
          <x:t xml:space="preserve">Internal Rehearsal</x:t>
        </x:is>
      </x:c>
      <x:c r="C227" s="18" t="inlineStr">
        <x:is>
          <x:t xml:space="preserve">Run DR/rollback drill on FakeClient tenant</x:t>
        </x:is>
      </x:c>
      <x:c r="D227" s="18" t="inlineStr">
        <x:is>
          <x:t xml:space="preserve">Simulate Azure region outage, DB corruption, app deployment rollback. Document MTTR.</x:t>
        </x:is>
      </x:c>
      <x:c r="E227" s="32" t="inlineStr">
        <x:is>
          <x:t xml:space="preserve">P1</x:t>
        </x:is>
      </x:c>
      <x:c r="F227" s="39" t="inlineStr">
        <x:is>
          <x:t xml:space="preserve">2. CLAUDE DOES IT</x:t>
        </x:is>
      </x:c>
      <x:c r="G227" s="18" t="inlineStr">
        <x:is>
          <x:t xml:space="preserve">Anand</x:t>
        </x:is>
      </x:c>
      <x:c r="H227" s="18" t="inlineStr">
        <x:is>
          <x:t xml:space="preserve">T142</x:t>
        </x:is>
      </x:c>
      <x:c r="I227" s="45" t="inlineStr">
        <x:is>
          <x:t xml:space="preserve">Claude (runbook) + you</x:t>
        </x:is>
      </x:c>
      <x:c r="J227" s="52" t="inlineStr">
        <x:is>
          <x:t xml:space="preserve">$0</x:t>
        </x:is>
      </x:c>
      <x:c r="K227" s="84" t="inlineStr">
        <x:is>
          <x:t xml:space="preserve">Anytime</x:t>
        </x:is>
      </x:c>
      <x:c r="L227" s="44" t="inlineStr">
        <x:is>
          <x:t xml:space="preserve">Not started</x:t>
        </x:is>
      </x:c>
      <x:c r="M227" s="18" t="inlineStr">
        <x:is>
          <x:t xml:space="preserve"/>
        </x:is>
      </x:c>
    </x:row>
    <x:row r="228">
      <x:c r="A228" s="18" t="inlineStr">
        <x:is>
          <x:t xml:space="preserve">T166</x:t>
        </x:is>
      </x:c>
      <x:c r="B228" s="18" t="inlineStr">
        <x:is>
          <x:t xml:space="preserve">Internal Rehearsal</x:t>
        </x:is>
      </x:c>
      <x:c r="C228" s="18" t="inlineStr">
        <x:is>
          <x:t xml:space="preserve">Re-run real-world test after every major release as regression check</x:t>
        </x:is>
      </x:c>
      <x:c r="D228" s="18" t="inlineStr">
        <x:is>
          <x:t xml:space="preserve">Same tenant, same workload, same week duration. Compare deltas across releases.</x:t>
        </x:is>
      </x:c>
      <x:c r="E228" s="32" t="inlineStr">
        <x:is>
          <x:t xml:space="preserve">P1</x:t>
        </x:is>
      </x:c>
      <x:c r="F228" s="39" t="inlineStr">
        <x:is>
          <x:t xml:space="preserve">2. CLAUDE DOES IT</x:t>
        </x:is>
      </x:c>
      <x:c r="G228" s="18" t="inlineStr">
        <x:is>
          <x:t xml:space="preserve">Anand</x:t>
        </x:is>
      </x:c>
      <x:c r="H228" s="18" t="inlineStr">
        <x:is>
          <x:t xml:space="preserve"/>
        </x:is>
      </x:c>
      <x:c r="I228" s="45" t="inlineStr">
        <x:is>
          <x:t xml:space="preserve">Claude (workflow)</x:t>
        </x:is>
      </x:c>
      <x:c r="J228" s="52" t="inlineStr">
        <x:is>
          <x:t xml:space="preserve">$0</x:t>
        </x:is>
      </x:c>
      <x:c r="K228" s="84" t="inlineStr">
        <x:is>
          <x:t xml:space="preserve">Anytime</x:t>
        </x:is>
      </x:c>
      <x:c r="L228" s="44" t="inlineStr">
        <x:is>
          <x:t xml:space="preserve">Not started</x:t>
        </x:is>
      </x:c>
      <x:c r="M228" s="18" t="inlineStr">
        <x:is>
          <x:t xml:space="preserve"/>
        </x:is>
      </x:c>
    </x:row>
    <x:row r="229">
      <x:c r="A229" s="18" t="inlineStr">
        <x:is>
          <x:t xml:space="preserve">T148</x:t>
        </x:is>
      </x:c>
      <x:c r="B229" s="18" t="inlineStr">
        <x:is>
          <x:t xml:space="preserve">Internal Rehearsal</x:t>
        </x:is>
      </x:c>
      <x:c r="C229" s="18" t="inlineStr">
        <x:is>
          <x:t xml:space="preserve">FakeClient becomes the standard 'new engineer' onboarding exercise</x:t>
        </x:is>
      </x:c>
      <x:c r="D229" s="18" t="inlineStr">
        <x:is>
          <x:t xml:space="preserve">Anyone joining AbarVa runs through full FakeClient setup. Living certification.</x:t>
        </x:is>
      </x:c>
      <x:c r="E229" s="49" t="inlineStr">
        <x:is>
          <x:t xml:space="preserve">P2</x:t>
        </x:is>
      </x:c>
      <x:c r="F229" s="39" t="inlineStr">
        <x:is>
          <x:t xml:space="preserve">2. CLAUDE DOES IT</x:t>
        </x:is>
      </x:c>
      <x:c r="G229" s="18" t="inlineStr">
        <x:is>
          <x:t xml:space="preserve">Anand</x:t>
        </x:is>
      </x:c>
      <x:c r="H229" s="18" t="inlineStr">
        <x:is>
          <x:t xml:space="preserve">T144</x:t>
        </x:is>
      </x:c>
      <x:c r="I229" s="45" t="inlineStr">
        <x:is>
          <x:t xml:space="preserve">Claude (runbook)</x:t>
        </x:is>
      </x:c>
      <x:c r="J229" s="52" t="inlineStr">
        <x:is>
          <x:t xml:space="preserve">$0</x:t>
        </x:is>
      </x:c>
      <x:c r="K229" s="84" t="inlineStr">
        <x:is>
          <x:t xml:space="preserve">Anytime</x:t>
        </x:is>
      </x:c>
      <x:c r="L229" s="44" t="inlineStr">
        <x:is>
          <x:t xml:space="preserve">Not started</x:t>
        </x:is>
      </x:c>
      <x:c r="M229" s="18" t="inlineStr">
        <x:is>
          <x:t xml:space="preserve"/>
        </x:is>
      </x:c>
    </x:row>
    <x:row r="230">
      <x:c r="A230" s="18" t="inlineStr">
        <x:is>
          <x:t xml:space="preserve">T144</x:t>
        </x:is>
      </x:c>
      <x:c r="B230" s="18" t="inlineStr">
        <x:is>
          <x:t xml:space="preserve">Internal Rehearsal</x:t>
        </x:is>
      </x:c>
      <x:c r="C230" s="18" t="inlineStr">
        <x:is>
          <x:t xml:space="preserve">Document gaps + create fix tickets</x:t>
        </x:is>
      </x:c>
      <x:c r="D230" s="18" t="inlineStr">
        <x:is>
          <x:t xml:space="preserve">Every 'wait, this is awkward' moment becomes a backlog item BEFORE real client sees it.</x:t>
        </x:is>
      </x:c>
      <x:c r="E230" s="31" t="inlineStr">
        <x:is>
          <x:t xml:space="preserve">P0</x:t>
        </x:is>
      </x:c>
      <x:c r="F230" s="40" t="inlineStr">
        <x:is>
          <x:t xml:space="preserve">3. CLAUDE + YOU</x:t>
        </x:is>
      </x:c>
      <x:c r="G230" s="18" t="inlineStr">
        <x:is>
          <x:t xml:space="preserve">Anand</x:t>
        </x:is>
      </x:c>
      <x:c r="H230" s="18" t="inlineStr">
        <x:is>
          <x:t xml:space="preserve">T142</x:t>
        </x:is>
      </x:c>
      <x:c r="I230" s="47" t="inlineStr">
        <x:is>
          <x:t xml:space="preserve">Claude + you</x:t>
        </x:is>
      </x:c>
      <x:c r="J230" s="52" t="inlineStr">
        <x:is>
          <x:t xml:space="preserve">$0</x:t>
        </x:is>
      </x:c>
      <x:c r="K230" s="84" t="inlineStr">
        <x:is>
          <x:t xml:space="preserve">Anytime</x:t>
        </x:is>
      </x:c>
      <x:c r="L230" s="44" t="inlineStr">
        <x:is>
          <x:t xml:space="preserve">Not started</x:t>
        </x:is>
      </x:c>
      <x:c r="M230" s="18" t="inlineStr">
        <x:is>
          <x:t xml:space="preserve"/>
        </x:is>
      </x:c>
    </x:row>
    <x:row r="231">
      <x:c r="A231" s="18" t="inlineStr">
        <x:is>
          <x:t xml:space="preserve">T142</x:t>
        </x:is>
      </x:c>
      <x:c r="B231" s="18" t="inlineStr">
        <x:is>
          <x:t xml:space="preserve">Internal Rehearsal</x:t>
        </x:is>
      </x:c>
      <x:c r="C231" s="18" t="inlineStr">
        <x:is>
          <x:t xml:space="preserve">Run end-to-end user journey on FakeClient: login → chat → upload → Move → audit</x:t>
        </x:is>
      </x:c>
      <x:c r="D231" s="18" t="inlineStr">
        <x:is>
          <x:t xml:space="preserve">Walk through full workflow as a 'client user'. Find every dead end, every confusing UX, every gap.</x:t>
        </x:is>
      </x:c>
      <x:c r="E231" s="31" t="inlineStr">
        <x:is>
          <x:t xml:space="preserve">P0</x:t>
        </x:is>
      </x:c>
      <x:c r="F231" s="42" t="inlineStr">
        <x:is>
          <x:t xml:space="preserve">5. EXTERNAL</x:t>
        </x:is>
      </x:c>
      <x:c r="G231" s="18" t="inlineStr">
        <x:is>
          <x:t xml:space="preserve">Anand</x:t>
        </x:is>
      </x:c>
      <x:c r="H231" s="18" t="inlineStr">
        <x:is>
          <x:t xml:space="preserve">T141,T140</x:t>
        </x:is>
      </x:c>
      <x:c r="I231" s="48" t="inlineStr">
        <x:is>
          <x:t xml:space="preserve">You only (walk through)</x:t>
        </x:is>
      </x:c>
      <x:c r="J231" s="52" t="inlineStr">
        <x:is>
          <x:t xml:space="preserve">$0</x:t>
        </x:is>
      </x:c>
      <x:c r="K231" s="84" t="inlineStr">
        <x:is>
          <x:t xml:space="preserve">Anytime</x:t>
        </x:is>
      </x:c>
      <x:c r="L231" s="44" t="inlineStr">
        <x:is>
          <x:t xml:space="preserve">Not started</x:t>
        </x:is>
      </x:c>
      <x:c r="M231" s="18" t="inlineStr">
        <x:is>
          <x:t xml:space="preserve"/>
        </x:is>
      </x:c>
    </x:row>
    <x:row r="232">
      <x:c r="A232" s="18" t="inlineStr">
        <x:is>
          <x:t xml:space="preserve">T146</x:t>
        </x:is>
      </x:c>
      <x:c r="B232" s="18" t="inlineStr">
        <x:is>
          <x:t xml:space="preserve">Internal Rehearsal</x:t>
        </x:is>
      </x:c>
      <x:c r="C232" s="18" t="inlineStr">
        <x:is>
          <x:t xml:space="preserve">Point external pen test at FakeClient tenant (not pilot client)</x:t>
        </x:is>
      </x:c>
      <x:c r="D232" s="18" t="inlineStr">
        <x:is>
          <x:t xml:space="preserve">Lower risk: test the dress rehearsal first. Real client sees a hardened tenant.</x:t>
        </x:is>
      </x:c>
      <x:c r="E232" s="31" t="inlineStr">
        <x:is>
          <x:t xml:space="preserve">P0</x:t>
        </x:is>
      </x:c>
      <x:c r="F232" s="42" t="inlineStr">
        <x:is>
          <x:t xml:space="preserve">5. EXTERNAL</x:t>
        </x:is>
      </x:c>
      <x:c r="G232" s="18" t="inlineStr">
        <x:is>
          <x:t xml:space="preserve">Anand</x:t>
        </x:is>
      </x:c>
      <x:c r="H232" s="18" t="inlineStr">
        <x:is>
          <x:t xml:space="preserve">T142,T031</x:t>
        </x:is>
      </x:c>
      <x:c r="I232" s="48" t="inlineStr">
        <x:is>
          <x:t xml:space="preserve">3rd party: Cobalt/Bishop Fox</x:t>
        </x:is>
      </x:c>
      <x:c r="J232" s="51" t="inlineStr">
        <x:is>
          <x:t xml:space="preserve">$8-15k (per pen test)</x:t>
        </x:is>
      </x:c>
      <x:c r="K232" s="84" t="inlineStr">
        <x:is>
          <x:t xml:space="preserve">Anytime</x:t>
        </x:is>
      </x:c>
      <x:c r="L232" s="44" t="inlineStr">
        <x:is>
          <x:t xml:space="preserve">Not started</x:t>
        </x:is>
      </x:c>
      <x:c r="M232" s="18" t="inlineStr">
        <x:is>
          <x:t xml:space="preserve"/>
        </x:is>
      </x:c>
    </x:row>
    <x:row r="233">
      <x:c r="A233" s="18" t="inlineStr">
        <x:is>
          <x:t xml:space="preserve">T108</x:t>
        </x:is>
      </x:c>
      <x:c r="B233" s="18" t="inlineStr">
        <x:is>
          <x:t xml:space="preserve">Operational Readiness</x:t>
        </x:is>
      </x:c>
      <x:c r="C233" s="18" t="inlineStr">
        <x:is>
          <x:t xml:space="preserve">Internal wiki / knowledge base (Notion or in-repo docs)</x:t>
        </x:is>
      </x:c>
      <x:c r="D233" s="18" t="inlineStr">
        <x:is>
          <x:t xml:space="preserve">Single home for: runbooks, ADRs, customer notes, decisions. NOT scattered Google Docs.</x:t>
        </x:is>
      </x:c>
      <x:c r="E233" s="32" t="inlineStr">
        <x:is>
          <x:t xml:space="preserve">P1</x:t>
        </x:is>
      </x:c>
      <x:c r="F233" s="38" t="inlineStr">
        <x:is>
          <x:t xml:space="preserve">1. QUICK WIN</x:t>
        </x:is>
      </x:c>
      <x:c r="G233" s="18" t="inlineStr">
        <x:is>
          <x:t xml:space="preserve">Anand</x:t>
        </x:is>
      </x:c>
      <x:c r="H233" s="18" t="inlineStr">
        <x:is>
          <x:t xml:space="preserve"/>
        </x:is>
      </x:c>
      <x:c r="I233" s="43" t="inlineStr">
        <x:is>
          <x:t xml:space="preserve">Self-serve (Notion/repo)</x:t>
        </x:is>
      </x:c>
      <x:c r="J233" s="52" t="inlineStr">
        <x:is>
          <x:t xml:space="preserve">$0 (in-repo) or $8/user/mo (Notion)</x:t>
        </x:is>
      </x:c>
      <x:c r="K233" s="84" t="inlineStr">
        <x:is>
          <x:t xml:space="preserve">Anytime</x:t>
        </x:is>
      </x:c>
      <x:c r="L233" s="44" t="inlineStr">
        <x:is>
          <x:t xml:space="preserve">Not started</x:t>
        </x:is>
      </x:c>
      <x:c r="M233" s="18" t="inlineStr">
        <x:is>
          <x:t xml:space="preserve">In-repo strongly preferred</x:t>
        </x:is>
      </x:c>
    </x:row>
    <x:row r="234">
      <x:c r="A234" s="18" t="inlineStr">
        <x:is>
          <x:t xml:space="preserve">T110</x:t>
        </x:is>
      </x:c>
      <x:c r="B234" s="18" t="inlineStr">
        <x:is>
          <x:t xml:space="preserve">Operational Readiness</x:t>
        </x:is>
      </x:c>
      <x:c r="C234" s="18" t="inlineStr">
        <x:is>
          <x:t xml:space="preserve">Demo environment with synthetic data</x:t>
        </x:is>
      </x:c>
      <x:c r="D234" s="18" t="inlineStr">
        <x:is>
          <x:t xml:space="preserve">demo.abarva.com — Apex/Meridian/FirstCapital. Auto-reset nightly. For sales/investor demos.</x:t>
        </x:is>
      </x:c>
      <x:c r="E234" s="32" t="inlineStr">
        <x:is>
          <x:t xml:space="preserve">P1</x:t>
        </x:is>
      </x:c>
      <x:c r="F234" s="39" t="inlineStr">
        <x:is>
          <x:t xml:space="preserve">2. CLAUDE DOES IT</x:t>
        </x:is>
      </x:c>
      <x:c r="G234" s="18" t="inlineStr">
        <x:is>
          <x:t xml:space="preserve">Anand</x:t>
        </x:is>
      </x:c>
      <x:c r="H234" s="18" t="inlineStr">
        <x:is>
          <x:t xml:space="preserve"/>
        </x:is>
      </x:c>
      <x:c r="I234" s="45" t="inlineStr">
        <x:is>
          <x:t xml:space="preserve">Claude (code)</x:t>
        </x:is>
      </x:c>
      <x:c r="J234" s="51" t="inlineStr">
        <x:is>
          <x:t xml:space="preserve">$50-100/mo Azure (covered by credits)</x:t>
        </x:is>
      </x:c>
      <x:c r="K234" s="84" t="inlineStr">
        <x:is>
          <x:t xml:space="preserve">Anytime</x:t>
        </x:is>
      </x:c>
      <x:c r="L234" s="44" t="inlineStr">
        <x:is>
          <x:t xml:space="preserve">Not started</x:t>
        </x:is>
      </x:c>
      <x:c r="M234" s="18" t="inlineStr">
        <x:is>
          <x:t xml:space="preserve">Lower-stakes than touching pilot tenant</x:t>
        </x:is>
      </x:c>
    </x:row>
    <x:row r="235">
      <x:c r="A235" s="18" t="inlineStr">
        <x:is>
          <x:t xml:space="preserve">T111</x:t>
        </x:is>
      </x:c>
      <x:c r="B235" s="18" t="inlineStr">
        <x:is>
          <x:t xml:space="preserve">Operational Readiness</x:t>
        </x:is>
      </x:c>
      <x:c r="C235" s="18" t="inlineStr">
        <x:is>
          <x:t xml:space="preserve">Sales engineering toolkit</x:t>
        </x:is>
      </x:c>
      <x:c r="D235" s="18" t="inlineStr">
        <x:is>
          <x:t xml:space="preserve">Reference architecture deck, demo script, ROI calculator, security one-pager.</x:t>
        </x:is>
      </x:c>
      <x:c r="E235" s="32" t="inlineStr">
        <x:is>
          <x:t xml:space="preserve">P1</x:t>
        </x:is>
      </x:c>
      <x:c r="F235" s="39" t="inlineStr">
        <x:is>
          <x:t xml:space="preserve">2. CLAUDE DOES IT</x:t>
        </x:is>
      </x:c>
      <x:c r="G235" s="18" t="inlineStr">
        <x:is>
          <x:t xml:space="preserve">Anand</x:t>
        </x:is>
      </x:c>
      <x:c r="H235" s="18" t="inlineStr">
        <x:is>
          <x:t xml:space="preserve"/>
        </x:is>
      </x:c>
      <x:c r="I235" s="45" t="inlineStr">
        <x:is>
          <x:t xml:space="preserve">Claude (draft)</x:t>
        </x:is>
      </x:c>
      <x:c r="J235" s="52" t="inlineStr">
        <x:is>
          <x:t xml:space="preserve">$0</x:t>
        </x:is>
      </x:c>
      <x:c r="K235" s="84" t="inlineStr">
        <x:is>
          <x:t xml:space="preserve">Anytime</x:t>
        </x:is>
      </x:c>
      <x:c r="L235" s="44" t="inlineStr">
        <x:is>
          <x:t xml:space="preserve">Not started</x:t>
        </x:is>
      </x:c>
      <x:c r="M235" s="18" t="inlineStr">
        <x:is>
          <x:t xml:space="preserve"/>
        </x:is>
      </x:c>
    </x:row>
    <x:row r="236">
      <x:c r="A236" s="18" t="inlineStr">
        <x:is>
          <x:t xml:space="preserve">T112</x:t>
        </x:is>
      </x:c>
      <x:c r="B236" s="18" t="inlineStr">
        <x:is>
          <x:t xml:space="preserve">Operational Readiness</x:t>
        </x:is>
      </x:c>
      <x:c r="C236" s="18" t="inlineStr">
        <x:is>
          <x:t xml:space="preserve">Competitive intelligence doc</x:t>
        </x:is>
      </x:c>
      <x:c r="D236" s="18" t="inlineStr">
        <x:is>
          <x:t xml:space="preserve">Glean, Hebbia, Writer, Anthropic-direct, BCG GenAI, McKinsey QuantumBlack. Quick differentiators.</x:t>
        </x:is>
      </x:c>
      <x:c r="E236" s="32" t="inlineStr">
        <x:is>
          <x:t xml:space="preserve">P1</x:t>
        </x:is>
      </x:c>
      <x:c r="F236" s="39" t="inlineStr">
        <x:is>
          <x:t xml:space="preserve">2. CLAUDE DOES IT</x:t>
        </x:is>
      </x:c>
      <x:c r="G236" s="18" t="inlineStr">
        <x:is>
          <x:t xml:space="preserve">Anand</x:t>
        </x:is>
      </x:c>
      <x:c r="H236" s="18" t="inlineStr">
        <x:is>
          <x:t xml:space="preserve"/>
        </x:is>
      </x:c>
      <x:c r="I236" s="45" t="inlineStr">
        <x:is>
          <x:t xml:space="preserve">Claude (research)</x:t>
        </x:is>
      </x:c>
      <x:c r="J236" s="52" t="inlineStr">
        <x:is>
          <x:t xml:space="preserve">$0</x:t>
        </x:is>
      </x:c>
      <x:c r="K236" s="84" t="inlineStr">
        <x:is>
          <x:t xml:space="preserve">Anytime</x:t>
        </x:is>
      </x:c>
      <x:c r="L236" s="44" t="inlineStr">
        <x:is>
          <x:t xml:space="preserve">Not started</x:t>
        </x:is>
      </x:c>
      <x:c r="M236" s="18" t="inlineStr">
        <x:is>
          <x:t xml:space="preserve">Procurement will ask 'how is this different from X'</x:t>
        </x:is>
      </x:c>
    </x:row>
    <x:row r="237">
      <x:c r="A237" s="18" t="inlineStr">
        <x:is>
          <x:t xml:space="preserve">T115</x:t>
        </x:is>
      </x:c>
      <x:c r="B237" s="18" t="inlineStr">
        <x:is>
          <x:t xml:space="preserve">Operational Readiness</x:t>
        </x:is>
      </x:c>
      <x:c r="C237" s="18" t="inlineStr">
        <x:is>
          <x:t xml:space="preserve">Disaster scenarios documented + drilled</x:t>
        </x:is>
      </x:c>
      <x:c r="D237" s="18" t="inlineStr">
        <x:is>
          <x:t xml:space="preserve">Vercel outage, Anthropic API change/price hike, Azure region down, key-person unavailable &gt;7 days.</x:t>
        </x:is>
      </x:c>
      <x:c r="E237" s="32" t="inlineStr">
        <x:is>
          <x:t xml:space="preserve">P1</x:t>
        </x:is>
      </x:c>
      <x:c r="F237" s="39" t="inlineStr">
        <x:is>
          <x:t xml:space="preserve">2. CLAUDE DOES IT</x:t>
        </x:is>
      </x:c>
      <x:c r="G237" s="18" t="inlineStr">
        <x:is>
          <x:t xml:space="preserve">Anand</x:t>
        </x:is>
      </x:c>
      <x:c r="H237" s="18" t="inlineStr">
        <x:is>
          <x:t xml:space="preserve"/>
        </x:is>
      </x:c>
      <x:c r="I237" s="45" t="inlineStr">
        <x:is>
          <x:t xml:space="preserve">Claude (templates)</x:t>
        </x:is>
      </x:c>
      <x:c r="J237" s="52" t="inlineStr">
        <x:is>
          <x:t xml:space="preserve">$0</x:t>
        </x:is>
      </x:c>
      <x:c r="K237" s="84" t="inlineStr">
        <x:is>
          <x:t xml:space="preserve">Anytime</x:t>
        </x:is>
      </x:c>
      <x:c r="L237" s="44" t="inlineStr">
        <x:is>
          <x:t xml:space="preserve">Not started</x:t>
        </x:is>
      </x:c>
      <x:c r="M237" s="18" t="inlineStr">
        <x:is>
          <x:t xml:space="preserve">Tabletop once before pilot</x:t>
        </x:is>
      </x:c>
    </x:row>
    <x:row r="238">
      <x:c r="A238" s="18" t="inlineStr">
        <x:is>
          <x:t xml:space="preserve">T118</x:t>
        </x:is>
      </x:c>
      <x:c r="B238" s="18" t="inlineStr">
        <x:is>
          <x:t xml:space="preserve">Operational Readiness</x:t>
        </x:is>
      </x:c>
      <x:c r="C238" s="18" t="inlineStr">
        <x:is>
          <x:t xml:space="preserve">AI ethics / Responsible AI policy</x:t>
        </x:is>
      </x:c>
      <x:c r="D238" s="18" t="inlineStr">
        <x:is>
          <x:t xml:space="preserve">Public doc: data use, training, hallucination handling, human-in-loop, escalation. F500 will ask.</x:t>
        </x:is>
      </x:c>
      <x:c r="E238" s="32" t="inlineStr">
        <x:is>
          <x:t xml:space="preserve">P1</x:t>
        </x:is>
      </x:c>
      <x:c r="F238" s="39" t="inlineStr">
        <x:is>
          <x:t xml:space="preserve">2. CLAUDE DOES IT</x:t>
        </x:is>
      </x:c>
      <x:c r="G238" s="18" t="inlineStr">
        <x:is>
          <x:t xml:space="preserve">Anand</x:t>
        </x:is>
      </x:c>
      <x:c r="H238" s="18" t="inlineStr">
        <x:is>
          <x:t xml:space="preserve"/>
        </x:is>
      </x:c>
      <x:c r="I238" s="45" t="inlineStr">
        <x:is>
          <x:t xml:space="preserve">Claude (draft)</x:t>
        </x:is>
      </x:c>
      <x:c r="J238" s="52" t="inlineStr">
        <x:is>
          <x:t xml:space="preserve">$0</x:t>
        </x:is>
      </x:c>
      <x:c r="K238" s="84" t="inlineStr">
        <x:is>
          <x:t xml:space="preserve">Anytime</x:t>
        </x:is>
      </x:c>
      <x:c r="L238" s="44" t="inlineStr">
        <x:is>
          <x:t xml:space="preserve">Not started</x:t>
        </x:is>
      </x:c>
      <x:c r="M238" s="18" t="inlineStr">
        <x:is>
          <x:t xml:space="preserve">Differentiator AND compliance</x:t>
        </x:is>
      </x:c>
    </x:row>
    <x:row r="239">
      <x:c r="A239" s="18" t="inlineStr">
        <x:is>
          <x:t xml:space="preserve">T119</x:t>
        </x:is>
      </x:c>
      <x:c r="B239" s="18" t="inlineStr">
        <x:is>
          <x:t xml:space="preserve">Operational Readiness</x:t>
        </x:is>
      </x:c>
      <x:c r="C239" s="18" t="inlineStr">
        <x:is>
          <x:t xml:space="preserve">DSAR (Data Subject Access Request) process for GDPR</x:t>
        </x:is>
      </x:c>
      <x:c r="D239" s="18" t="inlineStr">
        <x:is>
          <x:t xml:space="preserve">Documented intake, identity verification, fulfillment SLA (typically 30 days). Even if no EU clients yet.</x:t>
        </x:is>
      </x:c>
      <x:c r="E239" s="49" t="inlineStr">
        <x:is>
          <x:t xml:space="preserve">P2</x:t>
        </x:is>
      </x:c>
      <x:c r="F239" s="39" t="inlineStr">
        <x:is>
          <x:t xml:space="preserve">2. CLAUDE DOES IT</x:t>
        </x:is>
      </x:c>
      <x:c r="G239" s="18" t="inlineStr">
        <x:is>
          <x:t xml:space="preserve">Anand</x:t>
        </x:is>
      </x:c>
      <x:c r="H239" s="18" t="inlineStr">
        <x:is>
          <x:t xml:space="preserve"/>
        </x:is>
      </x:c>
      <x:c r="I239" s="45" t="inlineStr">
        <x:is>
          <x:t xml:space="preserve">Claude (template)</x:t>
        </x:is>
      </x:c>
      <x:c r="J239" s="52" t="inlineStr">
        <x:is>
          <x:t xml:space="preserve">$0</x:t>
        </x:is>
      </x:c>
      <x:c r="K239" s="84" t="inlineStr">
        <x:is>
          <x:t xml:space="preserve">Anytime</x:t>
        </x:is>
      </x:c>
      <x:c r="L239" s="44" t="inlineStr">
        <x:is>
          <x:t xml:space="preserve">Not started</x:t>
        </x:is>
      </x:c>
      <x:c r="M239" s="18" t="inlineStr">
        <x:is>
          <x:t xml:space="preserve">Cheap to set up cold</x:t>
        </x:is>
      </x:c>
    </x:row>
    <x:row r="240">
      <x:c r="A240" s="18" t="inlineStr">
        <x:is>
          <x:t xml:space="preserve">T120</x:t>
        </x:is>
      </x:c>
      <x:c r="B240" s="18" t="inlineStr">
        <x:is>
          <x:t xml:space="preserve">Operational Readiness</x:t>
        </x:is>
      </x:c>
      <x:c r="C240" s="18" t="inlineStr">
        <x:is>
          <x:t xml:space="preserve">Records retention policy</x:t>
        </x:is>
      </x:c>
      <x:c r="D240" s="18" t="inlineStr">
        <x:is>
          <x:t xml:space="preserve">How long do you keep: logs, customer data, financial records, employee records, comms.</x:t>
        </x:is>
      </x:c>
      <x:c r="E240" s="49" t="inlineStr">
        <x:is>
          <x:t xml:space="preserve">P2</x:t>
        </x:is>
      </x:c>
      <x:c r="F240" s="39" t="inlineStr">
        <x:is>
          <x:t xml:space="preserve">2. CLAUDE DOES IT</x:t>
        </x:is>
      </x:c>
      <x:c r="G240" s="18" t="inlineStr">
        <x:is>
          <x:t xml:space="preserve">Anand</x:t>
        </x:is>
      </x:c>
      <x:c r="H240" s="18" t="inlineStr">
        <x:is>
          <x:t xml:space="preserve"/>
        </x:is>
      </x:c>
      <x:c r="I240" s="45" t="inlineStr">
        <x:is>
          <x:t xml:space="preserve">Claude (draft)</x:t>
        </x:is>
      </x:c>
      <x:c r="J240" s="52" t="inlineStr">
        <x:is>
          <x:t xml:space="preserve">$0</x:t>
        </x:is>
      </x:c>
      <x:c r="K240" s="84" t="inlineStr">
        <x:is>
          <x:t xml:space="preserve">Anytime</x:t>
        </x:is>
      </x:c>
      <x:c r="L240" s="44" t="inlineStr">
        <x:is>
          <x:t xml:space="preserve">Not started</x:t>
        </x:is>
      </x:c>
      <x:c r="M240" s="18" t="inlineStr">
        <x:is>
          <x:t xml:space="preserve">SOC 2 will ask</x:t>
        </x:is>
      </x:c>
    </x:row>
    <x:row r="241">
      <x:c r="A241" s="18" t="inlineStr">
        <x:is>
          <x:t xml:space="preserve">T121</x:t>
        </x:is>
      </x:c>
      <x:c r="B241" s="18" t="inlineStr">
        <x:is>
          <x:t xml:space="preserve">Operational Readiness</x:t>
        </x:is>
      </x:c>
      <x:c r="C241" s="18" t="inlineStr">
        <x:is>
          <x:t xml:space="preserve">OFAC / sanctions screening on customers</x:t>
        </x:is>
      </x:c>
      <x:c r="D241" s="18" t="inlineStr">
        <x:is>
          <x:t xml:space="preserve">Run new customers against OFAC SDN list. Free API. One-time setup, automated.</x:t>
        </x:is>
      </x:c>
      <x:c r="E241" s="49" t="inlineStr">
        <x:is>
          <x:t xml:space="preserve">P2</x:t>
        </x:is>
      </x:c>
      <x:c r="F241" s="39" t="inlineStr">
        <x:is>
          <x:t xml:space="preserve">2. CLAUDE DOES IT</x:t>
        </x:is>
      </x:c>
      <x:c r="G241" s="18" t="inlineStr">
        <x:is>
          <x:t xml:space="preserve">Anand</x:t>
        </x:is>
      </x:c>
      <x:c r="H241" s="18" t="inlineStr">
        <x:is>
          <x:t xml:space="preserve"/>
        </x:is>
      </x:c>
      <x:c r="I241" s="45" t="inlineStr">
        <x:is>
          <x:t xml:space="preserve">Claude (API integration)</x:t>
        </x:is>
      </x:c>
      <x:c r="J241" s="52" t="inlineStr">
        <x:is>
          <x:t xml:space="preserve">$0 (OpenSanctions free tier)</x:t>
        </x:is>
      </x:c>
      <x:c r="K241" s="84" t="inlineStr">
        <x:is>
          <x:t xml:space="preserve">Anytime</x:t>
        </x:is>
      </x:c>
      <x:c r="L241" s="44" t="inlineStr">
        <x:is>
          <x:t xml:space="preserve">Not started</x:t>
        </x:is>
      </x:c>
      <x:c r="M241" s="18" t="inlineStr">
        <x:is>
          <x:t xml:space="preserve">Defensive — cheap to do</x:t>
        </x:is>
      </x:c>
    </x:row>
    <x:row r="242">
      <x:c r="A242" s="18" t="inlineStr">
        <x:is>
          <x:t xml:space="preserve">T122</x:t>
        </x:is>
      </x:c>
      <x:c r="B242" s="18" t="inlineStr">
        <x:is>
          <x:t xml:space="preserve">Operational Readiness</x:t>
        </x:is>
      </x:c>
      <x:c r="C242" s="18" t="inlineStr">
        <x:is>
          <x:t xml:space="preserve">Vendor management — track every third-party + their renewal</x:t>
        </x:is>
      </x:c>
      <x:c r="D242" s="18" t="inlineStr">
        <x:is>
          <x:t xml:space="preserve">Vercel, Clerk, Anthropic, OpenAI, Stripe, Resend, PostHog, Vanta, Cobalt, insurance, etc. Spreadsheet OK at this size.</x:t>
        </x:is>
      </x:c>
      <x:c r="E242" s="49" t="inlineStr">
        <x:is>
          <x:t xml:space="preserve">P2</x:t>
        </x:is>
      </x:c>
      <x:c r="F242" s="39" t="inlineStr">
        <x:is>
          <x:t xml:space="preserve">2. CLAUDE DOES IT</x:t>
        </x:is>
      </x:c>
      <x:c r="G242" s="18" t="inlineStr">
        <x:is>
          <x:t xml:space="preserve">Anand</x:t>
        </x:is>
      </x:c>
      <x:c r="H242" s="18" t="inlineStr">
        <x:is>
          <x:t xml:space="preserve"/>
        </x:is>
      </x:c>
      <x:c r="I242" s="45" t="inlineStr">
        <x:is>
          <x:t xml:space="preserve">Claude (sheet)</x:t>
        </x:is>
      </x:c>
      <x:c r="J242" s="52" t="inlineStr">
        <x:is>
          <x:t xml:space="preserve">$0 (sheet)</x:t>
        </x:is>
      </x:c>
      <x:c r="K242" s="84" t="inlineStr">
        <x:is>
          <x:t xml:space="preserve">Anytime</x:t>
        </x:is>
      </x:c>
      <x:c r="L242" s="44" t="inlineStr">
        <x:is>
          <x:t xml:space="preserve">Not started</x:t>
        </x:is>
      </x:c>
      <x:c r="M242" s="18" t="inlineStr">
        <x:is>
          <x:t xml:space="preserve"/>
        </x:is>
      </x:c>
    </x:row>
    <x:row r="243">
      <x:c r="A243" s="18" t="inlineStr">
        <x:is>
          <x:t xml:space="preserve">T107</x:t>
        </x:is>
      </x:c>
      <x:c r="B243" s="18" t="inlineStr">
        <x:is>
          <x:t xml:space="preserve">Operational Readiness</x:t>
        </x:is>
      </x:c>
      <x:c r="C243" s="18" t="inlineStr">
        <x:is>
          <x:t xml:space="preserve">Compensation framework (cash + equity + vesting)</x:t>
        </x:is>
      </x:c>
      <x:c r="D243" s="18" t="inlineStr">
        <x:is>
          <x:t xml:space="preserve">Standard: 4yr / 1yr cliff vest. Equity bands by role. Cash bands. Before first offer.</x:t>
        </x:is>
      </x:c>
      <x:c r="E243" s="32" t="inlineStr">
        <x:is>
          <x:t xml:space="preserve">P1</x:t>
        </x:is>
      </x:c>
      <x:c r="F243" s="40" t="inlineStr">
        <x:is>
          <x:t xml:space="preserve">3. CLAUDE + YOU</x:t>
        </x:is>
      </x:c>
      <x:c r="G243" s="18" t="inlineStr">
        <x:is>
          <x:t xml:space="preserve">Anand</x:t>
        </x:is>
      </x:c>
      <x:c r="H243" s="18" t="inlineStr">
        <x:is>
          <x:t xml:space="preserve">T106</x:t>
        </x:is>
      </x:c>
      <x:c r="I243" s="47" t="inlineStr">
        <x:is>
          <x:t xml:space="preserve">Claude + you</x:t>
        </x:is>
      </x:c>
      <x:c r="J243" s="52" t="inlineStr">
        <x:is>
          <x:t xml:space="preserve">$0</x:t>
        </x:is>
      </x:c>
      <x:c r="K243" s="84" t="inlineStr">
        <x:is>
          <x:t xml:space="preserve">Anytime</x:t>
        </x:is>
      </x:c>
      <x:c r="L243" s="44" t="inlineStr">
        <x:is>
          <x:t xml:space="preserve">Not started</x:t>
        </x:is>
      </x:c>
      <x:c r="M243" s="18" t="inlineStr">
        <x:is>
          <x:t xml:space="preserve">Get template from Carta or AngelList</x:t>
        </x:is>
      </x:c>
    </x:row>
    <x:row r="244">
      <x:c r="A244" s="18" t="inlineStr">
        <x:is>
          <x:t xml:space="preserve">T113</x:t>
        </x:is>
      </x:c>
      <x:c r="B244" s="18" t="inlineStr">
        <x:is>
          <x:t xml:space="preserve">Operational Readiness</x:t>
        </x:is>
      </x:c>
      <x:c r="C244" s="18" t="inlineStr">
        <x:is>
          <x:t xml:space="preserve">Product feedback loop — single intake + triage cadence</x:t>
        </x:is>
      </x:c>
      <x:c r="D244" s="18" t="inlineStr">
        <x:is>
          <x:t xml:space="preserve">All feature requests (from any source) → one queue. Weekly triage. Customer sees status.</x:t>
        </x:is>
      </x:c>
      <x:c r="E244" s="32" t="inlineStr">
        <x:is>
          <x:t xml:space="preserve">P1</x:t>
        </x:is>
      </x:c>
      <x:c r="F244" s="40" t="inlineStr">
        <x:is>
          <x:t xml:space="preserve">3. CLAUDE + YOU</x:t>
        </x:is>
      </x:c>
      <x:c r="G244" s="18" t="inlineStr">
        <x:is>
          <x:t xml:space="preserve">Anand</x:t>
        </x:is>
      </x:c>
      <x:c r="H244" s="18" t="inlineStr">
        <x:is>
          <x:t xml:space="preserve"/>
        </x:is>
      </x:c>
      <x:c r="I244" s="47" t="inlineStr">
        <x:is>
          <x:t xml:space="preserve">Claude + you</x:t>
        </x:is>
      </x:c>
      <x:c r="J244" s="52" t="inlineStr">
        <x:is>
          <x:t xml:space="preserve">$0 (GH Issues) or $50/mo (Canny)</x:t>
        </x:is>
      </x:c>
      <x:c r="K244" s="84" t="inlineStr">
        <x:is>
          <x:t xml:space="preserve">Anytime</x:t>
        </x:is>
      </x:c>
      <x:c r="L244" s="44" t="inlineStr">
        <x:is>
          <x:t xml:space="preserve">Not started</x:t>
        </x:is>
      </x:c>
      <x:c r="M244" s="18" t="inlineStr">
        <x:is>
          <x:t xml:space="preserve">Prevents 'I told you about X' moments</x:t>
        </x:is>
      </x:c>
    </x:row>
    <x:row r="245">
      <x:c r="A245" s="18" t="inlineStr">
        <x:is>
          <x:t xml:space="preserve">T114</x:t>
        </x:is>
      </x:c>
      <x:c r="B245" s="18" t="inlineStr">
        <x:is>
          <x:t xml:space="preserve">Operational Readiness</x:t>
        </x:is>
      </x:c>
      <x:c r="C245" s="18" t="inlineStr">
        <x:is>
          <x:t xml:space="preserve">Public-ish product roadmap (3 horizons)</x:t>
        </x:is>
      </x:c>
      <x:c r="D245" s="18" t="inlineStr">
        <x:is>
          <x:t xml:space="preserve">Now / Next / Later. Shared with pilot client. Reduces ad-hoc 'when will X ship' questions.</x:t>
        </x:is>
      </x:c>
      <x:c r="E245" s="49" t="inlineStr">
        <x:is>
          <x:t xml:space="preserve">P2</x:t>
        </x:is>
      </x:c>
      <x:c r="F245" s="40" t="inlineStr">
        <x:is>
          <x:t xml:space="preserve">3. CLAUDE + YOU</x:t>
        </x:is>
      </x:c>
      <x:c r="G245" s="18" t="inlineStr">
        <x:is>
          <x:t xml:space="preserve">Anand</x:t>
        </x:is>
      </x:c>
      <x:c r="H245" s="18" t="inlineStr">
        <x:is>
          <x:t xml:space="preserve"/>
        </x:is>
      </x:c>
      <x:c r="I245" s="47" t="inlineStr">
        <x:is>
          <x:t xml:space="preserve">Claude + you</x:t>
        </x:is>
      </x:c>
      <x:c r="J245" s="52" t="inlineStr">
        <x:is>
          <x:t xml:space="preserve">$0</x:t>
        </x:is>
      </x:c>
      <x:c r="K245" s="84" t="inlineStr">
        <x:is>
          <x:t xml:space="preserve">Anytime</x:t>
        </x:is>
      </x:c>
      <x:c r="L245" s="44" t="inlineStr">
        <x:is>
          <x:t xml:space="preserve">Not started</x:t>
        </x:is>
      </x:c>
      <x:c r="M245" s="18" t="inlineStr">
        <x:is>
          <x:t xml:space="preserve"/>
        </x:is>
      </x:c>
    </x:row>
    <x:row r="246">
      <x:c r="A246" s="18" t="inlineStr">
        <x:is>
          <x:t xml:space="preserve">T116</x:t>
        </x:is>
      </x:c>
      <x:c r="B246" s="18" t="inlineStr">
        <x:is>
          <x:t xml:space="preserve">Operational Readiness</x:t>
        </x:is>
      </x:c>
      <x:c r="C246" s="18" t="inlineStr">
        <x:is>
          <x:t xml:space="preserve">Financial controls — vendor spend approval thresholds</x:t>
        </x:is>
      </x:c>
      <x:c r="D246" s="18" t="inlineStr">
        <x:is>
          <x:t xml:space="preserve">Auto-approve &lt;$500; founder-approve &lt;$5k; board-approve (you, formally) &gt;$5k.</x:t>
        </x:is>
      </x:c>
      <x:c r="E246" s="49" t="inlineStr">
        <x:is>
          <x:t xml:space="preserve">P2</x:t>
        </x:is>
      </x:c>
      <x:c r="F246" s="40" t="inlineStr">
        <x:is>
          <x:t xml:space="preserve">3. CLAUDE + YOU</x:t>
        </x:is>
      </x:c>
      <x:c r="G246" s="18" t="inlineStr">
        <x:is>
          <x:t xml:space="preserve">Anand</x:t>
        </x:is>
      </x:c>
      <x:c r="H246" s="18" t="inlineStr">
        <x:is>
          <x:t xml:space="preserve"/>
        </x:is>
      </x:c>
      <x:c r="I246" s="47" t="inlineStr">
        <x:is>
          <x:t xml:space="preserve">Claude + you</x:t>
        </x:is>
      </x:c>
      <x:c r="J246" s="52" t="inlineStr">
        <x:is>
          <x:t xml:space="preserve">$0</x:t>
        </x:is>
      </x:c>
      <x:c r="K246" s="84" t="inlineStr">
        <x:is>
          <x:t xml:space="preserve">Anytime</x:t>
        </x:is>
      </x:c>
      <x:c r="L246" s="44" t="inlineStr">
        <x:is>
          <x:t xml:space="preserve">Not started</x:t>
        </x:is>
      </x:c>
      <x:c r="M246" s="18" t="inlineStr">
        <x:is>
          <x:t xml:space="preserve"/>
        </x:is>
      </x:c>
    </x:row>
    <x:row r="247">
      <x:c r="A247" s="18" t="inlineStr">
        <x:is>
          <x:t xml:space="preserve">T109</x:t>
        </x:is>
      </x:c>
      <x:c r="B247" s="18" t="inlineStr">
        <x:is>
          <x:t xml:space="preserve">Operational Readiness</x:t>
        </x:is>
      </x:c>
      <x:c r="C247" s="18" t="inlineStr">
        <x:is>
          <x:t xml:space="preserve">Customer help center / product docs</x:t>
        </x:is>
      </x:c>
      <x:c r="D247" s="18" t="inlineStr">
        <x:is>
          <x:t xml:space="preserve">End-user docs (not security/legal). Mintlify, Docusaurus, or just /docs in app.</x:t>
        </x:is>
      </x:c>
      <x:c r="E247" s="49" t="inlineStr">
        <x:is>
          <x:t xml:space="preserve">P2</x:t>
        </x:is>
      </x:c>
      <x:c r="F247" s="41" t="inlineStr">
        <x:is>
          <x:t xml:space="preserve">4. CLAUDE + PRO</x:t>
        </x:is>
      </x:c>
      <x:c r="G247" s="18" t="inlineStr">
        <x:is>
          <x:t xml:space="preserve">Anand</x:t>
        </x:is>
      </x:c>
      <x:c r="H247" s="18" t="inlineStr">
        <x:is>
          <x:t xml:space="preserve"/>
        </x:is>
      </x:c>
      <x:c r="I247" s="50" t="inlineStr">
        <x:is>
          <x:t xml:space="preserve">3rd party + Claude</x:t>
        </x:is>
      </x:c>
      <x:c r="J247" s="52" t="inlineStr">
        <x:is>
          <x:t xml:space="preserve">$0 (in-repo) or $120/mo (Mintlify)</x:t>
        </x:is>
      </x:c>
      <x:c r="K247" s="83" t="inlineStr">
        <x:is>
          <x:t xml:space="preserve">Post-Resign</x:t>
        </x:is>
      </x:c>
      <x:c r="L247" s="44" t="inlineStr">
        <x:is>
          <x:t xml:space="preserve">Not started</x:t>
        </x:is>
      </x:c>
      <x:c r="M247" s="18" t="inlineStr">
        <x:is>
          <x:t xml:space="preserve">Pilot client will ask</x:t>
        </x:is>
      </x:c>
    </x:row>
    <x:row r="248">
      <x:c r="A248" s="18" t="inlineStr">
        <x:is>
          <x:t xml:space="preserve">T305</x:t>
        </x:is>
      </x:c>
      <x:c r="B248" s="18" t="inlineStr">
        <x:is>
          <x:t xml:space="preserve">Operational Readiness</x:t>
        </x:is>
      </x:c>
      <x:c r="C248" s="18" t="inlineStr">
        <x:is>
          <x:t xml:space="preserve">ACKNOWLEDGE: 2 parallel close sprints = ~20 hr/wk sales for 2 weeks</x:t>
        </x:is>
      </x:c>
      <x:c r="D248" s="18" t="inlineStr">
        <x:is>
          <x:t xml:space="preserve">Real founder bandwidth tradeoff. Product/eng work slows for 2 weeks. Plan accordingly.</x:t>
        </x:is>
      </x:c>
      <x:c r="E248" s="31" t="inlineStr">
        <x:is>
          <x:t xml:space="preserve">P0</x:t>
        </x:is>
      </x:c>
      <x:c r="F248" s="42" t="inlineStr">
        <x:is>
          <x:t xml:space="preserve">5. EXTERNAL</x:t>
        </x:is>
      </x:c>
      <x:c r="G248" s="18" t="inlineStr">
        <x:is>
          <x:t xml:space="preserve">Anand</x:t>
        </x:is>
      </x:c>
      <x:c r="H248" s="18" t="inlineStr">
        <x:is>
          <x:t xml:space="preserve"/>
        </x:is>
      </x:c>
      <x:c r="I248" s="48" t="inlineStr">
        <x:is>
          <x:t xml:space="preserve">You only (calendar)</x:t>
        </x:is>
      </x:c>
      <x:c r="J248" s="52" t="inlineStr">
        <x:is>
          <x:t xml:space="preserve">$0</x:t>
        </x:is>
      </x:c>
      <x:c r="K248" s="84" t="inlineStr">
        <x:is>
          <x:t xml:space="preserve">Anytime</x:t>
        </x:is>
      </x:c>
      <x:c r="L248" s="44" t="inlineStr">
        <x:is>
          <x:t xml:space="preserve">Not started</x:t>
        </x:is>
      </x:c>
      <x:c r="M248" s="18" t="inlineStr">
        <x:is>
          <x:t xml:space="preserve"/>
        </x:is>
      </x:c>
    </x:row>
    <x:row r="249">
      <x:c r="A249" s="18" t="inlineStr">
        <x:is>
          <x:t xml:space="preserve">T106</x:t>
        </x:is>
      </x:c>
      <x:c r="B249" s="18" t="inlineStr">
        <x:is>
          <x:t xml:space="preserve">Operational Readiness</x:t>
        </x:is>
      </x:c>
      <x:c r="C249" s="18" t="inlineStr">
        <x:is>
          <x:t xml:space="preserve">Hire plan — sequence + roles</x:t>
        </x:is>
      </x:c>
      <x:c r="D249" s="18" t="inlineStr">
        <x:is>
          <x:t xml:space="preserve">Eng #2 (senior staff) at month X, CSM at month Y, Sales/SE at month Z. Triggered by ARR or pilot conversion.</x:t>
        </x:is>
      </x:c>
      <x:c r="E249" s="32" t="inlineStr">
        <x:is>
          <x:t xml:space="preserve">P1</x:t>
        </x:is>
      </x:c>
      <x:c r="F249" s="42" t="inlineStr">
        <x:is>
          <x:t xml:space="preserve">5. EXTERNAL</x:t>
        </x:is>
      </x:c>
      <x:c r="G249" s="18" t="inlineStr">
        <x:is>
          <x:t xml:space="preserve">Anand</x:t>
        </x:is>
      </x:c>
      <x:c r="H249" s="18" t="inlineStr">
        <x:is>
          <x:t xml:space="preserve"/>
        </x:is>
      </x:c>
      <x:c r="I249" s="48" t="inlineStr">
        <x:is>
          <x:t xml:space="preserve">You only</x:t>
        </x:is>
      </x:c>
      <x:c r="J249" s="52" t="inlineStr">
        <x:is>
          <x:t xml:space="preserve">$0 (plan only); $150-250k/yr once hire</x:t>
        </x:is>
      </x:c>
      <x:c r="K249" s="83" t="inlineStr">
        <x:is>
          <x:t xml:space="preserve">Post-Resign</x:t>
        </x:is>
      </x:c>
      <x:c r="L249" s="44" t="inlineStr">
        <x:is>
          <x:t xml:space="preserve">Not started</x:t>
        </x:is>
      </x:c>
      <x:c r="M249" s="18" t="inlineStr">
        <x:is>
          <x:t xml:space="preserve">Plan triggers; don't pre-hire</x:t>
        </x:is>
      </x:c>
    </x:row>
    <x:row r="250">
      <x:c r="A250" s="18" t="inlineStr">
        <x:is>
          <x:t xml:space="preserve">T123</x:t>
        </x:is>
      </x:c>
      <x:c r="B250" s="18" t="inlineStr">
        <x:is>
          <x:t xml:space="preserve">Operational Readiness</x:t>
        </x:is>
      </x:c>
      <x:c r="C250" s="18" t="inlineStr">
        <x:is>
          <x:t xml:space="preserve">Founder operating cadence</x:t>
        </x:is>
      </x:c>
      <x:c r="D250" s="18" t="inlineStr">
        <x:is>
          <x:t xml:space="preserve">Weekly: pipeline + product. Monthly: financials + metrics. Quarterly: strategy/roadmap.</x:t>
        </x:is>
      </x:c>
      <x:c r="E250" s="32" t="inlineStr">
        <x:is>
          <x:t xml:space="preserve">P1</x:t>
        </x:is>
      </x:c>
      <x:c r="F250" s="42" t="inlineStr">
        <x:is>
          <x:t xml:space="preserve">5. EXTERNAL</x:t>
        </x:is>
      </x:c>
      <x:c r="G250" s="18" t="inlineStr">
        <x:is>
          <x:t xml:space="preserve">Anand</x:t>
        </x:is>
      </x:c>
      <x:c r="H250" s="18" t="inlineStr">
        <x:is>
          <x:t xml:space="preserve"/>
        </x:is>
      </x:c>
      <x:c r="I250" s="48" t="inlineStr">
        <x:is>
          <x:t xml:space="preserve">You only</x:t>
        </x:is>
      </x:c>
      <x:c r="J250" s="52" t="inlineStr">
        <x:is>
          <x:t xml:space="preserve">$0</x:t>
        </x:is>
      </x:c>
      <x:c r="K250" s="84" t="inlineStr">
        <x:is>
          <x:t xml:space="preserve">Anytime</x:t>
        </x:is>
      </x:c>
      <x:c r="L250" s="44" t="inlineStr">
        <x:is>
          <x:t xml:space="preserve">Not started</x:t>
        </x:is>
      </x:c>
      <x:c r="M250" s="18" t="inlineStr">
        <x:is>
          <x:t xml:space="preserve">Discipline scales the founder</x:t>
        </x:is>
      </x:c>
    </x:row>
    <x:row r="251">
      <x:c r="A251" s="18" t="inlineStr">
        <x:is>
          <x:t xml:space="preserve">T117</x:t>
        </x:is>
      </x:c>
      <x:c r="B251" s="18" t="inlineStr">
        <x:is>
          <x:t xml:space="preserve">Operational Readiness</x:t>
        </x:is>
      </x:c>
      <x:c r="C251" s="18" t="inlineStr">
        <x:is>
          <x:t xml:space="preserve">SaaS metrics dashboard (MRR, ARR, CAC, churn, NRR)</x:t>
        </x:is>
      </x:c>
      <x:c r="D251" s="18" t="inlineStr">
        <x:is>
          <x:t xml:space="preserve">Even with 1 customer. Stripe or ChartMogul. Discipline now = fundraise narrative later.</x:t>
        </x:is>
      </x:c>
      <x:c r="E251" s="49" t="inlineStr">
        <x:is>
          <x:t xml:space="preserve">P2</x:t>
        </x:is>
      </x:c>
      <x:c r="F251" s="42" t="inlineStr">
        <x:is>
          <x:t xml:space="preserve">5. EXTERNAL</x:t>
        </x:is>
      </x:c>
      <x:c r="G251" s="18" t="inlineStr">
        <x:is>
          <x:t xml:space="preserve">Anand</x:t>
        </x:is>
      </x:c>
      <x:c r="H251" s="18" t="inlineStr">
        <x:is>
          <x:t xml:space="preserve"/>
        </x:is>
      </x:c>
      <x:c r="I251" s="48" t="inlineStr">
        <x:is>
          <x:t xml:space="preserve">3rd party: ChartMogul/Stripe</x:t>
        </x:is>
      </x:c>
      <x:c r="J251" s="52" t="inlineStr">
        <x:is>
          <x:t xml:space="preserve">$0 (Stripe Sigma) or $100-300/mo (ChartMogul)</x:t>
        </x:is>
      </x:c>
      <x:c r="K251" s="84" t="inlineStr">
        <x:is>
          <x:t xml:space="preserve">Anytime</x:t>
        </x:is>
      </x:c>
      <x:c r="L251" s="44" t="inlineStr">
        <x:is>
          <x:t xml:space="preserve">Not started</x:t>
        </x:is>
      </x:c>
      <x:c r="M251" s="18" t="inlineStr">
        <x:is>
          <x:t xml:space="preserve"/>
        </x:is>
      </x:c>
    </x:row>
    <x:row r="252">
      <x:c r="A252" s="18" t="inlineStr">
        <x:is>
          <x:t xml:space="preserve">T050</x:t>
        </x:is>
      </x:c>
      <x:c r="B252" s="18" t="inlineStr">
        <x:is>
          <x:t xml:space="preserve">Pilot Ops</x:t>
        </x:is>
      </x:c>
      <x:c r="C252" s="18" t="inlineStr">
        <x:is>
          <x:t xml:space="preserve">Build reference architecture deck for security reviews (15 slides)</x:t>
        </x:is>
      </x:c>
      <x:c r="D252" s="18" t="inlineStr">
        <x:is>
          <x:t xml:space="preserve">Answers 80% of SIG Lite. Reusable.</x:t>
        </x:is>
      </x:c>
      <x:c r="E252" s="31" t="inlineStr">
        <x:is>
          <x:t xml:space="preserve">P0</x:t>
        </x:is>
      </x:c>
      <x:c r="F252" s="39" t="inlineStr">
        <x:is>
          <x:t xml:space="preserve">2. CLAUDE DOES IT</x:t>
        </x:is>
      </x:c>
      <x:c r="G252" s="18" t="inlineStr">
        <x:is>
          <x:t xml:space="preserve">Anand</x:t>
        </x:is>
      </x:c>
      <x:c r="H252" s="18" t="inlineStr">
        <x:is>
          <x:t xml:space="preserve">T027</x:t>
        </x:is>
      </x:c>
      <x:c r="I252" s="45" t="inlineStr">
        <x:is>
          <x:t xml:space="preserve">Claude (slides outline)</x:t>
        </x:is>
      </x:c>
      <x:c r="J252" s="52" t="inlineStr">
        <x:is>
          <x:t xml:space="preserve">$0</x:t>
        </x:is>
      </x:c>
      <x:c r="K252" s="83" t="inlineStr">
        <x:is>
          <x:t xml:space="preserve">Post-Resign</x:t>
        </x:is>
      </x:c>
      <x:c r="L252" s="44" t="inlineStr">
        <x:is>
          <x:t xml:space="preserve">Not started</x:t>
        </x:is>
      </x:c>
      <x:c r="M252" s="18" t="inlineStr">
        <x:is>
          <x:t xml:space="preserve"/>
        </x:is>
      </x:c>
    </x:row>
    <x:row r="253">
      <x:c r="A253" s="18" t="inlineStr">
        <x:is>
          <x:t xml:space="preserve">T049</x:t>
        </x:is>
      </x:c>
      <x:c r="B253" s="18" t="inlineStr">
        <x:is>
          <x:t xml:space="preserve">Pilot Ops</x:t>
        </x:is>
      </x:c>
      <x:c r="C253" s="18" t="inlineStr">
        <x:is>
          <x:t xml:space="preserve">Write 30/60/90 pilot kickoff playbook</x:t>
        </x:is>
      </x:c>
      <x:c r="D253" s="18" t="inlineStr">
        <x:is>
          <x:t xml:space="preserve">Both-sides milestones: data delivery, SSO config, user provisioning, exec reviews.</x:t>
        </x:is>
      </x:c>
      <x:c r="E253" s="32" t="inlineStr">
        <x:is>
          <x:t xml:space="preserve">P1</x:t>
        </x:is>
      </x:c>
      <x:c r="F253" s="39" t="inlineStr">
        <x:is>
          <x:t xml:space="preserve">2. CLAUDE DOES IT</x:t>
        </x:is>
      </x:c>
      <x:c r="G253" s="18" t="inlineStr">
        <x:is>
          <x:t xml:space="preserve">Anand</x:t>
        </x:is>
      </x:c>
      <x:c r="H253" s="18" t="inlineStr">
        <x:is>
          <x:t xml:space="preserve"/>
        </x:is>
      </x:c>
      <x:c r="I253" s="45" t="inlineStr">
        <x:is>
          <x:t xml:space="preserve">Claude (draft)</x:t>
        </x:is>
      </x:c>
      <x:c r="J253" s="52" t="inlineStr">
        <x:is>
          <x:t xml:space="preserve">$0</x:t>
        </x:is>
      </x:c>
      <x:c r="K253" s="83" t="inlineStr">
        <x:is>
          <x:t xml:space="preserve">Post-Resign</x:t>
        </x:is>
      </x:c>
      <x:c r="L253" s="44" t="inlineStr">
        <x:is>
          <x:t xml:space="preserve">Not started</x:t>
        </x:is>
      </x:c>
      <x:c r="M253" s="18" t="inlineStr">
        <x:is>
          <x:t xml:space="preserve">Documents client commitments — protects you</x:t>
        </x:is>
      </x:c>
    </x:row>
    <x:row r="254">
      <x:c r="A254" s="18" t="inlineStr">
        <x:is>
          <x:t xml:space="preserve">T055</x:t>
        </x:is>
      </x:c>
      <x:c r="B254" s="18" t="inlineStr">
        <x:is>
          <x:t xml:space="preserve">Pilot Ops</x:t>
        </x:is>
      </x:c>
      <x:c r="C254" s="18" t="inlineStr">
        <x:is>
          <x:t xml:space="preserve">Build out-of-scope catalog (5-10 likely 'can you also' items + prices)</x:t>
        </x:is>
      </x:c>
      <x:c r="D254" s="18" t="inlineStr">
        <x:is>
          <x:t xml:space="preserve">Saves friction when client asks.</x:t>
        </x:is>
      </x:c>
      <x:c r="E254" s="49" t="inlineStr">
        <x:is>
          <x:t xml:space="preserve">P2</x:t>
        </x:is>
      </x:c>
      <x:c r="F254" s="39" t="inlineStr">
        <x:is>
          <x:t xml:space="preserve">2. CLAUDE DOES IT</x:t>
        </x:is>
      </x:c>
      <x:c r="G254" s="18" t="inlineStr">
        <x:is>
          <x:t xml:space="preserve">Anand</x:t>
        </x:is>
      </x:c>
      <x:c r="H254" s="18" t="inlineStr">
        <x:is>
          <x:t xml:space="preserve"/>
        </x:is>
      </x:c>
      <x:c r="I254" s="45" t="inlineStr">
        <x:is>
          <x:t xml:space="preserve">Claude (draft)</x:t>
        </x:is>
      </x:c>
      <x:c r="J254" s="52" t="inlineStr">
        <x:is>
          <x:t xml:space="preserve">$0</x:t>
        </x:is>
      </x:c>
      <x:c r="K254" s="83" t="inlineStr">
        <x:is>
          <x:t xml:space="preserve">Post-Resign</x:t>
        </x:is>
      </x:c>
      <x:c r="L254" s="44" t="inlineStr">
        <x:is>
          <x:t xml:space="preserve">Not started</x:t>
        </x:is>
      </x:c>
      <x:c r="M254" s="18" t="inlineStr">
        <x:is>
          <x:t xml:space="preserve"/>
        </x:is>
      </x:c>
    </x:row>
    <x:row r="255">
      <x:c r="A255" s="18" t="inlineStr">
        <x:is>
          <x:t xml:space="preserve">T053</x:t>
        </x:is>
      </x:c>
      <x:c r="B255" s="18" t="inlineStr">
        <x:is>
          <x:t xml:space="preserve">Pilot Ops</x:t>
        </x:is>
      </x:c>
      <x:c r="C255" s="18" t="inlineStr">
        <x:is>
          <x:t xml:space="preserve">Define managed services scope (in/out) explicitly in SOW</x:t>
        </x:is>
      </x:c>
      <x:c r="D255" s="18" t="inlineStr">
        <x:is>
          <x:t xml:space="preserve">24x5 monitoring, P1 1h response. Out: new feature dev, integrations not in SOW.</x:t>
        </x:is>
      </x:c>
      <x:c r="E255" s="31" t="inlineStr">
        <x:is>
          <x:t xml:space="preserve">P0</x:t>
        </x:is>
      </x:c>
      <x:c r="F255" s="40" t="inlineStr">
        <x:is>
          <x:t xml:space="preserve">3. CLAUDE + YOU</x:t>
        </x:is>
      </x:c>
      <x:c r="G255" s="18" t="inlineStr">
        <x:is>
          <x:t xml:space="preserve">Anand</x:t>
        </x:is>
      </x:c>
      <x:c r="H255" s="18" t="inlineStr">
        <x:is>
          <x:t xml:space="preserve"/>
        </x:is>
      </x:c>
      <x:c r="I255" s="47" t="inlineStr">
        <x:is>
          <x:t xml:space="preserve">Claude + you (SOW)</x:t>
        </x:is>
      </x:c>
      <x:c r="J255" s="52" t="inlineStr">
        <x:is>
          <x:t xml:space="preserve">$0</x:t>
        </x:is>
      </x:c>
      <x:c r="K255" s="83" t="inlineStr">
        <x:is>
          <x:t xml:space="preserve">Post-Resign</x:t>
        </x:is>
      </x:c>
      <x:c r="L255" s="44" t="inlineStr">
        <x:is>
          <x:t xml:space="preserve">Not started</x:t>
        </x:is>
      </x:c>
      <x:c r="M255" s="18" t="inlineStr">
        <x:is>
          <x:t xml:space="preserve"/>
        </x:is>
      </x:c>
    </x:row>
    <x:row r="256">
      <x:c r="A256" s="18" t="inlineStr">
        <x:is>
          <x:t xml:space="preserve">T054</x:t>
        </x:is>
      </x:c>
      <x:c r="B256" s="18" t="inlineStr">
        <x:is>
          <x:t xml:space="preserve">Pilot Ops</x:t>
        </x:is>
      </x:c>
      <x:c r="C256" s="18" t="inlineStr">
        <x:is>
          <x:t xml:space="preserve">Pre-agree change-order rate ($375 or $400/hr)</x:t>
        </x:is>
      </x:c>
      <x:c r="D256" s="18" t="inlineStr">
        <x:is>
          <x:t xml:space="preserve">Inline in SOW. Avoids per-request negotiation.</x:t>
        </x:is>
      </x:c>
      <x:c r="E256" s="31" t="inlineStr">
        <x:is>
          <x:t xml:space="preserve">P0</x:t>
        </x:is>
      </x:c>
      <x:c r="F256" s="42" t="inlineStr">
        <x:is>
          <x:t xml:space="preserve">5. EXTERNAL</x:t>
        </x:is>
      </x:c>
      <x:c r="G256" s="18" t="inlineStr">
        <x:is>
          <x:t xml:space="preserve">Anand</x:t>
        </x:is>
      </x:c>
      <x:c r="H256" s="18" t="inlineStr">
        <x:is>
          <x:t xml:space="preserve"/>
        </x:is>
      </x:c>
      <x:c r="I256" s="48" t="inlineStr">
        <x:is>
          <x:t xml:space="preserve">You only</x:t>
        </x:is>
      </x:c>
      <x:c r="J256" s="52" t="inlineStr">
        <x:is>
          <x:t xml:space="preserve">$0</x:t>
        </x:is>
      </x:c>
      <x:c r="K256" s="83" t="inlineStr">
        <x:is>
          <x:t xml:space="preserve">Post-Resign</x:t>
        </x:is>
      </x:c>
      <x:c r="L256" s="44" t="inlineStr">
        <x:is>
          <x:t xml:space="preserve">Not started</x:t>
        </x:is>
      </x:c>
      <x:c r="M256" s="18" t="inlineStr">
        <x:is>
          <x:t xml:space="preserve"/>
        </x:is>
      </x:c>
    </x:row>
    <x:row r="257">
      <x:c r="A257" s="18" t="inlineStr">
        <x:is>
          <x:t xml:space="preserve">T051</x:t>
        </x:is>
      </x:c>
      <x:c r="B257" s="18" t="inlineStr">
        <x:is>
          <x:t xml:space="preserve">Pilot Ops</x:t>
        </x:is>
      </x:c>
      <x:c r="C257" s="18" t="inlineStr">
        <x:is>
          <x:t xml:space="preserve">Set up weekly 60-min standing call cadence</x:t>
        </x:is>
      </x:c>
      <x:c r="D257" s="18" t="inlineStr">
        <x:is>
          <x:t xml:space="preserve">Customer success = renewal mechanic.</x:t>
        </x:is>
      </x:c>
      <x:c r="E257" s="32" t="inlineStr">
        <x:is>
          <x:t xml:space="preserve">P1</x:t>
        </x:is>
      </x:c>
      <x:c r="F257" s="42" t="inlineStr">
        <x:is>
          <x:t xml:space="preserve">5. EXTERNAL</x:t>
        </x:is>
      </x:c>
      <x:c r="G257" s="18" t="inlineStr">
        <x:is>
          <x:t xml:space="preserve">Anand</x:t>
        </x:is>
      </x:c>
      <x:c r="H257" s="18" t="inlineStr">
        <x:is>
          <x:t xml:space="preserve"/>
        </x:is>
      </x:c>
      <x:c r="I257" s="48" t="inlineStr">
        <x:is>
          <x:t xml:space="preserve">You only</x:t>
        </x:is>
      </x:c>
      <x:c r="J257" s="52" t="inlineStr">
        <x:is>
          <x:t xml:space="preserve">$0 (founder time)</x:t>
        </x:is>
      </x:c>
      <x:c r="K257" s="83" t="inlineStr">
        <x:is>
          <x:t xml:space="preserve">Post-Resign</x:t>
        </x:is>
      </x:c>
      <x:c r="L257" s="44" t="inlineStr">
        <x:is>
          <x:t xml:space="preserve">Not started</x:t>
        </x:is>
      </x:c>
      <x:c r="M257" s="18" t="inlineStr">
        <x:is>
          <x:t xml:space="preserve"/>
        </x:is>
      </x:c>
    </x:row>
    <x:row r="258">
      <x:c r="A258" s="18" t="inlineStr">
        <x:is>
          <x:t xml:space="preserve">T052</x:t>
        </x:is>
      </x:c>
      <x:c r="B258" s="18" t="inlineStr">
        <x:is>
          <x:t xml:space="preserve">Pilot Ops</x:t>
        </x:is>
      </x:c>
      <x:c r="C258" s="18" t="inlineStr">
        <x:is>
          <x:t xml:space="preserve">Set up monthly executive readout + quarterly business review</x:t>
        </x:is>
      </x:c>
      <x:c r="D258" s="18" t="inlineStr">
        <x:is>
          <x:t xml:space="preserve">QBR is where renewal/expansion conversations happen.</x:t>
        </x:is>
      </x:c>
      <x:c r="E258" s="32" t="inlineStr">
        <x:is>
          <x:t xml:space="preserve">P1</x:t>
        </x:is>
      </x:c>
      <x:c r="F258" s="42" t="inlineStr">
        <x:is>
          <x:t xml:space="preserve">5. EXTERNAL</x:t>
        </x:is>
      </x:c>
      <x:c r="G258" s="18" t="inlineStr">
        <x:is>
          <x:t xml:space="preserve">Anand</x:t>
        </x:is>
      </x:c>
      <x:c r="H258" s="18" t="inlineStr">
        <x:is>
          <x:t xml:space="preserve"/>
        </x:is>
      </x:c>
      <x:c r="I258" s="48" t="inlineStr">
        <x:is>
          <x:t xml:space="preserve">You only</x:t>
        </x:is>
      </x:c>
      <x:c r="J258" s="52" t="inlineStr">
        <x:is>
          <x:t xml:space="preserve">$0 (founder time)</x:t>
        </x:is>
      </x:c>
      <x:c r="K258" s="83" t="inlineStr">
        <x:is>
          <x:t xml:space="preserve">Post-Resign</x:t>
        </x:is>
      </x:c>
      <x:c r="L258" s="44" t="inlineStr">
        <x:is>
          <x:t xml:space="preserve">Not started</x:t>
        </x:is>
      </x:c>
      <x:c r="M258" s="18" t="inlineStr">
        <x:is>
          <x:t xml:space="preserve"/>
        </x:is>
      </x:c>
    </x:row>
    <x:row r="259">
      <x:c r="A259" s="18" t="inlineStr">
        <x:is>
          <x:t xml:space="preserve">T149</x:t>
        </x:is>
      </x:c>
      <x:c r="B259" s="18" t="inlineStr">
        <x:is>
          <x:t xml:space="preserve">Pressure Test</x:t>
        </x:is>
      </x:c>
      <x:c r="C259" s="18" t="inlineStr">
        <x:is>
          <x:t xml:space="preserve">Define load profiles: 10 concurrent (pilot), 50 (year-1 max), 100 (stretch)</x:t>
        </x:is>
      </x:c>
      <x:c r="D259" s="18" t="inlineStr">
        <x:is>
          <x:t xml:space="preserve">Concurrent users, request rate, payload sizes per scenario. Document SLO targets.</x:t>
        </x:is>
      </x:c>
      <x:c r="E259" s="31" t="inlineStr">
        <x:is>
          <x:t xml:space="preserve">P0</x:t>
        </x:is>
      </x:c>
      <x:c r="F259" s="39" t="inlineStr">
        <x:is>
          <x:t xml:space="preserve">2. CLAUDE DOES IT</x:t>
        </x:is>
      </x:c>
      <x:c r="G259" s="18" t="inlineStr">
        <x:is>
          <x:t xml:space="preserve">Anand</x:t>
        </x:is>
      </x:c>
      <x:c r="H259" s="18" t="inlineStr">
        <x:is>
          <x:t xml:space="preserve"/>
        </x:is>
      </x:c>
      <x:c r="I259" s="45" t="inlineStr">
        <x:is>
          <x:t xml:space="preserve">Claude (docs)</x:t>
        </x:is>
      </x:c>
      <x:c r="J259" s="52" t="inlineStr">
        <x:is>
          <x:t xml:space="preserve">$0</x:t>
        </x:is>
      </x:c>
      <x:c r="K259" s="84" t="inlineStr">
        <x:is>
          <x:t xml:space="preserve">Anytime</x:t>
        </x:is>
      </x:c>
      <x:c r="L259" s="44" t="inlineStr">
        <x:is>
          <x:t xml:space="preserve">Not started</x:t>
        </x:is>
      </x:c>
      <x:c r="M259" s="18" t="inlineStr">
        <x:is>
          <x:t xml:space="preserve"/>
        </x:is>
      </x:c>
    </x:row>
    <x:row r="260">
      <x:c r="A260" s="18" t="inlineStr">
        <x:is>
          <x:t xml:space="preserve">T150</x:t>
        </x:is>
      </x:c>
      <x:c r="B260" s="18" t="inlineStr">
        <x:is>
          <x:t xml:space="preserve">Pressure Test</x:t>
        </x:is>
      </x:c>
      <x:c r="C260" s="18" t="inlineStr">
        <x:is>
          <x:t xml:space="preserve">Build load test scripts (k6 or Artillery) for top 5 user journeys</x:t>
        </x:is>
      </x:c>
      <x:c r="D260" s="18" t="inlineStr">
        <x:is>
          <x:t xml:space="preserve">Chat stream, file upload, RAG query, Move execution, dashboard load.</x:t>
        </x:is>
      </x:c>
      <x:c r="E260" s="31" t="inlineStr">
        <x:is>
          <x:t xml:space="preserve">P0</x:t>
        </x:is>
      </x:c>
      <x:c r="F260" s="39" t="inlineStr">
        <x:is>
          <x:t xml:space="preserve">2. CLAUDE DOES IT</x:t>
        </x:is>
      </x:c>
      <x:c r="G260" s="18" t="inlineStr">
        <x:is>
          <x:t xml:space="preserve">Anand</x:t>
        </x:is>
      </x:c>
      <x:c r="H260" s="18" t="inlineStr">
        <x:is>
          <x:t xml:space="preserve">T149</x:t>
        </x:is>
      </x:c>
      <x:c r="I260" s="45" t="inlineStr">
        <x:is>
          <x:t xml:space="preserve">Claude (code)</x:t>
        </x:is>
      </x:c>
      <x:c r="J260" s="52" t="inlineStr">
        <x:is>
          <x:t xml:space="preserve">$0 (k6 open-source)</x:t>
        </x:is>
      </x:c>
      <x:c r="K260" s="84" t="inlineStr">
        <x:is>
          <x:t xml:space="preserve">Anytime</x:t>
        </x:is>
      </x:c>
      <x:c r="L260" s="44" t="inlineStr">
        <x:is>
          <x:t xml:space="preserve">Not started</x:t>
        </x:is>
      </x:c>
      <x:c r="M260" s="18" t="inlineStr">
        <x:is>
          <x:t xml:space="preserve"/>
        </x:is>
      </x:c>
    </x:row>
    <x:row r="261">
      <x:c r="A261" s="18" t="inlineStr">
        <x:is>
          <x:t xml:space="preserve">T151</x:t>
        </x:is>
      </x:c>
      <x:c r="B261" s="18" t="inlineStr">
        <x:is>
          <x:t xml:space="preserve">Pressure Test</x:t>
        </x:is>
      </x:c>
      <x:c r="C261" s="18" t="inlineStr">
        <x:is>
          <x:t xml:space="preserve">Baseline: 10 concurrent user soak (1 hour) on FakeClient tenant</x:t>
        </x:is>
      </x:c>
      <x:c r="D261" s="18" t="inlineStr">
        <x:is>
          <x:t xml:space="preserve">Latency p50/p95/p99, error rate, cost per request. Establishes baseline.</x:t>
        </x:is>
      </x:c>
      <x:c r="E261" s="31" t="inlineStr">
        <x:is>
          <x:t xml:space="preserve">P0</x:t>
        </x:is>
      </x:c>
      <x:c r="F261" s="39" t="inlineStr">
        <x:is>
          <x:t xml:space="preserve">2. CLAUDE DOES IT</x:t>
        </x:is>
      </x:c>
      <x:c r="G261" s="18" t="inlineStr">
        <x:is>
          <x:t xml:space="preserve">Anand</x:t>
        </x:is>
      </x:c>
      <x:c r="H261" s="18" t="inlineStr">
        <x:is>
          <x:t xml:space="preserve">T142,T150</x:t>
        </x:is>
      </x:c>
      <x:c r="I261" s="45" t="inlineStr">
        <x:is>
          <x:t xml:space="preserve">Claude (run+analyze)</x:t>
        </x:is>
      </x:c>
      <x:c r="J261" s="52" t="inlineStr">
        <x:is>
          <x:t xml:space="preserve">$0 (credits)</x:t>
        </x:is>
      </x:c>
      <x:c r="K261" s="84" t="inlineStr">
        <x:is>
          <x:t xml:space="preserve">Anytime</x:t>
        </x:is>
      </x:c>
      <x:c r="L261" s="44" t="inlineStr">
        <x:is>
          <x:t xml:space="preserve">Not started</x:t>
        </x:is>
      </x:c>
      <x:c r="M261" s="18" t="inlineStr">
        <x:is>
          <x:t xml:space="preserve"/>
        </x:is>
      </x:c>
    </x:row>
    <x:row r="262">
      <x:c r="A262" s="18" t="inlineStr">
        <x:is>
          <x:t xml:space="preserve">T152</x:t>
        </x:is>
      </x:c>
      <x:c r="B262" s="18" t="inlineStr">
        <x:is>
          <x:t xml:space="preserve">Pressure Test</x:t>
        </x:is>
      </x:c>
      <x:c r="C262" s="18" t="inlineStr">
        <x:is>
          <x:t xml:space="preserve">Stretch test: 50 concurrent users, 24-hour soak</x:t>
        </x:is>
      </x:c>
      <x:c r="D262" s="18" t="inlineStr">
        <x:is>
          <x:t xml:space="preserve">Memory leaks, connection pool exhaustion, token cost runaway, cold start patterns.</x:t>
        </x:is>
      </x:c>
      <x:c r="E262" s="31" t="inlineStr">
        <x:is>
          <x:t xml:space="preserve">P0</x:t>
        </x:is>
      </x:c>
      <x:c r="F262" s="39" t="inlineStr">
        <x:is>
          <x:t xml:space="preserve">2. CLAUDE DOES IT</x:t>
        </x:is>
      </x:c>
      <x:c r="G262" s="18" t="inlineStr">
        <x:is>
          <x:t xml:space="preserve">Anand</x:t>
        </x:is>
      </x:c>
      <x:c r="H262" s="18" t="inlineStr">
        <x:is>
          <x:t xml:space="preserve">T151</x:t>
        </x:is>
      </x:c>
      <x:c r="I262" s="45" t="inlineStr">
        <x:is>
          <x:t xml:space="preserve">Claude (run+analyze)</x:t>
        </x:is>
      </x:c>
      <x:c r="J262" s="52" t="inlineStr">
        <x:is>
          <x:t xml:space="preserve">$0 (credits)</x:t>
        </x:is>
      </x:c>
      <x:c r="K262" s="84" t="inlineStr">
        <x:is>
          <x:t xml:space="preserve">Anytime</x:t>
        </x:is>
      </x:c>
      <x:c r="L262" s="44" t="inlineStr">
        <x:is>
          <x:t xml:space="preserve">Not started</x:t>
        </x:is>
      </x:c>
      <x:c r="M262" s="18" t="inlineStr">
        <x:is>
          <x:t xml:space="preserve"/>
        </x:is>
      </x:c>
    </x:row>
    <x:row r="263">
      <x:c r="A263" s="18" t="inlineStr">
        <x:is>
          <x:t xml:space="preserve">T153</x:t>
        </x:is>
      </x:c>
      <x:c r="B263" s="18" t="inlineStr">
        <x:is>
          <x:t xml:space="preserve">Pressure Test</x:t>
        </x:is>
      </x:c>
      <x:c r="C263" s="18" t="inlineStr">
        <x:is>
          <x:t xml:space="preserve">Concurrent LLM stream test: 10 simultaneous Claude streams with 10K-token I/O</x:t>
        </x:is>
      </x:c>
      <x:c r="D263" s="18" t="inlineStr">
        <x:is>
          <x:t xml:space="preserve">Anthropic rate limits, streaming UI back-pressure, queue behavior under load.</x:t>
        </x:is>
      </x:c>
      <x:c r="E263" s="31" t="inlineStr">
        <x:is>
          <x:t xml:space="preserve">P0</x:t>
        </x:is>
      </x:c>
      <x:c r="F263" s="39" t="inlineStr">
        <x:is>
          <x:t xml:space="preserve">2. CLAUDE DOES IT</x:t>
        </x:is>
      </x:c>
      <x:c r="G263" s="18" t="inlineStr">
        <x:is>
          <x:t xml:space="preserve">Anand</x:t>
        </x:is>
      </x:c>
      <x:c r="H263" s="18" t="inlineStr">
        <x:is>
          <x:t xml:space="preserve">T150</x:t>
        </x:is>
      </x:c>
      <x:c r="I263" s="45" t="inlineStr">
        <x:is>
          <x:t xml:space="preserve">Claude (code)</x:t>
        </x:is>
      </x:c>
      <x:c r="J263" s="52" t="inlineStr">
        <x:is>
          <x:t xml:space="preserve">$0 (consumes credits)</x:t>
        </x:is>
      </x:c>
      <x:c r="K263" s="84" t="inlineStr">
        <x:is>
          <x:t xml:space="preserve">Anytime</x:t>
        </x:is>
      </x:c>
      <x:c r="L263" s="44" t="inlineStr">
        <x:is>
          <x:t xml:space="preserve">Not started</x:t>
        </x:is>
      </x:c>
      <x:c r="M263" s="18" t="inlineStr">
        <x:is>
          <x:t xml:space="preserve"/>
        </x:is>
      </x:c>
    </x:row>
    <x:row r="264">
      <x:c r="A264" s="18" t="inlineStr">
        <x:is>
          <x:t xml:space="preserve">T154</x:t>
        </x:is>
      </x:c>
      <x:c r="B264" s="18" t="inlineStr">
        <x:is>
          <x:t xml:space="preserve">Pressure Test</x:t>
        </x:is>
      </x:c>
      <x:c r="C264" s="18" t="inlineStr">
        <x:is>
          <x:t xml:space="preserve">Concurrent file upload test: 50 PDF/docx files in parallel</x:t>
        </x:is>
      </x:c>
      <x:c r="D264" s="18" t="inlineStr">
        <x:is>
          <x:t xml:space="preserve">Ingestion pipeline back-pressure, blob storage limits, embedding queue depth.</x:t>
        </x:is>
      </x:c>
      <x:c r="E264" s="31" t="inlineStr">
        <x:is>
          <x:t xml:space="preserve">P0</x:t>
        </x:is>
      </x:c>
      <x:c r="F264" s="39" t="inlineStr">
        <x:is>
          <x:t xml:space="preserve">2. CLAUDE DOES IT</x:t>
        </x:is>
      </x:c>
      <x:c r="G264" s="18" t="inlineStr">
        <x:is>
          <x:t xml:space="preserve">Anand</x:t>
        </x:is>
      </x:c>
      <x:c r="H264" s="18" t="inlineStr">
        <x:is>
          <x:t xml:space="preserve">T150</x:t>
        </x:is>
      </x:c>
      <x:c r="I264" s="45" t="inlineStr">
        <x:is>
          <x:t xml:space="preserve">Claude (code)</x:t>
        </x:is>
      </x:c>
      <x:c r="J264" s="52" t="inlineStr">
        <x:is>
          <x:t xml:space="preserve">$0</x:t>
        </x:is>
      </x:c>
      <x:c r="K264" s="84" t="inlineStr">
        <x:is>
          <x:t xml:space="preserve">Anytime</x:t>
        </x:is>
      </x:c>
      <x:c r="L264" s="44" t="inlineStr">
        <x:is>
          <x:t xml:space="preserve">Not started</x:t>
        </x:is>
      </x:c>
      <x:c r="M264" s="18" t="inlineStr">
        <x:is>
          <x:t xml:space="preserve"/>
        </x:is>
      </x:c>
    </x:row>
    <x:row r="265">
      <x:c r="A265" s="18" t="inlineStr">
        <x:is>
          <x:t xml:space="preserve">T155</x:t>
        </x:is>
      </x:c>
      <x:c r="B265" s="18" t="inlineStr">
        <x:is>
          <x:t xml:space="preserve">Pressure Test</x:t>
        </x:is>
      </x:c>
      <x:c r="C265" s="18" t="inlineStr">
        <x:is>
          <x:t xml:space="preserve">DB connection pool sizing + pgbouncer config</x:t>
        </x:is>
      </x:c>
      <x:c r="D265" s="18" t="inlineStr">
        <x:is>
          <x:t xml:space="preserve">At 50 users with reads/writes, naive pooling can exhaust. Test, tune.</x:t>
        </x:is>
      </x:c>
      <x:c r="E265" s="31" t="inlineStr">
        <x:is>
          <x:t xml:space="preserve">P0</x:t>
        </x:is>
      </x:c>
      <x:c r="F265" s="39" t="inlineStr">
        <x:is>
          <x:t xml:space="preserve">2. CLAUDE DOES IT</x:t>
        </x:is>
      </x:c>
      <x:c r="G265" s="18" t="inlineStr">
        <x:is>
          <x:t xml:space="preserve">Anand</x:t>
        </x:is>
      </x:c>
      <x:c r="H265" s="18" t="inlineStr">
        <x:is>
          <x:t xml:space="preserve">T152</x:t>
        </x:is>
      </x:c>
      <x:c r="I265" s="45" t="inlineStr">
        <x:is>
          <x:t xml:space="preserve">Claude (config)</x:t>
        </x:is>
      </x:c>
      <x:c r="J265" s="52" t="inlineStr">
        <x:is>
          <x:t xml:space="preserve">$0 (Azure native)</x:t>
        </x:is>
      </x:c>
      <x:c r="K265" s="84" t="inlineStr">
        <x:is>
          <x:t xml:space="preserve">Anytime</x:t>
        </x:is>
      </x:c>
      <x:c r="L265" s="44" t="inlineStr">
        <x:is>
          <x:t xml:space="preserve">Not started</x:t>
        </x:is>
      </x:c>
      <x:c r="M265" s="18" t="inlineStr">
        <x:is>
          <x:t xml:space="preserve"/>
        </x:is>
      </x:c>
    </x:row>
    <x:row r="266">
      <x:c r="A266" s="18" t="inlineStr">
        <x:is>
          <x:t xml:space="preserve">T157</x:t>
        </x:is>
      </x:c>
      <x:c r="B266" s="18" t="inlineStr">
        <x:is>
          <x:t xml:space="preserve">Pressure Test</x:t>
        </x:is>
      </x:c>
      <x:c r="C266" s="18" t="inlineStr">
        <x:is>
          <x:t xml:space="preserve">Token cost runaway test — single user generating 1M tokens in 1h</x:t>
        </x:is>
      </x:c>
      <x:c r="D266" s="18" t="inlineStr">
        <x:is>
          <x:t xml:space="preserve">Validates meter + hard cap + alerting. Critical for COGS protection.</x:t>
        </x:is>
      </x:c>
      <x:c r="E266" s="31" t="inlineStr">
        <x:is>
          <x:t xml:space="preserve">P0</x:t>
        </x:is>
      </x:c>
      <x:c r="F266" s="39" t="inlineStr">
        <x:is>
          <x:t xml:space="preserve">2. CLAUDE DOES IT</x:t>
        </x:is>
      </x:c>
      <x:c r="G266" s="18" t="inlineStr">
        <x:is>
          <x:t xml:space="preserve">Anand</x:t>
        </x:is>
      </x:c>
      <x:c r="H266" s="18" t="inlineStr">
        <x:is>
          <x:t xml:space="preserve">T033</x:t>
        </x:is>
      </x:c>
      <x:c r="I266" s="45" t="inlineStr">
        <x:is>
          <x:t xml:space="preserve">Claude (code)</x:t>
        </x:is>
      </x:c>
      <x:c r="J266" s="52" t="inlineStr">
        <x:is>
          <x:t xml:space="preserve">$0 (consumes credits)</x:t>
        </x:is>
      </x:c>
      <x:c r="K266" s="84" t="inlineStr">
        <x:is>
          <x:t xml:space="preserve">Anytime</x:t>
        </x:is>
      </x:c>
      <x:c r="L266" s="44" t="inlineStr">
        <x:is>
          <x:t xml:space="preserve">Not started</x:t>
        </x:is>
      </x:c>
      <x:c r="M266" s="18" t="inlineStr">
        <x:is>
          <x:t xml:space="preserve"/>
        </x:is>
      </x:c>
    </x:row>
    <x:row r="267">
      <x:c r="A267" s="18" t="inlineStr">
        <x:is>
          <x:t xml:space="preserve">T159</x:t>
        </x:is>
      </x:c>
      <x:c r="B267" s="18" t="inlineStr">
        <x:is>
          <x:t xml:space="preserve">Pressure Test</x:t>
        </x:is>
      </x:c>
      <x:c r="C267" s="18" t="inlineStr">
        <x:is>
          <x:t xml:space="preserve">Document SLO/SLA based on observed perf (not guess)</x:t>
        </x:is>
      </x:c>
      <x:c r="D267" s="18" t="inlineStr">
        <x:is>
          <x:t xml:space="preserve">Latency budgets per endpoint, uptime targets, capacity headroom. Feeds into MSA SLA clause.</x:t>
        </x:is>
      </x:c>
      <x:c r="E267" s="31" t="inlineStr">
        <x:is>
          <x:t xml:space="preserve">P0</x:t>
        </x:is>
      </x:c>
      <x:c r="F267" s="39" t="inlineStr">
        <x:is>
          <x:t xml:space="preserve">2. CLAUDE DOES IT</x:t>
        </x:is>
      </x:c>
      <x:c r="G267" s="18" t="inlineStr">
        <x:is>
          <x:t xml:space="preserve">Anand</x:t>
        </x:is>
      </x:c>
      <x:c r="H267" s="18" t="inlineStr">
        <x:is>
          <x:t xml:space="preserve">T152</x:t>
        </x:is>
      </x:c>
      <x:c r="I267" s="45" t="inlineStr">
        <x:is>
          <x:t xml:space="preserve">Claude (docs)</x:t>
        </x:is>
      </x:c>
      <x:c r="J267" s="52" t="inlineStr">
        <x:is>
          <x:t xml:space="preserve">$0</x:t>
        </x:is>
      </x:c>
      <x:c r="K267" s="84" t="inlineStr">
        <x:is>
          <x:t xml:space="preserve">Anytime</x:t>
        </x:is>
      </x:c>
      <x:c r="L267" s="44" t="inlineStr">
        <x:is>
          <x:t xml:space="preserve">Not started</x:t>
        </x:is>
      </x:c>
      <x:c r="M267" s="18" t="inlineStr">
        <x:is>
          <x:t xml:space="preserve"/>
        </x:is>
      </x:c>
    </x:row>
    <x:row r="268">
      <x:c r="A268" s="18" t="inlineStr">
        <x:is>
          <x:t xml:space="preserve">T156</x:t>
        </x:is>
      </x:c>
      <x:c r="B268" s="18" t="inlineStr">
        <x:is>
          <x:t xml:space="preserve">Pressure Test</x:t>
        </x:is>
      </x:c>
      <x:c r="C268" s="18" t="inlineStr">
        <x:is>
          <x:t xml:space="preserve">Cold-start measurement across all Vercel + Azure Functions</x:t>
        </x:is>
      </x:c>
      <x:c r="D268" s="18" t="inlineStr">
        <x:is>
          <x:t xml:space="preserve">First-request latency from cold. Identify which routes need warm-up pings.</x:t>
        </x:is>
      </x:c>
      <x:c r="E268" s="32" t="inlineStr">
        <x:is>
          <x:t xml:space="preserve">P1</x:t>
        </x:is>
      </x:c>
      <x:c r="F268" s="39" t="inlineStr">
        <x:is>
          <x:t xml:space="preserve">2. CLAUDE DOES IT</x:t>
        </x:is>
      </x:c>
      <x:c r="G268" s="18" t="inlineStr">
        <x:is>
          <x:t xml:space="preserve">Anand</x:t>
        </x:is>
      </x:c>
      <x:c r="H268" s="18" t="inlineStr">
        <x:is>
          <x:t xml:space="preserve">T151</x:t>
        </x:is>
      </x:c>
      <x:c r="I268" s="45" t="inlineStr">
        <x:is>
          <x:t xml:space="preserve">Claude (script)</x:t>
        </x:is>
      </x:c>
      <x:c r="J268" s="52" t="inlineStr">
        <x:is>
          <x:t xml:space="preserve">$0</x:t>
        </x:is>
      </x:c>
      <x:c r="K268" s="84" t="inlineStr">
        <x:is>
          <x:t xml:space="preserve">Anytime</x:t>
        </x:is>
      </x:c>
      <x:c r="L268" s="44" t="inlineStr">
        <x:is>
          <x:t xml:space="preserve">Not started</x:t>
        </x:is>
      </x:c>
      <x:c r="M268" s="18" t="inlineStr">
        <x:is>
          <x:t xml:space="preserve"/>
        </x:is>
      </x:c>
    </x:row>
    <x:row r="269">
      <x:c r="A269" s="18" t="inlineStr">
        <x:is>
          <x:t xml:space="preserve">T158</x:t>
        </x:is>
      </x:c>
      <x:c r="B269" s="18" t="inlineStr">
        <x:is>
          <x:t xml:space="preserve">Pressure Test</x:t>
        </x:is>
      </x:c>
      <x:c r="C269" s="18" t="inlineStr">
        <x:is>
          <x:t xml:space="preserve">Profile + optimize top 3 hot paths identified in load tests</x:t>
        </x:is>
      </x:c>
      <x:c r="D269" s="18" t="inlineStr">
        <x:is>
          <x:t xml:space="preserve">Whatever the load tests surface — N+1 queries, missing indexes, sync ops that should be async.</x:t>
        </x:is>
      </x:c>
      <x:c r="E269" s="32" t="inlineStr">
        <x:is>
          <x:t xml:space="preserve">P1</x:t>
        </x:is>
      </x:c>
      <x:c r="F269" s="39" t="inlineStr">
        <x:is>
          <x:t xml:space="preserve">2. CLAUDE DOES IT</x:t>
        </x:is>
      </x:c>
      <x:c r="G269" s="18" t="inlineStr">
        <x:is>
          <x:t xml:space="preserve">Anand</x:t>
        </x:is>
      </x:c>
      <x:c r="H269" s="18" t="inlineStr">
        <x:is>
          <x:t xml:space="preserve">T152</x:t>
        </x:is>
      </x:c>
      <x:c r="I269" s="45" t="inlineStr">
        <x:is>
          <x:t xml:space="preserve">Claude (code)</x:t>
        </x:is>
      </x:c>
      <x:c r="J269" s="52" t="inlineStr">
        <x:is>
          <x:t xml:space="preserve">$0 (founder time)</x:t>
        </x:is>
      </x:c>
      <x:c r="K269" s="84" t="inlineStr">
        <x:is>
          <x:t xml:space="preserve">Anytime</x:t>
        </x:is>
      </x:c>
      <x:c r="L269" s="44" t="inlineStr">
        <x:is>
          <x:t xml:space="preserve">Not started</x:t>
        </x:is>
      </x:c>
      <x:c r="M269" s="18" t="inlineStr">
        <x:is>
          <x:t xml:space="preserve"/>
        </x:is>
      </x:c>
    </x:row>
    <x:row r="270">
      <x:c r="A270" s="18" t="inlineStr">
        <x:is>
          <x:t xml:space="preserve">T160</x:t>
        </x:is>
      </x:c>
      <x:c r="B270" s="18" t="inlineStr">
        <x:is>
          <x:t xml:space="preserve">Pressure Test</x:t>
        </x:is>
      </x:c>
      <x:c r="C270" s="18" t="inlineStr">
        <x:is>
          <x:t xml:space="preserve">Re-run load tests after each major release (CI gate)</x:t>
        </x:is>
      </x:c>
      <x:c r="D270" s="18" t="inlineStr">
        <x:is>
          <x:t xml:space="preserve">Performance regression detection in CI. Lighthouse CI handles UI; backend needs separate gate.</x:t>
        </x:is>
      </x:c>
      <x:c r="E270" s="32" t="inlineStr">
        <x:is>
          <x:t xml:space="preserve">P1</x:t>
        </x:is>
      </x:c>
      <x:c r="F270" s="39" t="inlineStr">
        <x:is>
          <x:t xml:space="preserve">2. CLAUDE DOES IT</x:t>
        </x:is>
      </x:c>
      <x:c r="G270" s="18" t="inlineStr">
        <x:is>
          <x:t xml:space="preserve">Anand</x:t>
        </x:is>
      </x:c>
      <x:c r="H270" s="18" t="inlineStr">
        <x:is>
          <x:t xml:space="preserve">T150</x:t>
        </x:is>
      </x:c>
      <x:c r="I270" s="45" t="inlineStr">
        <x:is>
          <x:t xml:space="preserve">Claude (workflow)</x:t>
        </x:is>
      </x:c>
      <x:c r="J270" s="52" t="inlineStr">
        <x:is>
          <x:t xml:space="preserve">$0</x:t>
        </x:is>
      </x:c>
      <x:c r="K270" s="84" t="inlineStr">
        <x:is>
          <x:t xml:space="preserve">Anytime</x:t>
        </x:is>
      </x:c>
      <x:c r="L270" s="44" t="inlineStr">
        <x:is>
          <x:t xml:space="preserve">Not started</x:t>
        </x:is>
      </x:c>
      <x:c r="M270" s="18" t="inlineStr">
        <x:is>
          <x:t xml:space="preserve"/>
        </x:is>
      </x:c>
    </x:row>
    <x:row r="271">
      <x:c r="A271" s="18" t="inlineStr">
        <x:is>
          <x:t xml:space="preserve">T064</x:t>
        </x:is>
      </x:c>
      <x:c r="B271" s="18" t="inlineStr">
        <x:is>
          <x:t xml:space="preserve">Sales</x:t>
        </x:is>
      </x:c>
      <x:c r="C271" s="18" t="inlineStr">
        <x:is>
          <x:t xml:space="preserve">Write pilot one-pager (problem, what they get, fee, success criteria)</x:t>
        </x:is>
      </x:c>
      <x:c r="D271" s="18" t="inlineStr">
        <x:is>
          <x:t xml:space="preserve">Sales asset for first conversation.</x:t>
        </x:is>
      </x:c>
      <x:c r="E271" s="31" t="inlineStr">
        <x:is>
          <x:t xml:space="preserve">P0</x:t>
        </x:is>
      </x:c>
      <x:c r="F271" s="39" t="inlineStr">
        <x:is>
          <x:t xml:space="preserve">2. CLAUDE DOES IT</x:t>
        </x:is>
      </x:c>
      <x:c r="G271" s="18" t="inlineStr">
        <x:is>
          <x:t xml:space="preserve">Anand</x:t>
        </x:is>
      </x:c>
      <x:c r="H271" s="18" t="inlineStr">
        <x:is>
          <x:t xml:space="preserve"/>
        </x:is>
      </x:c>
      <x:c r="I271" s="45" t="inlineStr">
        <x:is>
          <x:t xml:space="preserve">Claude (draft)</x:t>
        </x:is>
      </x:c>
      <x:c r="J271" s="52" t="inlineStr">
        <x:is>
          <x:t xml:space="preserve">$0</x:t>
        </x:is>
      </x:c>
      <x:c r="K271" s="82" t="inlineStr">
        <x:is>
          <x:t xml:space="preserve">Pre-Resign</x:t>
        </x:is>
      </x:c>
      <x:c r="L271" s="44" t="inlineStr">
        <x:is>
          <x:t xml:space="preserve">Not started</x:t>
        </x:is>
      </x:c>
      <x:c r="M271" s="18" t="inlineStr">
        <x:is>
          <x:t xml:space="preserve"/>
        </x:is>
      </x:c>
    </x:row>
    <x:row r="272">
      <x:c r="A272" s="18" t="inlineStr">
        <x:is>
          <x:t xml:space="preserve">T253</x:t>
        </x:is>
      </x:c>
      <x:c r="B272" s="18" t="inlineStr">
        <x:is>
          <x:t xml:space="preserve">Sales</x:t>
        </x:is>
      </x:c>
      <x:c r="C272" s="18" t="inlineStr">
        <x:is>
          <x:t xml:space="preserve">Identify 2-3 healthcare-specific value levers SPECIFIC to PHS data environment</x:t>
        </x:is>
      </x:c>
      <x:c r="D272" s="18" t="inlineStr">
        <x:is>
          <x:t xml:space="preserve">Denials? Revenue cycle DSO? Length of stay? Supply chain? Workforce? Pre-pitch research.</x:t>
        </x:is>
      </x:c>
      <x:c r="E272" s="31" t="inlineStr">
        <x:is>
          <x:t xml:space="preserve">P0</x:t>
        </x:is>
      </x:c>
      <x:c r="F272" s="39" t="inlineStr">
        <x:is>
          <x:t xml:space="preserve">2. CLAUDE DOES IT</x:t>
        </x:is>
      </x:c>
      <x:c r="G272" s="18" t="inlineStr">
        <x:is>
          <x:t xml:space="preserve">Anand</x:t>
        </x:is>
      </x:c>
      <x:c r="H272" s="18" t="inlineStr">
        <x:is>
          <x:t xml:space="preserve"/>
        </x:is>
      </x:c>
      <x:c r="I272" s="45" t="inlineStr">
        <x:is>
          <x:t xml:space="preserve">Claude (research) + you</x:t>
        </x:is>
      </x:c>
      <x:c r="J272" s="52" t="inlineStr">
        <x:is>
          <x:t xml:space="preserve">$0</x:t>
        </x:is>
      </x:c>
      <x:c r="K272" s="82" t="inlineStr">
        <x:is>
          <x:t xml:space="preserve">Pre-Resign</x:t>
        </x:is>
      </x:c>
      <x:c r="L272" s="44" t="inlineStr">
        <x:is>
          <x:t xml:space="preserve">Not started</x:t>
        </x:is>
      </x:c>
      <x:c r="M272" s="18" t="inlineStr">
        <x:is>
          <x:t xml:space="preserve"/>
        </x:is>
      </x:c>
    </x:row>
    <x:row r="273">
      <x:c r="A273" s="18" t="inlineStr">
        <x:is>
          <x:t xml:space="preserve">T256</x:t>
        </x:is>
      </x:c>
      <x:c r="B273" s="18" t="inlineStr">
        <x:is>
          <x:t xml:space="preserve">Sales</x:t>
        </x:is>
      </x:c>
      <x:c r="C273" s="18" t="inlineStr">
        <x:is>
          <x:t xml:space="preserve">Pre-pitch: write the CXO justification memo from THEIR perspective</x:t>
        </x:is>
      </x:c>
      <x:c r="D273" s="18" t="inlineStr">
        <x:is>
          <x:t xml:space="preserve">Customize the narrative section for CDAO of PHS. Their voice. Their KPIs. Their CFO. They should feel 'this is what I would write'.</x:t>
        </x:is>
      </x:c>
      <x:c r="E273" s="31" t="inlineStr">
        <x:is>
          <x:t xml:space="preserve">P0</x:t>
        </x:is>
      </x:c>
      <x:c r="F273" s="39" t="inlineStr">
        <x:is>
          <x:t xml:space="preserve">2. CLAUDE DOES IT</x:t>
        </x:is>
      </x:c>
      <x:c r="G273" s="18" t="inlineStr">
        <x:is>
          <x:t xml:space="preserve">Anand</x:t>
        </x:is>
      </x:c>
      <x:c r="H273" s="18" t="inlineStr">
        <x:is>
          <x:t xml:space="preserve"/>
        </x:is>
      </x:c>
      <x:c r="I273" s="45" t="inlineStr">
        <x:is>
          <x:t xml:space="preserve">Claude (draft) + you</x:t>
        </x:is>
      </x:c>
      <x:c r="J273" s="52" t="inlineStr">
        <x:is>
          <x:t xml:space="preserve">$0</x:t>
        </x:is>
      </x:c>
      <x:c r="K273" s="83" t="inlineStr">
        <x:is>
          <x:t xml:space="preserve">Post-Resign</x:t>
        </x:is>
      </x:c>
      <x:c r="L273" s="44" t="inlineStr">
        <x:is>
          <x:t xml:space="preserve">Not started</x:t>
        </x:is>
      </x:c>
      <x:c r="M273" s="18" t="inlineStr">
        <x:is>
          <x:t xml:space="preserve"/>
        </x:is>
      </x:c>
    </x:row>
    <x:row r="274">
      <x:c r="A274" s="18" t="inlineStr">
        <x:is>
          <x:t xml:space="preserve">T257</x:t>
        </x:is>
      </x:c>
      <x:c r="B274" s="18" t="inlineStr">
        <x:is>
          <x:t xml:space="preserve">Sales</x:t>
        </x:is>
      </x:c>
      <x:c r="C274" s="18" t="inlineStr">
        <x:is>
          <x:t xml:space="preserve">Pitch deck: 8-12 slides max, anchored on business case, not product features</x:t>
        </x:is>
      </x:c>
      <x:c r="D274" s="18" t="inlineStr">
        <x:is>
          <x:t xml:space="preserve">Story: Their pain → Identified value ($X) → AbarVa enables ($Y) → Pilot proves it (3 Moves, $5M pipeline) → Year-1 captures it ($10M).</x:t>
        </x:is>
      </x:c>
      <x:c r="E274" s="31" t="inlineStr">
        <x:is>
          <x:t xml:space="preserve">P0</x:t>
        </x:is>
      </x:c>
      <x:c r="F274" s="39" t="inlineStr">
        <x:is>
          <x:t xml:space="preserve">2. CLAUDE DOES IT</x:t>
        </x:is>
      </x:c>
      <x:c r="G274" s="18" t="inlineStr">
        <x:is>
          <x:t xml:space="preserve">Anand</x:t>
        </x:is>
      </x:c>
      <x:c r="H274" s="18" t="inlineStr">
        <x:is>
          <x:t xml:space="preserve"/>
        </x:is>
      </x:c>
      <x:c r="I274" s="45" t="inlineStr">
        <x:is>
          <x:t xml:space="preserve">Claude (draft) + you</x:t>
        </x:is>
      </x:c>
      <x:c r="J274" s="52" t="inlineStr">
        <x:is>
          <x:t xml:space="preserve">$0</x:t>
        </x:is>
      </x:c>
      <x:c r="K274" s="83" t="inlineStr">
        <x:is>
          <x:t xml:space="preserve">Post-Resign</x:t>
        </x:is>
      </x:c>
      <x:c r="L274" s="44" t="inlineStr">
        <x:is>
          <x:t xml:space="preserve">Not started</x:t>
        </x:is>
      </x:c>
      <x:c r="M274" s="18" t="inlineStr">
        <x:is>
          <x:t xml:space="preserve"/>
        </x:is>
      </x:c>
    </x:row>
    <x:row r="275">
      <x:c r="A275" s="18" t="inlineStr">
        <x:is>
          <x:t xml:space="preserve">T260</x:t>
        </x:is>
      </x:c>
      <x:c r="B275" s="18" t="inlineStr">
        <x:is>
          <x:t xml:space="preserve">Sales</x:t>
        </x:is>
      </x:c>
      <x:c r="C275" s="18" t="inlineStr">
        <x:is>
          <x:t xml:space="preserve">PHS: research 10-K + recent press for revenue, payer mix, AMS deal context</x:t>
        </x:is>
      </x:c>
      <x:c r="D275" s="18" t="inlineStr">
        <x:is>
          <x:t xml:space="preserve">Concrete numbers BEFORE pitch. Generic signals consultant; specific signals you understood them.</x:t>
        </x:is>
      </x:c>
      <x:c r="E275" s="31" t="inlineStr">
        <x:is>
          <x:t xml:space="preserve">P0</x:t>
        </x:is>
      </x:c>
      <x:c r="F275" s="39" t="inlineStr">
        <x:is>
          <x:t xml:space="preserve">2. CLAUDE DOES IT</x:t>
        </x:is>
      </x:c>
      <x:c r="G275" s="18" t="inlineStr">
        <x:is>
          <x:t xml:space="preserve">Anand</x:t>
        </x:is>
      </x:c>
      <x:c r="H275" s="18" t="inlineStr">
        <x:is>
          <x:t xml:space="preserve"/>
        </x:is>
      </x:c>
      <x:c r="I275" s="45" t="inlineStr">
        <x:is>
          <x:t xml:space="preserve">Claude (research)</x:t>
        </x:is>
      </x:c>
      <x:c r="J275" s="52" t="inlineStr">
        <x:is>
          <x:t xml:space="preserve">$0</x:t>
        </x:is>
      </x:c>
      <x:c r="K275" s="83" t="inlineStr">
        <x:is>
          <x:t xml:space="preserve">Post-Resign</x:t>
        </x:is>
      </x:c>
      <x:c r="L275" s="44" t="inlineStr">
        <x:is>
          <x:t xml:space="preserve">Not started</x:t>
        </x:is>
      </x:c>
      <x:c r="M275" s="18" t="inlineStr">
        <x:is>
          <x:t xml:space="preserve"/>
        </x:is>
      </x:c>
    </x:row>
    <x:row r="276">
      <x:c r="A276" s="18" t="inlineStr">
        <x:is>
          <x:t xml:space="preserve">T261</x:t>
        </x:is>
      </x:c>
      <x:c r="B276" s="18" t="inlineStr">
        <x:is>
          <x:t xml:space="preserve">Sales</x:t>
        </x:is>
      </x:c>
      <x:c r="C276" s="18" t="inlineStr">
        <x:is>
          <x:t xml:space="preserve">PHS: identify Azure+Databricks partner + position AbarVa as workflow layer ABOVE them</x:t>
        </x:is>
      </x:c>
      <x:c r="D276" s="18" t="inlineStr">
        <x:is>
          <x:t xml:space="preserve">MS Consulting? Accenture? KPMG? Don't compete — complement.</x:t>
        </x:is>
      </x:c>
      <x:c r="E276" s="31" t="inlineStr">
        <x:is>
          <x:t xml:space="preserve">P0</x:t>
        </x:is>
      </x:c>
      <x:c r="F276" s="39" t="inlineStr">
        <x:is>
          <x:t xml:space="preserve">2. CLAUDE DOES IT</x:t>
        </x:is>
      </x:c>
      <x:c r="G276" s="18" t="inlineStr">
        <x:is>
          <x:t xml:space="preserve">Anand</x:t>
        </x:is>
      </x:c>
      <x:c r="H276" s="18" t="inlineStr">
        <x:is>
          <x:t xml:space="preserve"/>
        </x:is>
      </x:c>
      <x:c r="I276" s="45" t="inlineStr">
        <x:is>
          <x:t xml:space="preserve">Claude (research) + you</x:t>
        </x:is>
      </x:c>
      <x:c r="J276" s="52" t="inlineStr">
        <x:is>
          <x:t xml:space="preserve">$0</x:t>
        </x:is>
      </x:c>
      <x:c r="K276" s="82" t="inlineStr">
        <x:is>
          <x:t xml:space="preserve">Pre-Resign</x:t>
        </x:is>
      </x:c>
      <x:c r="L276" s="44" t="inlineStr">
        <x:is>
          <x:t xml:space="preserve">Not started</x:t>
        </x:is>
      </x:c>
      <x:c r="M276" s="18" t="inlineStr">
        <x:is>
          <x:t xml:space="preserve"/>
        </x:is>
      </x:c>
    </x:row>
    <x:row r="277">
      <x:c r="A277" s="18" t="inlineStr">
        <x:is>
          <x:t xml:space="preserve">T263</x:t>
        </x:is>
      </x:c>
      <x:c r="B277" s="18" t="inlineStr">
        <x:is>
          <x:t xml:space="preserve">Sales</x:t>
        </x:is>
      </x:c>
      <x:c r="C277" s="18" t="inlineStr">
        <x:is>
          <x:t xml:space="preserve">PHS: draft 'AI strategy in 90 days' headline narrative (not feature pitch)</x:t>
        </x:is>
      </x:c>
      <x:c r="D277" s="18" t="inlineStr">
        <x:is>
          <x:t xml:space="preserve">#1 board pressure for CDAO. Lead with it. AbarVa = OS for their nascent AI strategy.</x:t>
        </x:is>
      </x:c>
      <x:c r="E277" s="31" t="inlineStr">
        <x:is>
          <x:t xml:space="preserve">P0</x:t>
        </x:is>
      </x:c>
      <x:c r="F277" s="39" t="inlineStr">
        <x:is>
          <x:t xml:space="preserve">2. CLAUDE DOES IT</x:t>
        </x:is>
      </x:c>
      <x:c r="G277" s="18" t="inlineStr">
        <x:is>
          <x:t xml:space="preserve">Anand</x:t>
        </x:is>
      </x:c>
      <x:c r="H277" s="18" t="inlineStr">
        <x:is>
          <x:t xml:space="preserve"/>
        </x:is>
      </x:c>
      <x:c r="I277" s="45" t="inlineStr">
        <x:is>
          <x:t xml:space="preserve">Claude (draft) + you</x:t>
        </x:is>
      </x:c>
      <x:c r="J277" s="52" t="inlineStr">
        <x:is>
          <x:t xml:space="preserve">$0</x:t>
        </x:is>
      </x:c>
      <x:c r="K277" s="83" t="inlineStr">
        <x:is>
          <x:t xml:space="preserve">Post-Resign</x:t>
        </x:is>
      </x:c>
      <x:c r="L277" s="44" t="inlineStr">
        <x:is>
          <x:t xml:space="preserve">Not started</x:t>
        </x:is>
      </x:c>
      <x:c r="M277" s="18" t="inlineStr">
        <x:is>
          <x:t xml:space="preserve"/>
        </x:is>
      </x:c>
    </x:row>
    <x:row r="278">
      <x:c r="A278" s="18" t="inlineStr">
        <x:is>
          <x:t xml:space="preserve">T265</x:t>
        </x:is>
      </x:c>
      <x:c r="B278" s="18" t="inlineStr">
        <x:is>
          <x:t xml:space="preserve">Sales</x:t>
        </x:is>
      </x:c>
      <x:c r="C278" s="18" t="inlineStr">
        <x:is>
          <x:t xml:space="preserve">Delta: map data/AI leadership in org — CDO/CDAO/CAIO/Head of Data?</x:t>
        </x:is>
      </x:c>
      <x:c r="D278" s="18" t="inlineStr">
        <x:is>
          <x:t xml:space="preserve">Pre-call research. LinkedIn + press. Find AI leader path BEFORE CTO call.</x:t>
        </x:is>
      </x:c>
      <x:c r="E278" s="31" t="inlineStr">
        <x:is>
          <x:t xml:space="preserve">P0</x:t>
        </x:is>
      </x:c>
      <x:c r="F278" s="39" t="inlineStr">
        <x:is>
          <x:t xml:space="preserve">2. CLAUDE DOES IT</x:t>
        </x:is>
      </x:c>
      <x:c r="G278" s="18" t="inlineStr">
        <x:is>
          <x:t xml:space="preserve">Anand</x:t>
        </x:is>
      </x:c>
      <x:c r="H278" s="18" t="inlineStr">
        <x:is>
          <x:t xml:space="preserve"/>
        </x:is>
      </x:c>
      <x:c r="I278" s="45" t="inlineStr">
        <x:is>
          <x:t xml:space="preserve">Claude (research)</x:t>
        </x:is>
      </x:c>
      <x:c r="J278" s="52" t="inlineStr">
        <x:is>
          <x:t xml:space="preserve">$0</x:t>
        </x:is>
      </x:c>
      <x:c r="K278" s="82" t="inlineStr">
        <x:is>
          <x:t xml:space="preserve">Pre-Resign</x:t>
        </x:is>
      </x:c>
      <x:c r="L278" s="44" t="inlineStr">
        <x:is>
          <x:t xml:space="preserve">Not started</x:t>
        </x:is>
      </x:c>
      <x:c r="M278" s="18" t="inlineStr">
        <x:is>
          <x:t xml:space="preserve"/>
        </x:is>
      </x:c>
    </x:row>
    <x:row r="279">
      <x:c r="A279" s="18" t="inlineStr">
        <x:is>
          <x:t xml:space="preserve">T266</x:t>
        </x:is>
      </x:c>
      <x:c r="B279" s="18" t="inlineStr">
        <x:is>
          <x:t xml:space="preserve">Sales</x:t>
        </x:is>
      </x:c>
      <x:c r="C279" s="18" t="inlineStr">
        <x:is>
          <x:t xml:space="preserve">Delta: reposition AbarVa as 'modernization program OS' for CTO pitch (NOT AI workflow)</x:t>
        </x:is>
      </x:c>
      <x:c r="D279" s="18" t="inlineStr">
        <x:is>
          <x:t xml:space="preserve">Lead with program execution. AI = enabling tech. See BC - Delta tab Play 1.</x:t>
        </x:is>
      </x:c>
      <x:c r="E279" s="31" t="inlineStr">
        <x:is>
          <x:t xml:space="preserve">P0</x:t>
        </x:is>
      </x:c>
      <x:c r="F279" s="39" t="inlineStr">
        <x:is>
          <x:t xml:space="preserve">2. CLAUDE DOES IT</x:t>
        </x:is>
      </x:c>
      <x:c r="G279" s="18" t="inlineStr">
        <x:is>
          <x:t xml:space="preserve">Anand</x:t>
        </x:is>
      </x:c>
      <x:c r="H279" s="18" t="inlineStr">
        <x:is>
          <x:t xml:space="preserve"/>
        </x:is>
      </x:c>
      <x:c r="I279" s="45" t="inlineStr">
        <x:is>
          <x:t xml:space="preserve">Claude (deck) + you</x:t>
        </x:is>
      </x:c>
      <x:c r="J279" s="52" t="inlineStr">
        <x:is>
          <x:t xml:space="preserve">$0</x:t>
        </x:is>
      </x:c>
      <x:c r="K279" s="83" t="inlineStr">
        <x:is>
          <x:t xml:space="preserve">Post-Resign</x:t>
        </x:is>
      </x:c>
      <x:c r="L279" s="44" t="inlineStr">
        <x:is>
          <x:t xml:space="preserve">Not started</x:t>
        </x:is>
      </x:c>
      <x:c r="M279" s="18" t="inlineStr">
        <x:is>
          <x:t xml:space="preserve"/>
        </x:is>
      </x:c>
    </x:row>
    <x:row r="280">
      <x:c r="A280" s="18" t="inlineStr">
        <x:is>
          <x:t xml:space="preserve">T267</x:t>
        </x:is>
      </x:c>
      <x:c r="B280" s="18" t="inlineStr">
        <x:is>
          <x:t xml:space="preserve">Sales</x:t>
        </x:is>
      </x:c>
      <x:c r="C280" s="18" t="inlineStr">
        <x:is>
          <x:t xml:space="preserve">Delta: design stretch-lane pilot SOW (Lane A: CTO modernization; Lane B: AI on-ramp)</x:t>
        </x:is>
      </x:c>
      <x:c r="D280" s="18" t="inlineStr">
        <x:is>
          <x:t xml:space="preserve">Two-track lets you sell to CTO today, scale to AI leader when they join.</x:t>
        </x:is>
      </x:c>
      <x:c r="E280" s="31" t="inlineStr">
        <x:is>
          <x:t xml:space="preserve">P0</x:t>
        </x:is>
      </x:c>
      <x:c r="F280" s="39" t="inlineStr">
        <x:is>
          <x:t xml:space="preserve">2. CLAUDE DOES IT</x:t>
        </x:is>
      </x:c>
      <x:c r="G280" s="18" t="inlineStr">
        <x:is>
          <x:t xml:space="preserve">Anand</x:t>
        </x:is>
      </x:c>
      <x:c r="H280" s="18" t="inlineStr">
        <x:is>
          <x:t xml:space="preserve"/>
        </x:is>
      </x:c>
      <x:c r="I280" s="45" t="inlineStr">
        <x:is>
          <x:t xml:space="preserve">Claude (draft) + lawyer</x:t>
        </x:is>
      </x:c>
      <x:c r="J280" s="52" t="inlineStr">
        <x:is>
          <x:t xml:space="preserve">$0</x:t>
        </x:is>
      </x:c>
      <x:c r="K280" s="83" t="inlineStr">
        <x:is>
          <x:t xml:space="preserve">Post-Resign</x:t>
        </x:is>
      </x:c>
      <x:c r="L280" s="44" t="inlineStr">
        <x:is>
          <x:t xml:space="preserve">Not started</x:t>
        </x:is>
      </x:c>
      <x:c r="M280" s="18" t="inlineStr">
        <x:is>
          <x:t xml:space="preserve"/>
        </x:is>
      </x:c>
    </x:row>
    <x:row r="281">
      <x:c r="A281" s="18" t="inlineStr">
        <x:is>
          <x:t xml:space="preserve">T273</x:t>
        </x:is>
      </x:c>
      <x:c r="B281" s="18" t="inlineStr">
        <x:is>
          <x:t xml:space="preserve">Sales</x:t>
        </x:is>
      </x:c>
      <x:c r="C281" s="18" t="inlineStr">
        <x:is>
          <x:t xml:space="preserve">Surekha: write 2-page '100-day framework for IT/data/innovation leaders' teaser</x:t>
        </x:is>
      </x:c>
      <x:c r="D281" s="18" t="inlineStr">
        <x:is>
          <x:t xml:space="preserve">Generic enough for reuse with future new-leader prospects. Specific enough to land with her.</x:t>
        </x:is>
      </x:c>
      <x:c r="E281" s="31" t="inlineStr">
        <x:is>
          <x:t xml:space="preserve">P0</x:t>
        </x:is>
      </x:c>
      <x:c r="F281" s="39" t="inlineStr">
        <x:is>
          <x:t xml:space="preserve">2. CLAUDE DOES IT</x:t>
        </x:is>
      </x:c>
      <x:c r="G281" s="18" t="inlineStr">
        <x:is>
          <x:t xml:space="preserve">Anand</x:t>
        </x:is>
      </x:c>
      <x:c r="H281" s="18" t="inlineStr">
        <x:is>
          <x:t xml:space="preserve"/>
        </x:is>
      </x:c>
      <x:c r="I281" s="45" t="inlineStr">
        <x:is>
          <x:t xml:space="preserve">Claude (draft) + you</x:t>
        </x:is>
      </x:c>
      <x:c r="J281" s="52" t="inlineStr">
        <x:is>
          <x:t xml:space="preserve">$0</x:t>
        </x:is>
      </x:c>
      <x:c r="K281" s="82" t="inlineStr">
        <x:is>
          <x:t xml:space="preserve">Pre-Resign</x:t>
        </x:is>
      </x:c>
      <x:c r="L281" s="44" t="inlineStr">
        <x:is>
          <x:t xml:space="preserve">Not started</x:t>
        </x:is>
      </x:c>
      <x:c r="M281" s="18" t="inlineStr">
        <x:is>
          <x:t xml:space="preserve"/>
        </x:is>
      </x:c>
    </x:row>
    <x:row r="282">
      <x:c r="A282" s="18" t="inlineStr">
        <x:is>
          <x:t xml:space="preserve">T274</x:t>
        </x:is>
      </x:c>
      <x:c r="B282" s="18" t="inlineStr">
        <x:is>
          <x:t xml:space="preserve">Sales</x:t>
        </x:is>
      </x:c>
      <x:c r="C282" s="18" t="inlineStr">
        <x:is>
          <x:t xml:space="preserve">Surekha: research Morgan Street Holdings — sector, revenue, recent news, board pressure</x:t>
        </x:is>
      </x:c>
      <x:c r="D282" s="18" t="inlineStr">
        <x:is>
          <x:t xml:space="preserve">Tailor the 100-day pitch to their specific business context. Don't go generic.</x:t>
        </x:is>
      </x:c>
      <x:c r="E282" s="31" t="inlineStr">
        <x:is>
          <x:t xml:space="preserve">P0</x:t>
        </x:is>
      </x:c>
      <x:c r="F282" s="39" t="inlineStr">
        <x:is>
          <x:t xml:space="preserve">2. CLAUDE DOES IT</x:t>
        </x:is>
      </x:c>
      <x:c r="G282" s="18" t="inlineStr">
        <x:is>
          <x:t xml:space="preserve">Anand</x:t>
        </x:is>
      </x:c>
      <x:c r="H282" s="18" t="inlineStr">
        <x:is>
          <x:t xml:space="preserve"/>
        </x:is>
      </x:c>
      <x:c r="I282" s="45" t="inlineStr">
        <x:is>
          <x:t xml:space="preserve">Claude (research)</x:t>
        </x:is>
      </x:c>
      <x:c r="J282" s="52" t="inlineStr">
        <x:is>
          <x:t xml:space="preserve">$0</x:t>
        </x:is>
      </x:c>
      <x:c r="K282" s="83" t="inlineStr">
        <x:is>
          <x:t xml:space="preserve">Post-Resign</x:t>
        </x:is>
      </x:c>
      <x:c r="L282" s="44" t="inlineStr">
        <x:is>
          <x:t xml:space="preserve">Not started</x:t>
        </x:is>
      </x:c>
      <x:c r="M282" s="18" t="inlineStr">
        <x:is>
          <x:t xml:space="preserve"/>
        </x:is>
      </x:c>
    </x:row>
    <x:row r="283">
      <x:c r="A283" s="18" t="inlineStr">
        <x:is>
          <x:t xml:space="preserve">T275</x:t>
        </x:is>
      </x:c>
      <x:c r="B283" s="18" t="inlineStr">
        <x:is>
          <x:t xml:space="preserve">Sales</x:t>
        </x:is>
      </x:c>
      <x:c r="C283" s="18" t="inlineStr">
        <x:is>
          <x:t xml:space="preserve">Surekha: prep candidate Move catalog (3-5 specific Moves for her function)</x:t>
        </x:is>
      </x:c>
      <x:c r="D283" s="18" t="inlineStr">
        <x:is>
          <x:t xml:space="preserve">After discovery call, walk into working session with 'here are 3-5 specific Moves we'd pilot.'</x:t>
        </x:is>
      </x:c>
      <x:c r="E283" s="31" t="inlineStr">
        <x:is>
          <x:t xml:space="preserve">P0</x:t>
        </x:is>
      </x:c>
      <x:c r="F283" s="39" t="inlineStr">
        <x:is>
          <x:t xml:space="preserve">2. CLAUDE DOES IT</x:t>
        </x:is>
      </x:c>
      <x:c r="G283" s="18" t="inlineStr">
        <x:is>
          <x:t xml:space="preserve">Anand</x:t>
        </x:is>
      </x:c>
      <x:c r="H283" s="18" t="inlineStr">
        <x:is>
          <x:t xml:space="preserve"/>
        </x:is>
      </x:c>
      <x:c r="I283" s="45" t="inlineStr">
        <x:is>
          <x:t xml:space="preserve">Claude (draft) + you</x:t>
        </x:is>
      </x:c>
      <x:c r="J283" s="52" t="inlineStr">
        <x:is>
          <x:t xml:space="preserve">$0</x:t>
        </x:is>
      </x:c>
      <x:c r="K283" s="82" t="inlineStr">
        <x:is>
          <x:t xml:space="preserve">Pre-Resign</x:t>
        </x:is>
      </x:c>
      <x:c r="L283" s="44" t="inlineStr">
        <x:is>
          <x:t xml:space="preserve">Not started</x:t>
        </x:is>
      </x:c>
      <x:c r="M283" s="18" t="inlineStr">
        <x:is>
          <x:t xml:space="preserve"/>
        </x:is>
      </x:c>
    </x:row>
    <x:row r="284">
      <x:c r="A284" s="18" t="inlineStr">
        <x:is>
          <x:t xml:space="preserve">T276</x:t>
        </x:is>
      </x:c>
      <x:c r="B284" s="18" t="inlineStr">
        <x:is>
          <x:t xml:space="preserve">Sales</x:t>
        </x:is>
      </x:c>
      <x:c r="C284" s="18" t="inlineStr">
        <x:is>
          <x:t xml:space="preserve">Surekha: build customized pilot SOW with her name on success criteria</x:t>
        </x:is>
      </x:c>
      <x:c r="D284" s="18" t="inlineStr">
        <x:is>
          <x:t xml:space="preserve">Day-30, day-60, day-90 milestones tied to HER first 100 days. Makes saying yes easy.</x:t>
        </x:is>
      </x:c>
      <x:c r="E284" s="31" t="inlineStr">
        <x:is>
          <x:t xml:space="preserve">P0</x:t>
        </x:is>
      </x:c>
      <x:c r="F284" s="39" t="inlineStr">
        <x:is>
          <x:t xml:space="preserve">2. CLAUDE DOES IT</x:t>
        </x:is>
      </x:c>
      <x:c r="G284" s="18" t="inlineStr">
        <x:is>
          <x:t xml:space="preserve">Anand</x:t>
        </x:is>
      </x:c>
      <x:c r="H284" s="18" t="inlineStr">
        <x:is>
          <x:t xml:space="preserve"/>
        </x:is>
      </x:c>
      <x:c r="I284" s="45" t="inlineStr">
        <x:is>
          <x:t xml:space="preserve">Claude (draft) + lawyer</x:t>
        </x:is>
      </x:c>
      <x:c r="J284" s="52" t="inlineStr">
        <x:is>
          <x:t xml:space="preserve">$0</x:t>
        </x:is>
      </x:c>
      <x:c r="K284" s="83" t="inlineStr">
        <x:is>
          <x:t xml:space="preserve">Post-Resign</x:t>
        </x:is>
      </x:c>
      <x:c r="L284" s="44" t="inlineStr">
        <x:is>
          <x:t xml:space="preserve">Not started</x:t>
        </x:is>
      </x:c>
      <x:c r="M284" s="18" t="inlineStr">
        <x:is>
          <x:t xml:space="preserve"/>
        </x:is>
      </x:c>
    </x:row>
    <x:row r="285">
      <x:c r="A285" s="18" t="inlineStr">
        <x:is>
          <x:t xml:space="preserve">T278</x:t>
        </x:is>
      </x:c>
      <x:c r="B285" s="18" t="inlineStr">
        <x:is>
          <x:t xml:space="preserve">Sales</x:t>
        </x:is>
      </x:c>
      <x:c r="C285" s="18" t="inlineStr">
        <x:is>
          <x:t xml:space="preserve">KK: research Delta's recent product/dev investments, vendor mix, modernization status</x:t>
        </x:is>
      </x:c>
      <x:c r="D285" s="18" t="inlineStr">
        <x:is>
          <x:t xml:space="preserve">$3B IT shop — public filings + tech press will surface a lot. Inform Play A vs Play B vs Play C selection.</x:t>
        </x:is>
      </x:c>
      <x:c r="E285" s="31" t="inlineStr">
        <x:is>
          <x:t xml:space="preserve">P0</x:t>
        </x:is>
      </x:c>
      <x:c r="F285" s="39" t="inlineStr">
        <x:is>
          <x:t xml:space="preserve">2. CLAUDE DOES IT</x:t>
        </x:is>
      </x:c>
      <x:c r="G285" s="18" t="inlineStr">
        <x:is>
          <x:t xml:space="preserve">Anand</x:t>
        </x:is>
      </x:c>
      <x:c r="H285" s="18" t="inlineStr">
        <x:is>
          <x:t xml:space="preserve"/>
        </x:is>
      </x:c>
      <x:c r="I285" s="45" t="inlineStr">
        <x:is>
          <x:t xml:space="preserve">Claude (research)</x:t>
        </x:is>
      </x:c>
      <x:c r="J285" s="52" t="inlineStr">
        <x:is>
          <x:t xml:space="preserve">$0</x:t>
        </x:is>
      </x:c>
      <x:c r="K285" s="82" t="inlineStr">
        <x:is>
          <x:t xml:space="preserve">Pre-Resign</x:t>
        </x:is>
      </x:c>
      <x:c r="L285" s="44" t="inlineStr">
        <x:is>
          <x:t xml:space="preserve">Not started</x:t>
        </x:is>
      </x:c>
      <x:c r="M285" s="18" t="inlineStr">
        <x:is>
          <x:t xml:space="preserve"/>
        </x:is>
      </x:c>
    </x:row>
    <x:row r="286">
      <x:c r="A286" s="18" t="inlineStr">
        <x:is>
          <x:t xml:space="preserve">T280</x:t>
        </x:is>
      </x:c>
      <x:c r="B286" s="18" t="inlineStr">
        <x:is>
          <x:t xml:space="preserve">Sales</x:t>
        </x:is>
      </x:c>
      <x:c r="C286" s="18" t="inlineStr">
        <x:is>
          <x:t xml:space="preserve">KK: design Lane A (CTO core) + Lane B (AI-dev measurement) pilot SOW</x:t>
        </x:is>
      </x:c>
      <x:c r="D286" s="18" t="inlineStr">
        <x:is>
          <x:t xml:space="preserve">Two-lane structure tests AbarVa's fit for AI-dev WITHOUT overpromising on methodology.</x:t>
        </x:is>
      </x:c>
      <x:c r="E286" s="31" t="inlineStr">
        <x:is>
          <x:t xml:space="preserve">P0</x:t>
        </x:is>
      </x:c>
      <x:c r="F286" s="39" t="inlineStr">
        <x:is>
          <x:t xml:space="preserve">2. CLAUDE DOES IT</x:t>
        </x:is>
      </x:c>
      <x:c r="G286" s="18" t="inlineStr">
        <x:is>
          <x:t xml:space="preserve">Anand</x:t>
        </x:is>
      </x:c>
      <x:c r="H286" s="18" t="inlineStr">
        <x:is>
          <x:t xml:space="preserve"/>
        </x:is>
      </x:c>
      <x:c r="I286" s="45" t="inlineStr">
        <x:is>
          <x:t xml:space="preserve">Claude (draft) + lawyer</x:t>
        </x:is>
      </x:c>
      <x:c r="J286" s="52" t="inlineStr">
        <x:is>
          <x:t xml:space="preserve">$0</x:t>
        </x:is>
      </x:c>
      <x:c r="K286" s="83" t="inlineStr">
        <x:is>
          <x:t xml:space="preserve">Post-Resign</x:t>
        </x:is>
      </x:c>
      <x:c r="L286" s="44" t="inlineStr">
        <x:is>
          <x:t xml:space="preserve">Not started</x:t>
        </x:is>
      </x:c>
      <x:c r="M286" s="18" t="inlineStr">
        <x:is>
          <x:t xml:space="preserve"/>
        </x:is>
      </x:c>
    </x:row>
    <x:row r="287">
      <x:c r="A287" s="18" t="inlineStr">
        <x:is>
          <x:t xml:space="preserve">T285</x:t>
        </x:is>
      </x:c>
      <x:c r="B287" s="18" t="inlineStr">
        <x:is>
          <x:t xml:space="preserve">Sales</x:t>
        </x:is>
      </x:c>
      <x:c r="C287" s="18" t="inlineStr">
        <x:is>
          <x:t xml:space="preserve">PHS: Day 2-3 — Load PHS-style synthetic healthcare data into their tenant; customize Move catalog</x:t>
        </x:is>
      </x:c>
      <x:c r="D287" s="18" t="inlineStr">
        <x:is>
          <x:t xml:space="preserve">Show them THEIR view, not Apex/Meridian. Use existing fixtures scaled to PHS revenue/size.</x:t>
        </x:is>
      </x:c>
      <x:c r="E287" s="31" t="inlineStr">
        <x:is>
          <x:t xml:space="preserve">P0</x:t>
        </x:is>
      </x:c>
      <x:c r="F287" s="39" t="inlineStr">
        <x:is>
          <x:t xml:space="preserve">2. CLAUDE DOES IT</x:t>
        </x:is>
      </x:c>
      <x:c r="G287" s="18" t="inlineStr">
        <x:is>
          <x:t xml:space="preserve">Anand</x:t>
        </x:is>
      </x:c>
      <x:c r="H287" s="18" t="inlineStr">
        <x:is>
          <x:t xml:space="preserve"/>
        </x:is>
      </x:c>
      <x:c r="I287" s="45" t="inlineStr">
        <x:is>
          <x:t xml:space="preserve">Claude (code+data)</x:t>
        </x:is>
      </x:c>
      <x:c r="J287" s="52" t="inlineStr">
        <x:is>
          <x:t xml:space="preserve">$0</x:t>
        </x:is>
      </x:c>
      <x:c r="K287" s="83" t="inlineStr">
        <x:is>
          <x:t xml:space="preserve">Post-Resign</x:t>
        </x:is>
      </x:c>
      <x:c r="L287" s="44" t="inlineStr">
        <x:is>
          <x:t xml:space="preserve">Not started</x:t>
        </x:is>
      </x:c>
      <x:c r="M287" s="18" t="inlineStr">
        <x:is>
          <x:t xml:space="preserve"/>
        </x:is>
      </x:c>
    </x:row>
    <x:row r="288">
      <x:c r="A288" s="18" t="inlineStr">
        <x:is>
          <x:t xml:space="preserve">T288</x:t>
        </x:is>
      </x:c>
      <x:c r="B288" s="18" t="inlineStr">
        <x:is>
          <x:t xml:space="preserve">Sales</x:t>
        </x:is>
      </x:c>
      <x:c r="C288" s="18" t="inlineStr">
        <x:is>
          <x:t xml:space="preserve">PHS: Day 5-7 — Draft pilot SOW tailored to PHS with success criteria + Source add-on</x:t>
        </x:is>
      </x:c>
      <x:c r="D288" s="18" t="inlineStr">
        <x:is>
          <x:t xml:space="preserve">Customized SOW, not template. Their success criteria, their KPIs.</x:t>
        </x:is>
      </x:c>
      <x:c r="E288" s="31" t="inlineStr">
        <x:is>
          <x:t xml:space="preserve">P0</x:t>
        </x:is>
      </x:c>
      <x:c r="F288" s="39" t="inlineStr">
        <x:is>
          <x:t xml:space="preserve">2. CLAUDE DOES IT</x:t>
        </x:is>
      </x:c>
      <x:c r="G288" s="18" t="inlineStr">
        <x:is>
          <x:t xml:space="preserve">Anand</x:t>
        </x:is>
      </x:c>
      <x:c r="H288" s="18" t="inlineStr">
        <x:is>
          <x:t xml:space="preserve"/>
        </x:is>
      </x:c>
      <x:c r="I288" s="45" t="inlineStr">
        <x:is>
          <x:t xml:space="preserve">Claude (draft) + you</x:t>
        </x:is>
      </x:c>
      <x:c r="J288" s="52" t="inlineStr">
        <x:is>
          <x:t xml:space="preserve">$0</x:t>
        </x:is>
      </x:c>
      <x:c r="K288" s="83" t="inlineStr">
        <x:is>
          <x:t xml:space="preserve">Post-Resign</x:t>
        </x:is>
      </x:c>
      <x:c r="L288" s="44" t="inlineStr">
        <x:is>
          <x:t xml:space="preserve">Not started</x:t>
        </x:is>
      </x:c>
      <x:c r="M288" s="18" t="inlineStr">
        <x:is>
          <x:t xml:space="preserve"/>
        </x:is>
      </x:c>
    </x:row>
    <x:row r="289">
      <x:c r="A289" s="18" t="inlineStr">
        <x:is>
          <x:t xml:space="preserve">T290</x:t>
        </x:is>
      </x:c>
      <x:c r="B289" s="18" t="inlineStr">
        <x:is>
          <x:t xml:space="preserve">Sales</x:t>
        </x:is>
      </x:c>
      <x:c r="C289" s="18" t="inlineStr">
        <x:is>
          <x:t xml:space="preserve">PHS: Day 10-12 — Schedule decision meeting + pre-handle legal/procurement</x:t>
        </x:is>
      </x:c>
      <x:c r="D289" s="18" t="inlineStr">
        <x:is>
          <x:t xml:space="preserve">Bring SOC 2 status, insurance certs, architecture diagram. Reduce friction.</x:t>
        </x:is>
      </x:c>
      <x:c r="E289" s="31" t="inlineStr">
        <x:is>
          <x:t xml:space="preserve">P0</x:t>
        </x:is>
      </x:c>
      <x:c r="F289" s="39" t="inlineStr">
        <x:is>
          <x:t xml:space="preserve">2. CLAUDE DOES IT</x:t>
        </x:is>
      </x:c>
      <x:c r="G289" s="18" t="inlineStr">
        <x:is>
          <x:t xml:space="preserve">Anand</x:t>
        </x:is>
      </x:c>
      <x:c r="H289" s="18" t="inlineStr">
        <x:is>
          <x:t xml:space="preserve"/>
        </x:is>
      </x:c>
      <x:c r="I289" s="45" t="inlineStr">
        <x:is>
          <x:t xml:space="preserve">Claude (prep) + you</x:t>
        </x:is>
      </x:c>
      <x:c r="J289" s="52" t="inlineStr">
        <x:is>
          <x:t xml:space="preserve">$0</x:t>
        </x:is>
      </x:c>
      <x:c r="K289" s="83" t="inlineStr">
        <x:is>
          <x:t xml:space="preserve">Post-Resign</x:t>
        </x:is>
      </x:c>
      <x:c r="L289" s="44" t="inlineStr">
        <x:is>
          <x:t xml:space="preserve">Not started</x:t>
        </x:is>
      </x:c>
      <x:c r="M289" s="18" t="inlineStr">
        <x:is>
          <x:t xml:space="preserve"/>
        </x:is>
      </x:c>
    </x:row>
    <x:row r="290">
      <x:c r="A290" s="18" t="inlineStr">
        <x:is>
          <x:t xml:space="preserve">T294</x:t>
        </x:is>
      </x:c>
      <x:c r="B290" s="18" t="inlineStr">
        <x:is>
          <x:t xml:space="preserve">Sales</x:t>
        </x:is>
      </x:c>
      <x:c r="C290" s="18" t="inlineStr">
        <x:is>
          <x:t xml:space="preserve">KK: Day 3-4 — Pivot or proceed: if no corpus, reposition AbarVa as governance/measurement layer</x:t>
        </x:is>
      </x:c>
      <x:c r="D290" s="18" t="inlineStr">
        <x:is>
          <x:t xml:space="preserve">Honest reframe: 'Copilot/Cursor own methodology. AbarVa is the layer ABOVE — what to do with it, measure it, govern it.'</x:t>
        </x:is>
      </x:c>
      <x:c r="E290" s="31" t="inlineStr">
        <x:is>
          <x:t xml:space="preserve">P0</x:t>
        </x:is>
      </x:c>
      <x:c r="F290" s="39" t="inlineStr">
        <x:is>
          <x:t xml:space="preserve">2. CLAUDE DOES IT</x:t>
        </x:is>
      </x:c>
      <x:c r="G290" s="18" t="inlineStr">
        <x:is>
          <x:t xml:space="preserve">Anand</x:t>
        </x:is>
      </x:c>
      <x:c r="H290" s="18" t="inlineStr">
        <x:is>
          <x:t xml:space="preserve"/>
        </x:is>
      </x:c>
      <x:c r="I290" s="45" t="inlineStr">
        <x:is>
          <x:t xml:space="preserve">Claude (deck) + you</x:t>
        </x:is>
      </x:c>
      <x:c r="J290" s="52" t="inlineStr">
        <x:is>
          <x:t xml:space="preserve">$0</x:t>
        </x:is>
      </x:c>
      <x:c r="K290" s="83" t="inlineStr">
        <x:is>
          <x:t xml:space="preserve">Post-Resign</x:t>
        </x:is>
      </x:c>
      <x:c r="L290" s="44" t="inlineStr">
        <x:is>
          <x:t xml:space="preserve">Not started</x:t>
        </x:is>
      </x:c>
      <x:c r="M290" s="18" t="inlineStr">
        <x:is>
          <x:t xml:space="preserve"/>
        </x:is>
      </x:c>
    </x:row>
    <x:row r="291">
      <x:c r="A291" s="18" t="inlineStr">
        <x:is>
          <x:t xml:space="preserve">T296</x:t>
        </x:is>
      </x:c>
      <x:c r="B291" s="18" t="inlineStr">
        <x:is>
          <x:t xml:space="preserve">Sales</x:t>
        </x:is>
      </x:c>
      <x:c r="C291" s="18" t="inlineStr">
        <x:is>
          <x:t xml:space="preserve">KK: Day 5-7 — If green: draft Lane A + Lane B SOW. If red: define 'what would need to be true'</x:t>
        </x:is>
      </x:c>
      <x:c r="D291" s="18" t="inlineStr">
        <x:is>
          <x:t xml:space="preserve">Don't drag a non-fit. Clean go/no-go preserves relationship for future.</x:t>
        </x:is>
      </x:c>
      <x:c r="E291" s="31" t="inlineStr">
        <x:is>
          <x:t xml:space="preserve">P0</x:t>
        </x:is>
      </x:c>
      <x:c r="F291" s="39" t="inlineStr">
        <x:is>
          <x:t xml:space="preserve">2. CLAUDE DOES IT</x:t>
        </x:is>
      </x:c>
      <x:c r="G291" s="18" t="inlineStr">
        <x:is>
          <x:t xml:space="preserve">Anand</x:t>
        </x:is>
      </x:c>
      <x:c r="H291" s="18" t="inlineStr">
        <x:is>
          <x:t xml:space="preserve"/>
        </x:is>
      </x:c>
      <x:c r="I291" s="45" t="inlineStr">
        <x:is>
          <x:t xml:space="preserve">Claude (draft) + you</x:t>
        </x:is>
      </x:c>
      <x:c r="J291" s="52" t="inlineStr">
        <x:is>
          <x:t xml:space="preserve">$0</x:t>
        </x:is>
      </x:c>
      <x:c r="K291" s="82" t="inlineStr">
        <x:is>
          <x:t xml:space="preserve">Pre-Resign</x:t>
        </x:is>
      </x:c>
      <x:c r="L291" s="44" t="inlineStr">
        <x:is>
          <x:t xml:space="preserve">Not started</x:t>
        </x:is>
      </x:c>
      <x:c r="M291" s="18" t="inlineStr">
        <x:is>
          <x:t xml:space="preserve"/>
        </x:is>
      </x:c>
    </x:row>
    <x:row r="292">
      <x:c r="A292" s="18" t="inlineStr">
        <x:is>
          <x:t xml:space="preserve">T269</x:t>
        </x:is>
      </x:c>
      <x:c r="B292" s="18" t="inlineStr">
        <x:is>
          <x:t xml:space="preserve">Sales</x:t>
        </x:is>
      </x:c>
      <x:c r="C292" s="18" t="inlineStr">
        <x:is>
          <x:t xml:space="preserve">Universal playbook: 'no AI leader ready' play — modernization OS + Source as wedge</x:t>
        </x:is>
      </x:c>
      <x:c r="D292" s="18" t="inlineStr">
        <x:is>
          <x:t xml:space="preserve">Codify multi-buyer pattern beyond Delta. Many F500 don't have dedicated AI leader.</x:t>
        </x:is>
      </x:c>
      <x:c r="E292" s="32" t="inlineStr">
        <x:is>
          <x:t xml:space="preserve">P1</x:t>
        </x:is>
      </x:c>
      <x:c r="F292" s="39" t="inlineStr">
        <x:is>
          <x:t xml:space="preserve">2. CLAUDE DOES IT</x:t>
        </x:is>
      </x:c>
      <x:c r="G292" s="18" t="inlineStr">
        <x:is>
          <x:t xml:space="preserve">Anand</x:t>
        </x:is>
      </x:c>
      <x:c r="H292" s="18" t="inlineStr">
        <x:is>
          <x:t xml:space="preserve"/>
        </x:is>
      </x:c>
      <x:c r="I292" s="45" t="inlineStr">
        <x:is>
          <x:t xml:space="preserve">Claude (draft) + you</x:t>
        </x:is>
      </x:c>
      <x:c r="J292" s="52" t="inlineStr">
        <x:is>
          <x:t xml:space="preserve">$0</x:t>
        </x:is>
      </x:c>
      <x:c r="K292" s="83" t="inlineStr">
        <x:is>
          <x:t xml:space="preserve">Post-Resign</x:t>
        </x:is>
      </x:c>
      <x:c r="L292" s="44" t="inlineStr">
        <x:is>
          <x:t xml:space="preserve">Not started</x:t>
        </x:is>
      </x:c>
      <x:c r="M292" s="18" t="inlineStr">
        <x:is>
          <x:t xml:space="preserve"/>
        </x:is>
      </x:c>
    </x:row>
    <x:row r="293">
      <x:c r="A293" s="18" t="inlineStr">
        <x:is>
          <x:t xml:space="preserve">T277</x:t>
        </x:is>
      </x:c>
      <x:c r="B293" s="18" t="inlineStr">
        <x:is>
          <x:t xml:space="preserve">Sales</x:t>
        </x:is>
      </x:c>
      <x:c r="C293" s="18" t="inlineStr">
        <x:is>
          <x:t xml:space="preserve">Universal: codify 'new leader' play in sales playbook (highest-value archetype)</x:t>
        </x:is>
      </x:c>
      <x:c r="D293" s="18" t="inlineStr">
        <x:is>
          <x:t xml:space="preserve">Surekha-type prospects are AbarVa's strongest fit. Repeat the play with every new-CXO opportunity.</x:t>
        </x:is>
      </x:c>
      <x:c r="E293" s="32" t="inlineStr">
        <x:is>
          <x:t xml:space="preserve">P1</x:t>
        </x:is>
      </x:c>
      <x:c r="F293" s="39" t="inlineStr">
        <x:is>
          <x:t xml:space="preserve">2. CLAUDE DOES IT</x:t>
        </x:is>
      </x:c>
      <x:c r="G293" s="18" t="inlineStr">
        <x:is>
          <x:t xml:space="preserve">Anand</x:t>
        </x:is>
      </x:c>
      <x:c r="H293" s="18" t="inlineStr">
        <x:is>
          <x:t xml:space="preserve"/>
        </x:is>
      </x:c>
      <x:c r="I293" s="45" t="inlineStr">
        <x:is>
          <x:t xml:space="preserve">Claude (draft) + you</x:t>
        </x:is>
      </x:c>
      <x:c r="J293" s="52" t="inlineStr">
        <x:is>
          <x:t xml:space="preserve">$0</x:t>
        </x:is>
      </x:c>
      <x:c r="K293" s="83" t="inlineStr">
        <x:is>
          <x:t xml:space="preserve">Post-Resign</x:t>
        </x:is>
      </x:c>
      <x:c r="L293" s="44" t="inlineStr">
        <x:is>
          <x:t xml:space="preserve">Not started</x:t>
        </x:is>
      </x:c>
      <x:c r="M293" s="18" t="inlineStr">
        <x:is>
          <x:t xml:space="preserve"/>
        </x:is>
      </x:c>
    </x:row>
    <x:row r="294">
      <x:c r="A294" s="18" t="inlineStr">
        <x:is>
          <x:t xml:space="preserve">T301</x:t>
        </x:is>
      </x:c>
      <x:c r="B294" s="18" t="inlineStr">
        <x:is>
          <x:t xml:space="preserve">Sales</x:t>
        </x:is>
      </x:c>
      <x:c r="C294" s="18" t="inlineStr">
        <x:is>
          <x:t xml:space="preserve">Surekha: Week 2-3 — Share 1 thoughtful value piece (industry insight or framework)</x:t>
        </x:is>
      </x:c>
      <x:c r="D294" s="18" t="inlineStr">
        <x:is>
          <x:t xml:space="preserve">Value, not sales. Builds your credibility before she's empowered to buy.</x:t>
        </x:is>
      </x:c>
      <x:c r="E294" s="32" t="inlineStr">
        <x:is>
          <x:t xml:space="preserve">P1</x:t>
        </x:is>
      </x:c>
      <x:c r="F294" s="39" t="inlineStr">
        <x:is>
          <x:t xml:space="preserve">2. CLAUDE DOES IT</x:t>
        </x:is>
      </x:c>
      <x:c r="G294" s="18" t="inlineStr">
        <x:is>
          <x:t xml:space="preserve">Anand</x:t>
        </x:is>
      </x:c>
      <x:c r="H294" s="18" t="inlineStr">
        <x:is>
          <x:t xml:space="preserve"/>
        </x:is>
      </x:c>
      <x:c r="I294" s="45" t="inlineStr">
        <x:is>
          <x:t xml:space="preserve">Claude (content) + you</x:t>
        </x:is>
      </x:c>
      <x:c r="J294" s="52" t="inlineStr">
        <x:is>
          <x:t xml:space="preserve">$0</x:t>
        </x:is>
      </x:c>
      <x:c r="K294" s="83" t="inlineStr">
        <x:is>
          <x:t xml:space="preserve">Post-Resign</x:t>
        </x:is>
      </x:c>
      <x:c r="L294" s="44" t="inlineStr">
        <x:is>
          <x:t xml:space="preserve">Not started</x:t>
        </x:is>
      </x:c>
      <x:c r="M294" s="18" t="inlineStr">
        <x:is>
          <x:t xml:space="preserve"/>
        </x:is>
      </x:c>
    </x:row>
    <x:row r="295">
      <x:c r="A295" s="18" t="inlineStr">
        <x:is>
          <x:t xml:space="preserve">T302</x:t>
        </x:is>
      </x:c>
      <x:c r="B295" s="18" t="inlineStr">
        <x:is>
          <x:t xml:space="preserve">Sales</x:t>
        </x:is>
      </x:c>
      <x:c r="C295" s="18" t="inlineStr">
        <x:is>
          <x:t xml:space="preserve">Surekha: Week 4-5 — Reference a peer success or relevant case</x:t>
        </x:is>
      </x:c>
      <x:c r="D295" s="18" t="inlineStr">
        <x:is>
          <x:t xml:space="preserve">Keep warm. Don't over-touch.</x:t>
        </x:is>
      </x:c>
      <x:c r="E295" s="32" t="inlineStr">
        <x:is>
          <x:t xml:space="preserve">P1</x:t>
        </x:is>
      </x:c>
      <x:c r="F295" s="39" t="inlineStr">
        <x:is>
          <x:t xml:space="preserve">2. CLAUDE DOES IT</x:t>
        </x:is>
      </x:c>
      <x:c r="G295" s="18" t="inlineStr">
        <x:is>
          <x:t xml:space="preserve">Anand</x:t>
        </x:is>
      </x:c>
      <x:c r="H295" s="18" t="inlineStr">
        <x:is>
          <x:t xml:space="preserve"/>
        </x:is>
      </x:c>
      <x:c r="I295" s="45" t="inlineStr">
        <x:is>
          <x:t xml:space="preserve">Claude (content) + you</x:t>
        </x:is>
      </x:c>
      <x:c r="J295" s="52" t="inlineStr">
        <x:is>
          <x:t xml:space="preserve">$0</x:t>
        </x:is>
      </x:c>
      <x:c r="K295" s="83" t="inlineStr">
        <x:is>
          <x:t xml:space="preserve">Post-Resign</x:t>
        </x:is>
      </x:c>
      <x:c r="L295" s="44" t="inlineStr">
        <x:is>
          <x:t xml:space="preserve">Not started</x:t>
        </x:is>
      </x:c>
      <x:c r="M295" s="18" t="inlineStr">
        <x:is>
          <x:t xml:space="preserve"/>
        </x:is>
      </x:c>
    </x:row>
    <x:row r="296">
      <x:c r="A296" s="18" t="inlineStr">
        <x:is>
          <x:t xml:space="preserve">T252</x:t>
        </x:is>
      </x:c>
      <x:c r="B296" s="18" t="inlineStr">
        <x:is>
          <x:t xml:space="preserve">Sales</x:t>
        </x:is>
      </x:c>
      <x:c r="C296" s="18" t="inlineStr">
        <x:is>
          <x:t xml:space="preserve">Build PHS business case (using Business Case sheet template)</x:t>
        </x:is>
      </x:c>
      <x:c r="D296" s="18" t="inlineStr">
        <x:is>
          <x:t xml:space="preserve">Per-prospect: profile, pain/outcome, ROI math, success criteria, CXO narrative. Use Business Case sheet.</x:t>
        </x:is>
      </x:c>
      <x:c r="E296" s="31" t="inlineStr">
        <x:is>
          <x:t xml:space="preserve">P0</x:t>
        </x:is>
      </x:c>
      <x:c r="F296" s="40" t="inlineStr">
        <x:is>
          <x:t xml:space="preserve">3. CLAUDE + YOU</x:t>
        </x:is>
      </x:c>
      <x:c r="G296" s="18" t="inlineStr">
        <x:is>
          <x:t xml:space="preserve">Anand</x:t>
        </x:is>
      </x:c>
      <x:c r="H296" s="18" t="inlineStr">
        <x:is>
          <x:t xml:space="preserve"/>
        </x:is>
      </x:c>
      <x:c r="I296" s="47" t="inlineStr">
        <x:is>
          <x:t xml:space="preserve">Claude + you</x:t>
        </x:is>
      </x:c>
      <x:c r="J296" s="52" t="inlineStr">
        <x:is>
          <x:t xml:space="preserve">$0</x:t>
        </x:is>
      </x:c>
      <x:c r="K296" s="82" t="inlineStr">
        <x:is>
          <x:t xml:space="preserve">Pre-Resign</x:t>
        </x:is>
      </x:c>
      <x:c r="L296" s="44" t="inlineStr">
        <x:is>
          <x:t xml:space="preserve">Not started</x:t>
        </x:is>
      </x:c>
      <x:c r="M296" s="18" t="inlineStr">
        <x:is>
          <x:t xml:space="preserve"/>
        </x:is>
      </x:c>
    </x:row>
    <x:row r="297">
      <x:c r="A297" s="18" t="inlineStr">
        <x:is>
          <x:t xml:space="preserve">T255</x:t>
        </x:is>
      </x:c>
      <x:c r="B297" s="18" t="inlineStr">
        <x:is>
          <x:t xml:space="preserve">Sales</x:t>
        </x:is>
      </x:c>
      <x:c r="C297" s="18" t="inlineStr">
        <x:is>
          <x:t xml:space="preserve">Build customized ROI worksheet for PHS using their actuals</x:t>
        </x:is>
      </x:c>
      <x:c r="D297" s="18" t="inlineStr">
        <x:is>
          <x:t xml:space="preserve">Take Business Case ROI section, plug in PHS revenue/denial-rate/budget. Defendable numbers, not generic.</x:t>
        </x:is>
      </x:c>
      <x:c r="E297" s="31" t="inlineStr">
        <x:is>
          <x:t xml:space="preserve">P0</x:t>
        </x:is>
      </x:c>
      <x:c r="F297" s="40" t="inlineStr">
        <x:is>
          <x:t xml:space="preserve">3. CLAUDE + YOU</x:t>
        </x:is>
      </x:c>
      <x:c r="G297" s="18" t="inlineStr">
        <x:is>
          <x:t xml:space="preserve">Anand</x:t>
        </x:is>
      </x:c>
      <x:c r="H297" s="18" t="inlineStr">
        <x:is>
          <x:t xml:space="preserve"/>
        </x:is>
      </x:c>
      <x:c r="I297" s="47" t="inlineStr">
        <x:is>
          <x:t xml:space="preserve">Claude + you</x:t>
        </x:is>
      </x:c>
      <x:c r="J297" s="52" t="inlineStr">
        <x:is>
          <x:t xml:space="preserve">$0</x:t>
        </x:is>
      </x:c>
      <x:c r="K297" s="82" t="inlineStr">
        <x:is>
          <x:t xml:space="preserve">Pre-Resign</x:t>
        </x:is>
      </x:c>
      <x:c r="L297" s="44" t="inlineStr">
        <x:is>
          <x:t xml:space="preserve">Not started</x:t>
        </x:is>
      </x:c>
      <x:c r="M297" s="18" t="inlineStr">
        <x:is>
          <x:t xml:space="preserve"/>
        </x:is>
      </x:c>
    </x:row>
    <x:row r="298">
      <x:c r="A298" s="18" t="inlineStr">
        <x:is>
          <x:t xml:space="preserve">T258</x:t>
        </x:is>
      </x:c>
      <x:c r="B298" s="18" t="inlineStr">
        <x:is>
          <x:t xml:space="preserve">Sales</x:t>
        </x:is>
      </x:c>
      <x:c r="C298" s="18" t="inlineStr">
        <x:is>
          <x:t xml:space="preserve">Build the same business case for 2 backup prospects (don't bet on one client)</x:t>
        </x:is>
      </x:c>
      <x:c r="D298" s="18" t="inlineStr">
        <x:is>
          <x:t xml:space="preserve">If PHS slips, you need parallel pipeline. Same template, different prospects.</x:t>
        </x:is>
      </x:c>
      <x:c r="E298" s="32" t="inlineStr">
        <x:is>
          <x:t xml:space="preserve">P1</x:t>
        </x:is>
      </x:c>
      <x:c r="F298" s="40" t="inlineStr">
        <x:is>
          <x:t xml:space="preserve">3. CLAUDE + YOU</x:t>
        </x:is>
      </x:c>
      <x:c r="G298" s="18" t="inlineStr">
        <x:is>
          <x:t xml:space="preserve">Anand</x:t>
        </x:is>
      </x:c>
      <x:c r="H298" s="18" t="inlineStr">
        <x:is>
          <x:t xml:space="preserve"/>
        </x:is>
      </x:c>
      <x:c r="I298" s="47" t="inlineStr">
        <x:is>
          <x:t xml:space="preserve">Claude + you</x:t>
        </x:is>
      </x:c>
      <x:c r="J298" s="52" t="inlineStr">
        <x:is>
          <x:t xml:space="preserve">$0</x:t>
        </x:is>
      </x:c>
      <x:c r="K298" s="82" t="inlineStr">
        <x:is>
          <x:t xml:space="preserve">Pre-Resign</x:t>
        </x:is>
      </x:c>
      <x:c r="L298" s="44" t="inlineStr">
        <x:is>
          <x:t xml:space="preserve">Not started</x:t>
        </x:is>
      </x:c>
      <x:c r="M298" s="18" t="inlineStr">
        <x:is>
          <x:t xml:space="preserve"/>
        </x:is>
      </x:c>
    </x:row>
    <x:row r="299">
      <x:c r="A299" s="18" t="inlineStr">
        <x:is>
          <x:t xml:space="preserve">T264</x:t>
        </x:is>
      </x:c>
      <x:c r="B299" s="18" t="inlineStr">
        <x:is>
          <x:t xml:space="preserve">Sales</x:t>
        </x:is>
      </x:c>
      <x:c r="C299" s="18" t="inlineStr">
        <x:is>
          <x:t xml:space="preserve">PHS: design joint pitch (CDAO + IT sourcing colleague) for shared CFO</x:t>
        </x:is>
      </x:c>
      <x:c r="D299" s="18" t="inlineStr">
        <x:is>
          <x:t xml:space="preserve">Combined budget easier than separate. Both leaders win.</x:t>
        </x:is>
      </x:c>
      <x:c r="E299" s="32" t="inlineStr">
        <x:is>
          <x:t xml:space="preserve">P1</x:t>
        </x:is>
      </x:c>
      <x:c r="F299" s="40" t="inlineStr">
        <x:is>
          <x:t xml:space="preserve">3. CLAUDE + YOU</x:t>
        </x:is>
      </x:c>
      <x:c r="G299" s="18" t="inlineStr">
        <x:is>
          <x:t xml:space="preserve">Anand</x:t>
        </x:is>
      </x:c>
      <x:c r="H299" s="18" t="inlineStr">
        <x:is>
          <x:t xml:space="preserve"/>
        </x:is>
      </x:c>
      <x:c r="I299" s="47" t="inlineStr">
        <x:is>
          <x:t xml:space="preserve">Claude + you</x:t>
        </x:is>
      </x:c>
      <x:c r="J299" s="52" t="inlineStr">
        <x:is>
          <x:t xml:space="preserve">$0</x:t>
        </x:is>
      </x:c>
      <x:c r="K299" s="83" t="inlineStr">
        <x:is>
          <x:t xml:space="preserve">Post-Resign</x:t>
        </x:is>
      </x:c>
      <x:c r="L299" s="44" t="inlineStr">
        <x:is>
          <x:t xml:space="preserve">Not started</x:t>
        </x:is>
      </x:c>
      <x:c r="M299" s="18" t="inlineStr">
        <x:is>
          <x:t xml:space="preserve"/>
        </x:is>
      </x:c>
    </x:row>
    <x:row r="300">
      <x:c r="A300" s="18" t="inlineStr">
        <x:is>
          <x:t xml:space="preserve">T063</x:t>
        </x:is>
      </x:c>
      <x:c r="B300" s="18" t="inlineStr">
        <x:is>
          <x:t xml:space="preserve">Sales</x:t>
        </x:is>
      </x:c>
      <x:c r="C300" s="18" t="inlineStr">
        <x:is>
          <x:t xml:space="preserve">Identify and rank top 3 pilot candidates</x:t>
        </x:is>
      </x:c>
      <x:c r="D300" s="18" t="inlineStr">
        <x:is>
          <x:t xml:space="preserve">Who are you actually talking to? Apex/Meridian/FirstCapital or real F500s?</x:t>
        </x:is>
      </x:c>
      <x:c r="E300" s="31" t="inlineStr">
        <x:is>
          <x:t xml:space="preserve">P0</x:t>
        </x:is>
      </x:c>
      <x:c r="F300" s="42" t="inlineStr">
        <x:is>
          <x:t xml:space="preserve">5. EXTERNAL</x:t>
        </x:is>
      </x:c>
      <x:c r="G300" s="18" t="inlineStr">
        <x:is>
          <x:t xml:space="preserve">Anand</x:t>
        </x:is>
      </x:c>
      <x:c r="H300" s="18" t="inlineStr">
        <x:is>
          <x:t xml:space="preserve"/>
        </x:is>
      </x:c>
      <x:c r="I300" s="48" t="inlineStr">
        <x:is>
          <x:t xml:space="preserve">You only</x:t>
        </x:is>
      </x:c>
      <x:c r="J300" s="52" t="inlineStr">
        <x:is>
          <x:t xml:space="preserve">$0</x:t>
        </x:is>
      </x:c>
      <x:c r="K300" s="82" t="inlineStr">
        <x:is>
          <x:t xml:space="preserve">Pre-Resign</x:t>
        </x:is>
      </x:c>
      <x:c r="L300" s="44" t="inlineStr">
        <x:is>
          <x:t xml:space="preserve">Not started</x:t>
        </x:is>
      </x:c>
      <x:c r="M300" s="18" t="inlineStr">
        <x:is>
          <x:t xml:space="preserve"/>
        </x:is>
      </x:c>
    </x:row>
    <x:row r="301">
      <x:c r="A301" s="18" t="inlineStr">
        <x:is>
          <x:t xml:space="preserve">T254</x:t>
        </x:is>
      </x:c>
      <x:c r="B301" s="18" t="inlineStr">
        <x:is>
          <x:t xml:space="preserve">Sales</x:t>
        </x:is>
      </x:c>
      <x:c r="C301" s="18" t="inlineStr">
        <x:is>
          <x:t xml:space="preserve">Discovery call: validate CDAO budget authority + pain priority + AI strategy pressure</x:t>
        </x:is>
      </x:c>
      <x:c r="D301" s="18" t="inlineStr">
        <x:is>
          <x:t xml:space="preserve">30-min call before any proposal. Confirm: 'Can you authorize $300k?' + 'What's your #1 board pressure on AI?' + 'Top 3 levers you care most about?'</x:t>
        </x:is>
      </x:c>
      <x:c r="E301" s="31" t="inlineStr">
        <x:is>
          <x:t xml:space="preserve">P0</x:t>
        </x:is>
      </x:c>
      <x:c r="F301" s="42" t="inlineStr">
        <x:is>
          <x:t xml:space="preserve">5. EXTERNAL</x:t>
        </x:is>
      </x:c>
      <x:c r="G301" s="18" t="inlineStr">
        <x:is>
          <x:t xml:space="preserve">Anand</x:t>
        </x:is>
      </x:c>
      <x:c r="H301" s="18" t="inlineStr">
        <x:is>
          <x:t xml:space="preserve"/>
        </x:is>
      </x:c>
      <x:c r="I301" s="48" t="inlineStr">
        <x:is>
          <x:t xml:space="preserve">You only</x:t>
        </x:is>
      </x:c>
      <x:c r="J301" s="52" t="inlineStr">
        <x:is>
          <x:t xml:space="preserve">$0</x:t>
        </x:is>
      </x:c>
      <x:c r="K301" s="83" t="inlineStr">
        <x:is>
          <x:t xml:space="preserve">Post-Resign</x:t>
        </x:is>
      </x:c>
      <x:c r="L301" s="44" t="inlineStr">
        <x:is>
          <x:t xml:space="preserve">Not started</x:t>
        </x:is>
      </x:c>
      <x:c r="M301" s="18" t="inlineStr">
        <x:is>
          <x:t xml:space="preserve"/>
        </x:is>
      </x:c>
    </x:row>
    <x:row r="302">
      <x:c r="A302" s="18" t="inlineStr">
        <x:is>
          <x:t xml:space="preserve">T262</x:t>
        </x:is>
      </x:c>
      <x:c r="B302" s="18" t="inlineStr">
        <x:is>
          <x:t xml:space="preserve">Sales</x:t>
        </x:is>
      </x:c>
      <x:c r="C302" s="18" t="inlineStr">
        <x:is>
          <x:t xml:space="preserve">PHS: identify IT sourcing colleague + their wave details (what's outsourced, RFP timing)</x:t>
        </x:is>
      </x:c>
      <x:c r="D302" s="18" t="inlineStr">
        <x:is>
          <x:t xml:space="preserve">Source module wedge depends on this. Get name + current pain.</x:t>
        </x:is>
      </x:c>
      <x:c r="E302" s="31" t="inlineStr">
        <x:is>
          <x:t xml:space="preserve">P0</x:t>
        </x:is>
      </x:c>
      <x:c r="F302" s="42" t="inlineStr">
        <x:is>
          <x:t xml:space="preserve">5. EXTERNAL</x:t>
        </x:is>
      </x:c>
      <x:c r="G302" s="18" t="inlineStr">
        <x:is>
          <x:t xml:space="preserve">Anand</x:t>
        </x:is>
      </x:c>
      <x:c r="H302" s="18" t="inlineStr">
        <x:is>
          <x:t xml:space="preserve"/>
        </x:is>
      </x:c>
      <x:c r="I302" s="48" t="inlineStr">
        <x:is>
          <x:t xml:space="preserve">You only (LinkedIn + intro)</x:t>
        </x:is>
      </x:c>
      <x:c r="J302" s="52" t="inlineStr">
        <x:is>
          <x:t xml:space="preserve">$0</x:t>
        </x:is>
      </x:c>
      <x:c r="K302" s="82" t="inlineStr">
        <x:is>
          <x:t xml:space="preserve">Pre-Resign</x:t>
        </x:is>
      </x:c>
      <x:c r="L302" s="44" t="inlineStr">
        <x:is>
          <x:t xml:space="preserve">Not started</x:t>
        </x:is>
      </x:c>
      <x:c r="M302" s="18" t="inlineStr">
        <x:is>
          <x:t xml:space="preserve"/>
        </x:is>
      </x:c>
    </x:row>
    <x:row r="303">
      <x:c r="A303" s="18" t="inlineStr">
        <x:is>
          <x:t xml:space="preserve">T272</x:t>
        </x:is>
      </x:c>
      <x:c r="B303" s="18" t="inlineStr">
        <x:is>
          <x:t xml:space="preserve">Sales</x:t>
        </x:is>
      </x:c>
      <x:c r="C303" s="18" t="inlineStr">
        <x:is>
          <x:t xml:space="preserve">Surekha: NURTURE plan (she joins July 1) — light touches, NOT pitch</x:t>
        </x:is>
      </x:c>
      <x:c r="D303" s="18" t="inlineStr">
        <x:is>
          <x:t xml:space="preserve">She has demo access + joins July 1. Don't over-engage pre-start. Plan: LinkedIn connect now → 1-2 value-add messages over 5 weeks → activate July 7 sprint.</x:t>
        </x:is>
      </x:c>
      <x:c r="E303" s="31" t="inlineStr">
        <x:is>
          <x:t xml:space="preserve">P0</x:t>
        </x:is>
      </x:c>
      <x:c r="F303" s="42" t="inlineStr">
        <x:is>
          <x:t xml:space="preserve">5. EXTERNAL</x:t>
        </x:is>
      </x:c>
      <x:c r="G303" s="18" t="inlineStr">
        <x:is>
          <x:t xml:space="preserve">Anand</x:t>
        </x:is>
      </x:c>
      <x:c r="H303" s="18" t="inlineStr">
        <x:is>
          <x:t xml:space="preserve"/>
        </x:is>
      </x:c>
      <x:c r="I303" s="48" t="inlineStr">
        <x:is>
          <x:t xml:space="preserve">You only (outreach)</x:t>
        </x:is>
      </x:c>
      <x:c r="J303" s="52" t="inlineStr">
        <x:is>
          <x:t xml:space="preserve">$0</x:t>
        </x:is>
      </x:c>
      <x:c r="K303" s="83" t="inlineStr">
        <x:is>
          <x:t xml:space="preserve">Post-Resign</x:t>
        </x:is>
      </x:c>
      <x:c r="L303" s="44" t="inlineStr">
        <x:is>
          <x:t xml:space="preserve">Not started</x:t>
        </x:is>
      </x:c>
      <x:c r="M303" s="18" t="inlineStr">
        <x:is>
          <x:t xml:space="preserve">Sprint activates first week of July, not now</x:t>
        </x:is>
      </x:c>
    </x:row>
    <x:row r="304">
      <x:c r="A304" s="18" t="inlineStr">
        <x:is>
          <x:t xml:space="preserve">T279</x:t>
        </x:is>
      </x:c>
      <x:c r="B304" s="18" t="inlineStr">
        <x:is>
          <x:t xml:space="preserve">Sales</x:t>
        </x:is>
      </x:c>
      <x:c r="C304" s="18" t="inlineStr">
        <x:is>
          <x:t xml:space="preserve">KK: confirm whether 'methodology' or 'governance/measurement' is the primary itch</x:t>
        </x:is>
      </x:c>
      <x:c r="D304" s="18" t="inlineStr">
        <x:is>
          <x:t xml:space="preserve">Discovery call. Question: 'What's the bigger gap for you — knowing HOW to run AI-led dev, or knowing whether it's working?'</x:t>
        </x:is>
      </x:c>
      <x:c r="E304" s="31" t="inlineStr">
        <x:is>
          <x:t xml:space="preserve">P0</x:t>
        </x:is>
      </x:c>
      <x:c r="F304" s="42" t="inlineStr">
        <x:is>
          <x:t xml:space="preserve">5. EXTERNAL</x:t>
        </x:is>
      </x:c>
      <x:c r="G304" s="18" t="inlineStr">
        <x:is>
          <x:t xml:space="preserve">Anand</x:t>
        </x:is>
      </x:c>
      <x:c r="H304" s="18" t="inlineStr">
        <x:is>
          <x:t xml:space="preserve"/>
        </x:is>
      </x:c>
      <x:c r="I304" s="48" t="inlineStr">
        <x:is>
          <x:t xml:space="preserve">You only (discovery call)</x:t>
        </x:is>
      </x:c>
      <x:c r="J304" s="52" t="inlineStr">
        <x:is>
          <x:t xml:space="preserve">$0</x:t>
        </x:is>
      </x:c>
      <x:c r="K304" s="83" t="inlineStr">
        <x:is>
          <x:t xml:space="preserve">Post-Resign</x:t>
        </x:is>
      </x:c>
      <x:c r="L304" s="44" t="inlineStr">
        <x:is>
          <x:t xml:space="preserve">Not started</x:t>
        </x:is>
      </x:c>
      <x:c r="M304" s="18" t="inlineStr">
        <x:is>
          <x:t xml:space="preserve"/>
        </x:is>
      </x:c>
    </x:row>
    <x:row r="305">
      <x:c r="A305" s="18" t="inlineStr">
        <x:is>
          <x:t xml:space="preserve">T284</x:t>
        </x:is>
      </x:c>
      <x:c r="B305" s="18" t="inlineStr">
        <x:is>
          <x:t xml:space="preserve">Sales</x:t>
        </x:is>
      </x:c>
      <x:c r="C305" s="18" t="inlineStr">
        <x:is>
          <x:t xml:space="preserve">PHS: Day 1-2 — Usage debrief call with CDAO (what tried, what worked, what's missing)</x:t>
        </x:is>
      </x:c>
      <x:c r="D305" s="18" t="inlineStr">
        <x:is>
          <x:t xml:space="preserve">Close motion starts with understanding what their product experience has been. Don't re-pitch; build on what they've seen.</x:t>
        </x:is>
      </x:c>
      <x:c r="E305" s="31" t="inlineStr">
        <x:is>
          <x:t xml:space="preserve">P0</x:t>
        </x:is>
      </x:c>
      <x:c r="F305" s="42" t="inlineStr">
        <x:is>
          <x:t xml:space="preserve">5. EXTERNAL</x:t>
        </x:is>
      </x:c>
      <x:c r="G305" s="18" t="inlineStr">
        <x:is>
          <x:t xml:space="preserve">Anand</x:t>
        </x:is>
      </x:c>
      <x:c r="H305" s="18" t="inlineStr">
        <x:is>
          <x:t xml:space="preserve"/>
        </x:is>
      </x:c>
      <x:c r="I305" s="48" t="inlineStr">
        <x:is>
          <x:t xml:space="preserve">You only (discovery call)</x:t>
        </x:is>
      </x:c>
      <x:c r="J305" s="52" t="inlineStr">
        <x:is>
          <x:t xml:space="preserve">$0</x:t>
        </x:is>
      </x:c>
      <x:c r="K305" s="83" t="inlineStr">
        <x:is>
          <x:t xml:space="preserve">Post-Resign</x:t>
        </x:is>
      </x:c>
      <x:c r="L305" s="44" t="inlineStr">
        <x:is>
          <x:t xml:space="preserve">Not started</x:t>
        </x:is>
      </x:c>
      <x:c r="M305" s="18" t="inlineStr">
        <x:is>
          <x:t xml:space="preserve"/>
        </x:is>
      </x:c>
    </x:row>
    <x:row r="306">
      <x:c r="A306" s="18" t="inlineStr">
        <x:is>
          <x:t xml:space="preserve">T286</x:t>
        </x:is>
      </x:c>
      <x:c r="B306" s="18" t="inlineStr">
        <x:is>
          <x:t xml:space="preserve">Sales</x:t>
        </x:is>
      </x:c>
      <x:c r="C306" s="18" t="inlineStr">
        <x:is>
          <x:t xml:space="preserve">PHS: Day 3-4 — Map full decision-maker chain (CDAO auth? CIO/CFO joint? Sourcing colleague?)</x:t>
        </x:is>
      </x:c>
      <x:c r="D306" s="18" t="inlineStr">
        <x:is>
          <x:t xml:space="preserve">Know who signs BEFORE the working session. Avoid surprise blockers.</x:t>
        </x:is>
      </x:c>
      <x:c r="E306" s="31" t="inlineStr">
        <x:is>
          <x:t xml:space="preserve">P0</x:t>
        </x:is>
      </x:c>
      <x:c r="F306" s="42" t="inlineStr">
        <x:is>
          <x:t xml:space="preserve">5. EXTERNAL</x:t>
        </x:is>
      </x:c>
      <x:c r="G306" s="18" t="inlineStr">
        <x:is>
          <x:t xml:space="preserve">Anand</x:t>
        </x:is>
      </x:c>
      <x:c r="H306" s="18" t="inlineStr">
        <x:is>
          <x:t xml:space="preserve"/>
        </x:is>
      </x:c>
      <x:c r="I306" s="48" t="inlineStr">
        <x:is>
          <x:t xml:space="preserve">You only (relationship mapping)</x:t>
        </x:is>
      </x:c>
      <x:c r="J306" s="52" t="inlineStr">
        <x:is>
          <x:t xml:space="preserve">$0</x:t>
        </x:is>
      </x:c>
      <x:c r="K306" s="82" t="inlineStr">
        <x:is>
          <x:t xml:space="preserve">Pre-Resign</x:t>
        </x:is>
      </x:c>
      <x:c r="L306" s="44" t="inlineStr">
        <x:is>
          <x:t xml:space="preserve">Not started</x:t>
        </x:is>
      </x:c>
      <x:c r="M306" s="18" t="inlineStr">
        <x:is>
          <x:t xml:space="preserve"/>
        </x:is>
      </x:c>
    </x:row>
    <x:row r="307">
      <x:c r="A307" s="18" t="inlineStr">
        <x:is>
          <x:t xml:space="preserve">T287</x:t>
        </x:is>
      </x:c>
      <x:c r="B307" s="18" t="inlineStr">
        <x:is>
          <x:t xml:space="preserve">Sales</x:t>
        </x:is>
      </x:c>
      <x:c r="C307" s="18" t="inlineStr">
        <x:is>
          <x:t xml:space="preserve">PHS: Day 4-5 — Joint working session (90 min): 3 candidate Moves + value math + Azure+Databricks fit</x:t>
        </x:is>
      </x:c>
      <x:c r="D307" s="18" t="inlineStr">
        <x:is>
          <x:t xml:space="preserve">Use their data + their decision-makers in the room. Show what their first quarter looks like.</x:t>
        </x:is>
      </x:c>
      <x:c r="E307" s="31" t="inlineStr">
        <x:is>
          <x:t xml:space="preserve">P0</x:t>
        </x:is>
      </x:c>
      <x:c r="F307" s="42" t="inlineStr">
        <x:is>
          <x:t xml:space="preserve">5. EXTERNAL</x:t>
        </x:is>
      </x:c>
      <x:c r="G307" s="18" t="inlineStr">
        <x:is>
          <x:t xml:space="preserve">Anand</x:t>
        </x:is>
      </x:c>
      <x:c r="H307" s="18" t="inlineStr">
        <x:is>
          <x:t xml:space="preserve"/>
        </x:is>
      </x:c>
      <x:c r="I307" s="48" t="inlineStr">
        <x:is>
          <x:t xml:space="preserve">You only (working session)</x:t>
        </x:is>
      </x:c>
      <x:c r="J307" s="52" t="inlineStr">
        <x:is>
          <x:t xml:space="preserve">$0</x:t>
        </x:is>
      </x:c>
      <x:c r="K307" s="83" t="inlineStr">
        <x:is>
          <x:t xml:space="preserve">Post-Resign</x:t>
        </x:is>
      </x:c>
      <x:c r="L307" s="44" t="inlineStr">
        <x:is>
          <x:t xml:space="preserve">Not started</x:t>
        </x:is>
      </x:c>
      <x:c r="M307" s="18" t="inlineStr">
        <x:is>
          <x:t xml:space="preserve"/>
        </x:is>
      </x:c>
    </x:row>
    <x:row r="308">
      <x:c r="A308" s="18" t="inlineStr">
        <x:is>
          <x:t xml:space="preserve">T289</x:t>
        </x:is>
      </x:c>
      <x:c r="B308" s="18" t="inlineStr">
        <x:is>
          <x:t xml:space="preserve">Sales</x:t>
        </x:is>
      </x:c>
      <x:c r="C308" s="18" t="inlineStr">
        <x:is>
          <x:t xml:space="preserve">PHS: Day 7-10 — Iterate SOW with CDAO + sourcing colleague + align commercial terms</x:t>
        </x:is>
      </x:c>
      <x:c r="D308" s="18" t="inlineStr">
        <x:is>
          <x:t xml:space="preserve">$300k pilot + $950k year-1 + Source $35-50k/mo. Founder time 10% at $425/hr.</x:t>
        </x:is>
      </x:c>
      <x:c r="E308" s="31" t="inlineStr">
        <x:is>
          <x:t xml:space="preserve">P0</x:t>
        </x:is>
      </x:c>
      <x:c r="F308" s="42" t="inlineStr">
        <x:is>
          <x:t xml:space="preserve">5. EXTERNAL</x:t>
        </x:is>
      </x:c>
      <x:c r="G308" s="18" t="inlineStr">
        <x:is>
          <x:t xml:space="preserve">Anand</x:t>
        </x:is>
      </x:c>
      <x:c r="H308" s="18" t="inlineStr">
        <x:is>
          <x:t xml:space="preserve"/>
        </x:is>
      </x:c>
      <x:c r="I308" s="48" t="inlineStr">
        <x:is>
          <x:t xml:space="preserve">You only (negotiation)</x:t>
        </x:is>
      </x:c>
      <x:c r="J308" s="52" t="inlineStr">
        <x:is>
          <x:t xml:space="preserve">$0</x:t>
        </x:is>
      </x:c>
      <x:c r="K308" s="83" t="inlineStr">
        <x:is>
          <x:t xml:space="preserve">Post-Resign</x:t>
        </x:is>
      </x:c>
      <x:c r="L308" s="44" t="inlineStr">
        <x:is>
          <x:t xml:space="preserve">Not started</x:t>
        </x:is>
      </x:c>
      <x:c r="M308" s="18" t="inlineStr">
        <x:is>
          <x:t xml:space="preserve"/>
        </x:is>
      </x:c>
    </x:row>
    <x:row r="309">
      <x:c r="A309" s="18" t="inlineStr">
        <x:is>
          <x:t xml:space="preserve">T291</x:t>
        </x:is>
      </x:c>
      <x:c r="B309" s="18" t="inlineStr">
        <x:is>
          <x:t xml:space="preserve">Sales</x:t>
        </x:is>
      </x:c>
      <x:c r="C309" s="18" t="inlineStr">
        <x:is>
          <x:t xml:space="preserve">PHS: Day 12-14 — Verbal alignment + pilot SOW agreed in principle + kickoff scheduled</x:t>
        </x:is>
      </x:c>
      <x:c r="D309" s="18" t="inlineStr">
        <x:is>
          <x:t xml:space="preserve">Target outcome of the 2-week sprint. If not there by day 14, identify the blocker.</x:t>
        </x:is>
      </x:c>
      <x:c r="E309" s="31" t="inlineStr">
        <x:is>
          <x:t xml:space="preserve">P0</x:t>
        </x:is>
      </x:c>
      <x:c r="F309" s="42" t="inlineStr">
        <x:is>
          <x:t xml:space="preserve">5. EXTERNAL</x:t>
        </x:is>
      </x:c>
      <x:c r="G309" s="18" t="inlineStr">
        <x:is>
          <x:t xml:space="preserve">Anand</x:t>
        </x:is>
      </x:c>
      <x:c r="H309" s="18" t="inlineStr">
        <x:is>
          <x:t xml:space="preserve"/>
        </x:is>
      </x:c>
      <x:c r="I309" s="48" t="inlineStr">
        <x:is>
          <x:t xml:space="preserve">You only</x:t>
        </x:is>
      </x:c>
      <x:c r="J309" s="52" t="inlineStr">
        <x:is>
          <x:t xml:space="preserve">$0</x:t>
        </x:is>
      </x:c>
      <x:c r="K309" s="83" t="inlineStr">
        <x:is>
          <x:t xml:space="preserve">Post-Resign</x:t>
        </x:is>
      </x:c>
      <x:c r="L309" s="44" t="inlineStr">
        <x:is>
          <x:t xml:space="preserve">Not started</x:t>
        </x:is>
      </x:c>
      <x:c r="M309" s="18" t="inlineStr">
        <x:is>
          <x:t xml:space="preserve"/>
        </x:is>
      </x:c>
    </x:row>
    <x:row r="310">
      <x:c r="A310" s="18" t="inlineStr">
        <x:is>
          <x:t xml:space="preserve">T292</x:t>
        </x:is>
      </x:c>
      <x:c r="B310" s="18" t="inlineStr">
        <x:is>
          <x:t xml:space="preserve">Sales</x:t>
        </x:is>
      </x:c>
      <x:c r="C310" s="18" t="inlineStr">
        <x:is>
          <x:t xml:space="preserve">KK: Day 1-2 — Usage debrief with KK + team (what tried, did it land for AI-led product dev?)</x:t>
        </x:is>
      </x:c>
      <x:c r="D310" s="18" t="inlineStr">
        <x:is>
          <x:t xml:space="preserve">Critical: did the product fit their intent? Their answer drives the rest of the sprint.</x:t>
        </x:is>
      </x:c>
      <x:c r="E310" s="31" t="inlineStr">
        <x:is>
          <x:t xml:space="preserve">P0</x:t>
        </x:is>
      </x:c>
      <x:c r="F310" s="42" t="inlineStr">
        <x:is>
          <x:t xml:space="preserve">5. EXTERNAL</x:t>
        </x:is>
      </x:c>
      <x:c r="G310" s="18" t="inlineStr">
        <x:is>
          <x:t xml:space="preserve">Anand</x:t>
        </x:is>
      </x:c>
      <x:c r="H310" s="18" t="inlineStr">
        <x:is>
          <x:t xml:space="preserve"/>
        </x:is>
      </x:c>
      <x:c r="I310" s="48" t="inlineStr">
        <x:is>
          <x:t xml:space="preserve">You only (discovery call)</x:t>
        </x:is>
      </x:c>
      <x:c r="J310" s="52" t="inlineStr">
        <x:is>
          <x:t xml:space="preserve">$0</x:t>
        </x:is>
      </x:c>
      <x:c r="K310" s="83" t="inlineStr">
        <x:is>
          <x:t xml:space="preserve">Post-Resign</x:t>
        </x:is>
      </x:c>
      <x:c r="L310" s="44" t="inlineStr">
        <x:is>
          <x:t xml:space="preserve">Not started</x:t>
        </x:is>
      </x:c>
      <x:c r="M310" s="18" t="inlineStr">
        <x:is>
          <x:t xml:space="preserve"/>
        </x:is>
      </x:c>
    </x:row>
    <x:row r="311">
      <x:c r="A311" s="18" t="inlineStr">
        <x:is>
          <x:t xml:space="preserve">T293</x:t>
        </x:is>
      </x:c>
      <x:c r="B311" s="18" t="inlineStr">
        <x:is>
          <x:t xml:space="preserve">Sales</x:t>
        </x:is>
      </x:c>
      <x:c r="C311" s="18" t="inlineStr">
        <x:is>
          <x:t xml:space="preserve">KK: Day 2-3 — STRATEGIC DECISION: build Software Delivery corpus wave? (drives positioning)</x:t>
        </x:is>
      </x:c>
      <x:c r="D311" s="18" t="inlineStr">
        <x:is>
          <x:t xml:space="preserve">MUST decide by day 2-3. Yes = pitch full fit. No = pivot to Play A (governance/measurement) or Play C (Source wedge).</x:t>
        </x:is>
      </x:c>
      <x:c r="E311" s="31" t="inlineStr">
        <x:is>
          <x:t xml:space="preserve">P0</x:t>
        </x:is>
      </x:c>
      <x:c r="F311" s="42" t="inlineStr">
        <x:is>
          <x:t xml:space="preserve">5. EXTERNAL</x:t>
        </x:is>
      </x:c>
      <x:c r="G311" s="18" t="inlineStr">
        <x:is>
          <x:t xml:space="preserve">Anand</x:t>
        </x:is>
      </x:c>
      <x:c r="H311" s="18" t="inlineStr">
        <x:is>
          <x:t xml:space="preserve"/>
        </x:is>
      </x:c>
      <x:c r="I311" s="48" t="inlineStr">
        <x:is>
          <x:t xml:space="preserve">You only (strategic call)</x:t>
        </x:is>
      </x:c>
      <x:c r="J311" s="52" t="inlineStr">
        <x:is>
          <x:t xml:space="preserve">$0</x:t>
        </x:is>
      </x:c>
      <x:c r="K311" s="82" t="inlineStr">
        <x:is>
          <x:t xml:space="preserve">Pre-Resign</x:t>
        </x:is>
      </x:c>
      <x:c r="L311" s="44" t="inlineStr">
        <x:is>
          <x:t xml:space="preserve">Not started</x:t>
        </x:is>
      </x:c>
      <x:c r="M311" s="18" t="inlineStr">
        <x:is>
          <x:t xml:space="preserve"/>
        </x:is>
      </x:c>
    </x:row>
    <x:row r="312">
      <x:c r="A312" s="18" t="inlineStr">
        <x:is>
          <x:t xml:space="preserve">T295</x:t>
        </x:is>
      </x:c>
      <x:c r="B312" s="18" t="inlineStr">
        <x:is>
          <x:t xml:space="preserve">Sales</x:t>
        </x:is>
      </x:c>
      <x:c r="C312" s="18" t="inlineStr">
        <x:is>
          <x:t xml:space="preserve">KK: Day 4-5 — Joint working session — pitch Play A; confirm methodology vs measurement itch</x:t>
        </x:is>
      </x:c>
      <x:c r="D312" s="18" t="inlineStr">
        <x:is>
          <x:t xml:space="preserve">If 'methodology' is primary itch and AbarVa can't scratch it → go/no-go decision becomes clear.</x:t>
        </x:is>
      </x:c>
      <x:c r="E312" s="31" t="inlineStr">
        <x:is>
          <x:t xml:space="preserve">P0</x:t>
        </x:is>
      </x:c>
      <x:c r="F312" s="42" t="inlineStr">
        <x:is>
          <x:t xml:space="preserve">5. EXTERNAL</x:t>
        </x:is>
      </x:c>
      <x:c r="G312" s="18" t="inlineStr">
        <x:is>
          <x:t xml:space="preserve">Anand</x:t>
        </x:is>
      </x:c>
      <x:c r="H312" s="18" t="inlineStr">
        <x:is>
          <x:t xml:space="preserve"/>
        </x:is>
      </x:c>
      <x:c r="I312" s="48" t="inlineStr">
        <x:is>
          <x:t xml:space="preserve">You only (working session)</x:t>
        </x:is>
      </x:c>
      <x:c r="J312" s="52" t="inlineStr">
        <x:is>
          <x:t xml:space="preserve">$0</x:t>
        </x:is>
      </x:c>
      <x:c r="K312" s="83" t="inlineStr">
        <x:is>
          <x:t xml:space="preserve">Post-Resign</x:t>
        </x:is>
      </x:c>
      <x:c r="L312" s="44" t="inlineStr">
        <x:is>
          <x:t xml:space="preserve">Not started</x:t>
        </x:is>
      </x:c>
      <x:c r="M312" s="18" t="inlineStr">
        <x:is>
          <x:t xml:space="preserve"/>
        </x:is>
      </x:c>
    </x:row>
    <x:row r="313">
      <x:c r="A313" s="18" t="inlineStr">
        <x:is>
          <x:t xml:space="preserve">T297</x:t>
        </x:is>
      </x:c>
      <x:c r="B313" s="18" t="inlineStr">
        <x:is>
          <x:t xml:space="preserve">Sales</x:t>
        </x:is>
      </x:c>
      <x:c r="C313" s="18" t="inlineStr">
        <x:is>
          <x:t xml:space="preserve">KK: Day 7-10 — Iterate SOW with Delta-specific value levers ($3B IT, $100s of millions app dev)</x:t>
        </x:is>
      </x:c>
      <x:c r="D313" s="18" t="inlineStr">
        <x:is>
          <x:t xml:space="preserve">Validate value with real Delta numbers. IMS contract data. AWS modernization scope.</x:t>
        </x:is>
      </x:c>
      <x:c r="E313" s="31" t="inlineStr">
        <x:is>
          <x:t xml:space="preserve">P0</x:t>
        </x:is>
      </x:c>
      <x:c r="F313" s="42" t="inlineStr">
        <x:is>
          <x:t xml:space="preserve">5. EXTERNAL</x:t>
        </x:is>
      </x:c>
      <x:c r="G313" s="18" t="inlineStr">
        <x:is>
          <x:t xml:space="preserve">Anand</x:t>
        </x:is>
      </x:c>
      <x:c r="H313" s="18" t="inlineStr">
        <x:is>
          <x:t xml:space="preserve"/>
        </x:is>
      </x:c>
      <x:c r="I313" s="48" t="inlineStr">
        <x:is>
          <x:t xml:space="preserve">You only (negotiation)</x:t>
        </x:is>
      </x:c>
      <x:c r="J313" s="52" t="inlineStr">
        <x:is>
          <x:t xml:space="preserve">$0</x:t>
        </x:is>
      </x:c>
      <x:c r="K313" s="83" t="inlineStr">
        <x:is>
          <x:t xml:space="preserve">Post-Resign</x:t>
        </x:is>
      </x:c>
      <x:c r="L313" s="44" t="inlineStr">
        <x:is>
          <x:t xml:space="preserve">Not started</x:t>
        </x:is>
      </x:c>
      <x:c r="M313" s="18" t="inlineStr">
        <x:is>
          <x:t xml:space="preserve"/>
        </x:is>
      </x:c>
    </x:row>
    <x:row r="314">
      <x:c r="A314" s="18" t="inlineStr">
        <x:is>
          <x:t xml:space="preserve">T298</x:t>
        </x:is>
      </x:c>
      <x:c r="B314" s="18" t="inlineStr">
        <x:is>
          <x:t xml:space="preserve">Sales</x:t>
        </x:is>
      </x:c>
      <x:c r="C314" s="18" t="inlineStr">
        <x:is>
          <x:t xml:space="preserve">KK: Day 10-12 — Schedule decision meeting OR document 'what would need to be true'</x:t>
        </x:is>
      </x:c>
      <x:c r="D314" s="18" t="inlineStr">
        <x:is>
          <x:t xml:space="preserve">Two clean outcomes possible: alignment, or honest no-go with conditions for future revisit.</x:t>
        </x:is>
      </x:c>
      <x:c r="E314" s="31" t="inlineStr">
        <x:is>
          <x:t xml:space="preserve">P0</x:t>
        </x:is>
      </x:c>
      <x:c r="F314" s="42" t="inlineStr">
        <x:is>
          <x:t xml:space="preserve">5. EXTERNAL</x:t>
        </x:is>
      </x:c>
      <x:c r="G314" s="18" t="inlineStr">
        <x:is>
          <x:t xml:space="preserve">Anand</x:t>
        </x:is>
      </x:c>
      <x:c r="H314" s="18" t="inlineStr">
        <x:is>
          <x:t xml:space="preserve"/>
        </x:is>
      </x:c>
      <x:c r="I314" s="48" t="inlineStr">
        <x:is>
          <x:t xml:space="preserve">You only</x:t>
        </x:is>
      </x:c>
      <x:c r="J314" s="52" t="inlineStr">
        <x:is>
          <x:t xml:space="preserve">$0</x:t>
        </x:is>
      </x:c>
      <x:c r="K314" s="83" t="inlineStr">
        <x:is>
          <x:t xml:space="preserve">Post-Resign</x:t>
        </x:is>
      </x:c>
      <x:c r="L314" s="44" t="inlineStr">
        <x:is>
          <x:t xml:space="preserve">Not started</x:t>
        </x:is>
      </x:c>
      <x:c r="M314" s="18" t="inlineStr">
        <x:is>
          <x:t xml:space="preserve"/>
        </x:is>
      </x:c>
    </x:row>
    <x:row r="315">
      <x:c r="A315" s="18" t="inlineStr">
        <x:is>
          <x:t xml:space="preserve">T299</x:t>
        </x:is>
      </x:c>
      <x:c r="B315" s="18" t="inlineStr">
        <x:is>
          <x:t xml:space="preserve">Sales</x:t>
        </x:is>
      </x:c>
      <x:c r="C315" s="18" t="inlineStr">
        <x:is>
          <x:t xml:space="preserve">KK: Day 12-14 — Outcome: signed alignment or clean no-go (don't drag if not fit)</x:t>
        </x:is>
      </x:c>
      <x:c r="D315" s="18" t="inlineStr">
        <x:is>
          <x:t xml:space="preserve">Discipline. KK either closes or moves to nurture. 2 weeks max before reassessing investment.</x:t>
        </x:is>
      </x:c>
      <x:c r="E315" s="31" t="inlineStr">
        <x:is>
          <x:t xml:space="preserve">P0</x:t>
        </x:is>
      </x:c>
      <x:c r="F315" s="42" t="inlineStr">
        <x:is>
          <x:t xml:space="preserve">5. EXTERNAL</x:t>
        </x:is>
      </x:c>
      <x:c r="G315" s="18" t="inlineStr">
        <x:is>
          <x:t xml:space="preserve">Anand</x:t>
        </x:is>
      </x:c>
      <x:c r="H315" s="18" t="inlineStr">
        <x:is>
          <x:t xml:space="preserve"/>
        </x:is>
      </x:c>
      <x:c r="I315" s="48" t="inlineStr">
        <x:is>
          <x:t xml:space="preserve">You only</x:t>
        </x:is>
      </x:c>
      <x:c r="J315" s="52" t="inlineStr">
        <x:is>
          <x:t xml:space="preserve">$0</x:t>
        </x:is>
      </x:c>
      <x:c r="K315" s="83" t="inlineStr">
        <x:is>
          <x:t xml:space="preserve">Post-Resign</x:t>
        </x:is>
      </x:c>
      <x:c r="L315" s="44" t="inlineStr">
        <x:is>
          <x:t xml:space="preserve">Not started</x:t>
        </x:is>
      </x:c>
      <x:c r="M315" s="18" t="inlineStr">
        <x:is>
          <x:t xml:space="preserve"/>
        </x:is>
      </x:c>
    </x:row>
    <x:row r="316">
      <x:c r="A316" s="18" t="inlineStr">
        <x:is>
          <x:t xml:space="preserve">T300</x:t>
        </x:is>
      </x:c>
      <x:c r="B316" s="18" t="inlineStr">
        <x:is>
          <x:t xml:space="preserve">Sales</x:t>
        </x:is>
      </x:c>
      <x:c r="C316" s="18" t="inlineStr">
        <x:is>
          <x:t xml:space="preserve">Surekha: Week 1 — LinkedIn connect with thoughtful note about her new role (NOT pitch)</x:t>
        </x:is>
      </x:c>
      <x:c r="D316" s="18" t="inlineStr">
        <x:is>
          <x:t xml:space="preserve">Light touch. She has access. Don't over-engage pre-start.</x:t>
        </x:is>
      </x:c>
      <x:c r="E316" s="31" t="inlineStr">
        <x:is>
          <x:t xml:space="preserve">P0</x:t>
        </x:is>
      </x:c>
      <x:c r="F316" s="42" t="inlineStr">
        <x:is>
          <x:t xml:space="preserve">5. EXTERNAL</x:t>
        </x:is>
      </x:c>
      <x:c r="G316" s="18" t="inlineStr">
        <x:is>
          <x:t xml:space="preserve">Anand</x:t>
        </x:is>
      </x:c>
      <x:c r="H316" s="18" t="inlineStr">
        <x:is>
          <x:t xml:space="preserve"/>
        </x:is>
      </x:c>
      <x:c r="I316" s="48" t="inlineStr">
        <x:is>
          <x:t xml:space="preserve">You only (LinkedIn)</x:t>
        </x:is>
      </x:c>
      <x:c r="J316" s="52" t="inlineStr">
        <x:is>
          <x:t xml:space="preserve">$0</x:t>
        </x:is>
      </x:c>
      <x:c r="K316" s="83" t="inlineStr">
        <x:is>
          <x:t xml:space="preserve">Post-Resign</x:t>
        </x:is>
      </x:c>
      <x:c r="L316" s="44" t="inlineStr">
        <x:is>
          <x:t xml:space="preserve">Not started</x:t>
        </x:is>
      </x:c>
      <x:c r="M316" s="18" t="inlineStr">
        <x:is>
          <x:t xml:space="preserve"/>
        </x:is>
      </x:c>
    </x:row>
    <x:row r="317">
      <x:c r="A317" s="18" t="inlineStr">
        <x:is>
          <x:t xml:space="preserve">T303</x:t>
        </x:is>
      </x:c>
      <x:c r="B317" s="18" t="inlineStr">
        <x:is>
          <x:t xml:space="preserve">Sales</x:t>
        </x:is>
      </x:c>
      <x:c r="C317" s="18" t="inlineStr">
        <x:is>
          <x:t xml:space="preserve">Surekha: ~July 1 — 'Heard you're starting — 30 min in your first week?'</x:t>
        </x:is>
      </x:c>
      <x:c r="D317" s="18" t="inlineStr">
        <x:is>
          <x:t xml:space="preserve">Time the activation. Not before she's in seat.</x:t>
        </x:is>
      </x:c>
      <x:c r="E317" s="31" t="inlineStr">
        <x:is>
          <x:t xml:space="preserve">P0</x:t>
        </x:is>
      </x:c>
      <x:c r="F317" s="42" t="inlineStr">
        <x:is>
          <x:t xml:space="preserve">5. EXTERNAL</x:t>
        </x:is>
      </x:c>
      <x:c r="G317" s="18" t="inlineStr">
        <x:is>
          <x:t xml:space="preserve">Anand</x:t>
        </x:is>
      </x:c>
      <x:c r="H317" s="18" t="inlineStr">
        <x:is>
          <x:t xml:space="preserve"/>
        </x:is>
      </x:c>
      <x:c r="I317" s="48" t="inlineStr">
        <x:is>
          <x:t xml:space="preserve">You only</x:t>
        </x:is>
      </x:c>
      <x:c r="J317" s="52" t="inlineStr">
        <x:is>
          <x:t xml:space="preserve">$0</x:t>
        </x:is>
      </x:c>
      <x:c r="K317" s="83" t="inlineStr">
        <x:is>
          <x:t xml:space="preserve">Post-Resign</x:t>
        </x:is>
      </x:c>
      <x:c r="L317" s="44" t="inlineStr">
        <x:is>
          <x:t xml:space="preserve">Not started</x:t>
        </x:is>
      </x:c>
      <x:c r="M317" s="18" t="inlineStr">
        <x:is>
          <x:t xml:space="preserve"/>
        </x:is>
      </x:c>
    </x:row>
    <x:row r="318">
      <x:c r="A318" s="18" t="inlineStr">
        <x:is>
          <x:t xml:space="preserve">T304</x:t>
        </x:is>
      </x:c>
      <x:c r="B318" s="18" t="inlineStr">
        <x:is>
          <x:t xml:space="preserve">Sales</x:t>
        </x:is>
      </x:c>
      <x:c r="C318" s="18" t="inlineStr">
        <x:is>
          <x:t xml:space="preserve">Surekha: ~July 7 — Discovery call → working session → pilot SOW sprint</x:t>
        </x:is>
      </x:c>
      <x:c r="D318" s="18" t="inlineStr">
        <x:is>
          <x:t xml:space="preserve">Full close sprint activates only after she's in seat with authority.</x:t>
        </x:is>
      </x:c>
      <x:c r="E318" s="31" t="inlineStr">
        <x:is>
          <x:t xml:space="preserve">P0</x:t>
        </x:is>
      </x:c>
      <x:c r="F318" s="42" t="inlineStr">
        <x:is>
          <x:t xml:space="preserve">5. EXTERNAL</x:t>
        </x:is>
      </x:c>
      <x:c r="G318" s="18" t="inlineStr">
        <x:is>
          <x:t xml:space="preserve">Anand</x:t>
        </x:is>
      </x:c>
      <x:c r="H318" s="18" t="inlineStr">
        <x:is>
          <x:t xml:space="preserve"/>
        </x:is>
      </x:c>
      <x:c r="I318" s="48" t="inlineStr">
        <x:is>
          <x:t xml:space="preserve">You only</x:t>
        </x:is>
      </x:c>
      <x:c r="J318" s="52" t="inlineStr">
        <x:is>
          <x:t xml:space="preserve">$0</x:t>
        </x:is>
      </x:c>
      <x:c r="K318" s="83" t="inlineStr">
        <x:is>
          <x:t xml:space="preserve">Post-Resign</x:t>
        </x:is>
      </x:c>
      <x:c r="L318" s="44" t="inlineStr">
        <x:is>
          <x:t xml:space="preserve">Not started</x:t>
        </x:is>
      </x:c>
      <x:c r="M318" s="18" t="inlineStr">
        <x:is>
          <x:t xml:space="preserve"/>
        </x:is>
      </x:c>
    </x:row>
    <x:row r="319">
      <x:c r="A319" s="18" t="inlineStr">
        <x:is>
          <x:t xml:space="preserve">T065</x:t>
        </x:is>
      </x:c>
      <x:c r="B319" s="18" t="inlineStr">
        <x:is>
          <x:t xml:space="preserve">Sales</x:t>
        </x:is>
      </x:c>
      <x:c r="C319" s="18" t="inlineStr">
        <x:is>
          <x:t xml:space="preserve">Health insurance / benefits decision for founder</x:t>
        </x:is>
      </x:c>
      <x:c r="D319" s="18" t="inlineStr">
        <x:is>
          <x:t xml:space="preserve">Solve before incorporation if company-provided needed.</x:t>
        </x:is>
      </x:c>
      <x:c r="E319" s="32" t="inlineStr">
        <x:is>
          <x:t xml:space="preserve">P1</x:t>
        </x:is>
      </x:c>
      <x:c r="F319" s="42" t="inlineStr">
        <x:is>
          <x:t xml:space="preserve">5. EXTERNAL</x:t>
        </x:is>
      </x:c>
      <x:c r="G319" s="18" t="inlineStr">
        <x:is>
          <x:t xml:space="preserve">Anand</x:t>
        </x:is>
      </x:c>
      <x:c r="H319" s="18" t="inlineStr">
        <x:is>
          <x:t xml:space="preserve">T001</x:t>
        </x:is>
      </x:c>
      <x:c r="I319" s="48" t="inlineStr">
        <x:is>
          <x:t xml:space="preserve">3rd party + you</x:t>
        </x:is>
      </x:c>
      <x:c r="J319" s="51" t="inlineStr">
        <x:is>
          <x:t xml:space="preserve">$500-800/mo (founder)</x:t>
        </x:is>
      </x:c>
      <x:c r="K319" s="83" t="inlineStr">
        <x:is>
          <x:t xml:space="preserve">Post-Resign</x:t>
        </x:is>
      </x:c>
      <x:c r="L319" s="44" t="inlineStr">
        <x:is>
          <x:t xml:space="preserve">Not started</x:t>
        </x:is>
      </x:c>
      <x:c r="M319" s="18" t="inlineStr">
        <x:is>
          <x:t xml:space="preserve"/>
        </x:is>
      </x:c>
    </x:row>
    <x:row r="320">
      <x:c r="A320" s="18" t="inlineStr">
        <x:is>
          <x:t xml:space="preserve">T268</x:t>
        </x:is>
      </x:c>
      <x:c r="B320" s="18" t="inlineStr">
        <x:is>
          <x:t xml:space="preserve">Sales</x:t>
        </x:is>
      </x:c>
      <x:c r="C320" s="18" t="inlineStr">
        <x:is>
          <x:t xml:space="preserve">Delta: scout IMS contract landscape — which renewals coming up? Source entry?</x:t>
        </x:is>
      </x:c>
      <x:c r="D320" s="18" t="inlineStr">
        <x:is>
          <x:t xml:space="preserve">Source wedge depends on renewals. Vendor names + dates.</x:t>
        </x:is>
      </x:c>
      <x:c r="E320" s="32" t="inlineStr">
        <x:is>
          <x:t xml:space="preserve">P1</x:t>
        </x:is>
      </x:c>
      <x:c r="F320" s="42" t="inlineStr">
        <x:is>
          <x:t xml:space="preserve">5. EXTERNAL</x:t>
        </x:is>
      </x:c>
      <x:c r="G320" s="18" t="inlineStr">
        <x:is>
          <x:t xml:space="preserve">Anand</x:t>
        </x:is>
      </x:c>
      <x:c r="H320" s="18" t="inlineStr">
        <x:is>
          <x:t xml:space="preserve"/>
        </x:is>
      </x:c>
      <x:c r="I320" s="48" t="inlineStr">
        <x:is>
          <x:t xml:space="preserve">You only (industry research)</x:t>
        </x:is>
      </x:c>
      <x:c r="J320" s="52" t="inlineStr">
        <x:is>
          <x:t xml:space="preserve">$0</x:t>
        </x:is>
      </x:c>
      <x:c r="K320" s="82" t="inlineStr">
        <x:is>
          <x:t xml:space="preserve">Pre-Resign</x:t>
        </x:is>
      </x:c>
      <x:c r="L320" s="44" t="inlineStr">
        <x:is>
          <x:t xml:space="preserve">Not started</x:t>
        </x:is>
      </x:c>
      <x:c r="M320" s="18" t="inlineStr">
        <x:is>
          <x:t xml:space="preserve"/>
        </x:is>
      </x:c>
    </x:row>
    <x:row r="321">
      <x:c r="A321" s="18" t="inlineStr">
        <x:is>
          <x:t xml:space="preserve">T124</x:t>
        </x:is>
      </x:c>
      <x:c r="B321" s="18" t="inlineStr">
        <x:is>
          <x:t xml:space="preserve">Startup Credits</x:t>
        </x:is>
      </x:c>
      <x:c r="C321" s="18" t="inlineStr">
        <x:is>
          <x:t xml:space="preserve">Apply: Microsoft for Startups Founders Hub</x:t>
        </x:is>
      </x:c>
      <x:c r="D321" s="18" t="inlineStr">
        <x:is>
          <x:t xml:space="preserve">Up to $150k Azure credits over 2yr + free GitHub Enterprise + Copilot + M365. Self-serve, ~30min.</x:t>
        </x:is>
      </x:c>
      <x:c r="E321" s="31" t="inlineStr">
        <x:is>
          <x:t xml:space="preserve">P0</x:t>
        </x:is>
      </x:c>
      <x:c r="F321" s="38" t="inlineStr">
        <x:is>
          <x:t xml:space="preserve">1. QUICK WIN</x:t>
        </x:is>
      </x:c>
      <x:c r="G321" s="18" t="inlineStr">
        <x:is>
          <x:t xml:space="preserve">Anand</x:t>
        </x:is>
      </x:c>
      <x:c r="H321" s="18" t="inlineStr">
        <x:is>
          <x:t xml:space="preserve">T001</x:t>
        </x:is>
      </x:c>
      <x:c r="I321" s="43" t="inlineStr">
        <x:is>
          <x:t xml:space="preserve">Self-serve</x:t>
        </x:is>
      </x:c>
      <x:c r="J321" s="52" t="inlineStr">
        <x:is>
          <x:t xml:space="preserve">$0 (saves ~$150k value)</x:t>
        </x:is>
      </x:c>
      <x:c r="K321" s="82" t="inlineStr">
        <x:is>
          <x:t xml:space="preserve">Pre-Resign</x:t>
        </x:is>
      </x:c>
      <x:c r="L321" s="44" t="inlineStr">
        <x:is>
          <x:t xml:space="preserve">Not started</x:t>
        </x:is>
      </x:c>
      <x:c r="M321" s="18" t="inlineStr">
        <x:is>
          <x:t xml:space="preserve">Apply day-after-incorporation (need EIN)</x:t>
        </x:is>
      </x:c>
    </x:row>
    <x:row r="322">
      <x:c r="A322" s="18" t="inlineStr">
        <x:is>
          <x:t xml:space="preserve">T125</x:t>
        </x:is>
      </x:c>
      <x:c r="B322" s="18" t="inlineStr">
        <x:is>
          <x:t xml:space="preserve">Startup Credits</x:t>
        </x:is>
      </x:c>
      <x:c r="C322" s="18" t="inlineStr">
        <x:is>
          <x:t xml:space="preserve">Apply: Anthropic Startup Program (direct)</x:t>
        </x:is>
      </x:c>
      <x:c r="D322" s="18" t="inlineStr">
        <x:is>
          <x:t xml:space="preserve">API credits + co-marketing path. Apply via anthropic.com/startup. Mention F500 pilot landing.</x:t>
        </x:is>
      </x:c>
      <x:c r="E322" s="31" t="inlineStr">
        <x:is>
          <x:t xml:space="preserve">P0</x:t>
        </x:is>
      </x:c>
      <x:c r="F322" s="38" t="inlineStr">
        <x:is>
          <x:t xml:space="preserve">1. QUICK WIN</x:t>
        </x:is>
      </x:c>
      <x:c r="G322" s="18" t="inlineStr">
        <x:is>
          <x:t xml:space="preserve">Anand</x:t>
        </x:is>
      </x:c>
      <x:c r="H322" s="18" t="inlineStr">
        <x:is>
          <x:t xml:space="preserve">T001</x:t>
        </x:is>
      </x:c>
      <x:c r="I322" s="43" t="inlineStr">
        <x:is>
          <x:t xml:space="preserve">Self-serve + Claude (app)</x:t>
        </x:is>
      </x:c>
      <x:c r="J322" s="52" t="inlineStr">
        <x:is>
          <x:t xml:space="preserve">$0 (saves $10-25k)</x:t>
        </x:is>
      </x:c>
      <x:c r="K322" s="82" t="inlineStr">
        <x:is>
          <x:t xml:space="preserve">Pre-Resign</x:t>
        </x:is>
      </x:c>
      <x:c r="L322" s="44" t="inlineStr">
        <x:is>
          <x:t xml:space="preserve">Not started</x:t>
        </x:is>
      </x:c>
      <x:c r="M322" s="18" t="inlineStr">
        <x:is>
          <x:t xml:space="preserve">Stacks with Azure-routed Claude credits</x:t>
        </x:is>
      </x:c>
    </x:row>
    <x:row r="323">
      <x:c r="A323" s="18" t="inlineStr">
        <x:is>
          <x:t xml:space="preserve">T126</x:t>
        </x:is>
      </x:c>
      <x:c r="B323" s="18" t="inlineStr">
        <x:is>
          <x:t xml:space="preserve">Startup Credits</x:t>
        </x:is>
      </x:c>
      <x:c r="C323" s="18" t="inlineStr">
        <x:is>
          <x:t xml:space="preserve">Enable Claude via Azure AI Foundry (stacks Azure credits with Anthropic)</x:t>
        </x:is>
      </x:c>
      <x:c r="D323" s="18" t="inlineStr">
        <x:is>
          <x:t xml:space="preserve">Claude inference billed against Azure credits = doubles effective LLM headroom.</x:t>
        </x:is>
      </x:c>
      <x:c r="E323" s="31" t="inlineStr">
        <x:is>
          <x:t xml:space="preserve">P0</x:t>
        </x:is>
      </x:c>
      <x:c r="F323" s="38" t="inlineStr">
        <x:is>
          <x:t xml:space="preserve">1. QUICK WIN</x:t>
        </x:is>
      </x:c>
      <x:c r="G323" s="18" t="inlineStr">
        <x:is>
          <x:t xml:space="preserve">Anand</x:t>
        </x:is>
      </x:c>
      <x:c r="H323" s="18" t="inlineStr">
        <x:is>
          <x:t xml:space="preserve">T124</x:t>
        </x:is>
      </x:c>
      <x:c r="I323" s="43" t="inlineStr">
        <x:is>
          <x:t xml:space="preserve">Self-serve (Azure portal)</x:t>
        </x:is>
      </x:c>
      <x:c r="J323" s="52" t="inlineStr">
        <x:is>
          <x:t xml:space="preserve">$0 (consumes Azure credits)</x:t>
        </x:is>
      </x:c>
      <x:c r="K323" s="82" t="inlineStr">
        <x:is>
          <x:t xml:space="preserve">Pre-Resign</x:t>
        </x:is>
      </x:c>
      <x:c r="L323" s="44" t="inlineStr">
        <x:is>
          <x:t xml:space="preserve">Not started</x:t>
        </x:is>
      </x:c>
      <x:c r="M323" s="18" t="inlineStr">
        <x:is>
          <x:t xml:space="preserve">Architecture decision — confirm pricing parity vs direct</x:t>
        </x:is>
      </x:c>
    </x:row>
    <x:row r="324">
      <x:c r="A324" s="18" t="inlineStr">
        <x:is>
          <x:t xml:space="preserve">T127</x:t>
        </x:is>
      </x:c>
      <x:c r="B324" s="18" t="inlineStr">
        <x:is>
          <x:t xml:space="preserve">Startup Credits</x:t>
        </x:is>
      </x:c>
      <x:c r="C324" s="18" t="inlineStr">
        <x:is>
          <x:t xml:space="preserve">Apply: Vercel for Startups</x:t>
        </x:is>
      </x:c>
      <x:c r="D324" s="18" t="inlineStr">
        <x:is>
          <x:t xml:space="preserve">Discounted Pro plan + sometimes credits + dedicated support. vercel.com/startups</x:t>
        </x:is>
      </x:c>
      <x:c r="E324" s="31" t="inlineStr">
        <x:is>
          <x:t xml:space="preserve">P0</x:t>
        </x:is>
      </x:c>
      <x:c r="F324" s="38" t="inlineStr">
        <x:is>
          <x:t xml:space="preserve">1. QUICK WIN</x:t>
        </x:is>
      </x:c>
      <x:c r="G324" s="18" t="inlineStr">
        <x:is>
          <x:t xml:space="preserve">Anand</x:t>
        </x:is>
      </x:c>
      <x:c r="H324" s="18" t="inlineStr">
        <x:is>
          <x:t xml:space="preserve">T001</x:t>
        </x:is>
      </x:c>
      <x:c r="I324" s="43" t="inlineStr">
        <x:is>
          <x:t xml:space="preserve">Self-serve</x:t>
        </x:is>
      </x:c>
      <x:c r="J324" s="52" t="inlineStr">
        <x:is>
          <x:t xml:space="preserve">$0 (saves ~$5k)</x:t>
        </x:is>
      </x:c>
      <x:c r="K324" s="82" t="inlineStr">
        <x:is>
          <x:t xml:space="preserve">Pre-Resign</x:t>
        </x:is>
      </x:c>
      <x:c r="L324" s="44" t="inlineStr">
        <x:is>
          <x:t xml:space="preserve">Not started</x:t>
        </x:is>
      </x:c>
      <x:c r="M324" s="18" t="inlineStr">
        <x:is>
          <x:t xml:space="preserve"/>
        </x:is>
      </x:c>
    </x:row>
    <x:row r="325">
      <x:c r="A325" s="18" t="inlineStr">
        <x:is>
          <x:t xml:space="preserve">T128</x:t>
        </x:is>
      </x:c>
      <x:c r="B325" s="18" t="inlineStr">
        <x:is>
          <x:t xml:space="preserve">Startup Credits</x:t>
        </x:is>
      </x:c>
      <x:c r="C325" s="18" t="inlineStr">
        <x:is>
          <x:t xml:space="preserve">Apply: Clerk for Startups (discounted Enterprise)</x:t>
        </x:is>
      </x:c>
      <x:c r="D325" s="18" t="inlineStr">
        <x:is>
          <x:t xml:space="preserve">SSO/SAML/SCIM is on Pro+. Startup discount = material. Email startups@clerk.com.</x:t>
        </x:is>
      </x:c>
      <x:c r="E325" s="31" t="inlineStr">
        <x:is>
          <x:t xml:space="preserve">P0</x:t>
        </x:is>
      </x:c>
      <x:c r="F325" s="38" t="inlineStr">
        <x:is>
          <x:t xml:space="preserve">1. QUICK WIN</x:t>
        </x:is>
      </x:c>
      <x:c r="G325" s="18" t="inlineStr">
        <x:is>
          <x:t xml:space="preserve">Anand</x:t>
        </x:is>
      </x:c>
      <x:c r="H325" s="18" t="inlineStr">
        <x:is>
          <x:t xml:space="preserve">T001</x:t>
        </x:is>
      </x:c>
      <x:c r="I325" s="43" t="inlineStr">
        <x:is>
          <x:t xml:space="preserve">Self-serve</x:t>
        </x:is>
      </x:c>
      <x:c r="J325" s="52" t="inlineStr">
        <x:is>
          <x:t xml:space="preserve">$0 (saves $5-15k SSO premium)</x:t>
        </x:is>
      </x:c>
      <x:c r="K325" s="82" t="inlineStr">
        <x:is>
          <x:t xml:space="preserve">Pre-Resign</x:t>
        </x:is>
      </x:c>
      <x:c r="L325" s="44" t="inlineStr">
        <x:is>
          <x:t xml:space="preserve">Not started</x:t>
        </x:is>
      </x:c>
      <x:c r="M325" s="18" t="inlineStr">
        <x:is>
          <x:t xml:space="preserve">Required for F500 SSO</x:t>
        </x:is>
      </x:c>
    </x:row>
    <x:row r="326">
      <x:c r="A326" s="18" t="inlineStr">
        <x:is>
          <x:t xml:space="preserve">T132</x:t>
        </x:is>
      </x:c>
      <x:c r="B326" s="18" t="inlineStr">
        <x:is>
          <x:t xml:space="preserve">Startup Credits</x:t>
        </x:is>
      </x:c>
      <x:c r="C326" s="18" t="inlineStr">
        <x:is>
          <x:t xml:space="preserve">Apply: Vanta or Drata startup discount</x:t>
        </x:is>
      </x:c>
      <x:c r="D326" s="18" t="inlineStr">
        <x:is>
          <x:t xml:space="preserve">Ask at sign-up — many SOC 2 platforms have startup pricing.</x:t>
        </x:is>
      </x:c>
      <x:c r="E326" s="31" t="inlineStr">
        <x:is>
          <x:t xml:space="preserve">P0</x:t>
        </x:is>
      </x:c>
      <x:c r="F326" s="38" t="inlineStr">
        <x:is>
          <x:t xml:space="preserve">1. QUICK WIN</x:t>
        </x:is>
      </x:c>
      <x:c r="G326" s="18" t="inlineStr">
        <x:is>
          <x:t xml:space="preserve">Anand</x:t>
        </x:is>
      </x:c>
      <x:c r="H326" s="18" t="inlineStr">
        <x:is>
          <x:t xml:space="preserve">T013</x:t>
        </x:is>
      </x:c>
      <x:c r="I326" s="43" t="inlineStr">
        <x:is>
          <x:t xml:space="preserve">Self-serve (ask at signup)</x:t>
        </x:is>
      </x:c>
      <x:c r="J326" s="51" t="inlineStr">
        <x:is>
          <x:t xml:space="preserve">Reduces SOC 2 by 20-40%</x:t>
        </x:is>
      </x:c>
      <x:c r="K326" s="82" t="inlineStr">
        <x:is>
          <x:t xml:space="preserve">Pre-Resign</x:t>
        </x:is>
      </x:c>
      <x:c r="L326" s="44" t="inlineStr">
        <x:is>
          <x:t xml:space="preserve">Not started</x:t>
        </x:is>
      </x:c>
      <x:c r="M326" s="18" t="inlineStr">
        <x:is>
          <x:t xml:space="preserve">Tie to SOC 2 task</x:t>
        </x:is>
      </x:c>
    </x:row>
    <x:row r="327">
      <x:c r="A327" s="18" t="inlineStr">
        <x:is>
          <x:t xml:space="preserve">T129</x:t>
        </x:is>
      </x:c>
      <x:c r="B327" s="18" t="inlineStr">
        <x:is>
          <x:t xml:space="preserve">Startup Credits</x:t>
        </x:is>
      </x:c>
      <x:c r="C327" s="18" t="inlineStr">
        <x:is>
          <x:t xml:space="preserve">Apply: OpenAI for Startups</x:t>
        </x:is>
      </x:c>
      <x:c r="D327" s="18" t="inlineStr">
        <x:is>
          <x:t xml:space="preserve">API credits — even if Anthropic primary, useful for embeddings/eval/fallback.</x:t>
        </x:is>
      </x:c>
      <x:c r="E327" s="32" t="inlineStr">
        <x:is>
          <x:t xml:space="preserve">P1</x:t>
        </x:is>
      </x:c>
      <x:c r="F327" s="38" t="inlineStr">
        <x:is>
          <x:t xml:space="preserve">1. QUICK WIN</x:t>
        </x:is>
      </x:c>
      <x:c r="G327" s="18" t="inlineStr">
        <x:is>
          <x:t xml:space="preserve">Anand</x:t>
        </x:is>
      </x:c>
      <x:c r="H327" s="18" t="inlineStr">
        <x:is>
          <x:t xml:space="preserve">T001</x:t>
        </x:is>
      </x:c>
      <x:c r="I327" s="43" t="inlineStr">
        <x:is>
          <x:t xml:space="preserve">Self-serve</x:t>
        </x:is>
      </x:c>
      <x:c r="J327" s="52" t="inlineStr">
        <x:is>
          <x:t xml:space="preserve">$0</x:t>
        </x:is>
      </x:c>
      <x:c r="K327" s="82" t="inlineStr">
        <x:is>
          <x:t xml:space="preserve">Pre-Resign</x:t>
        </x:is>
      </x:c>
      <x:c r="L327" s="44" t="inlineStr">
        <x:is>
          <x:t xml:space="preserve">Not started</x:t>
        </x:is>
      </x:c>
      <x:c r="M327" s="18" t="inlineStr">
        <x:is>
          <x:t xml:space="preserve"/>
        </x:is>
      </x:c>
    </x:row>
    <x:row r="328">
      <x:c r="A328" s="18" t="inlineStr">
        <x:is>
          <x:t xml:space="preserve">T130</x:t>
        </x:is>
      </x:c>
      <x:c r="B328" s="18" t="inlineStr">
        <x:is>
          <x:t xml:space="preserve">Startup Credits</x:t>
        </x:is>
      </x:c>
      <x:c r="C328" s="18" t="inlineStr">
        <x:is>
          <x:t xml:space="preserve">Apply: Notion for Startups</x:t>
        </x:is>
      </x:c>
      <x:c r="D328" s="18" t="inlineStr">
        <x:is>
          <x:t xml:space="preserve">Free team plan up to N users + $1k credit. Internal wiki + customer docs.</x:t>
        </x:is>
      </x:c>
      <x:c r="E328" s="32" t="inlineStr">
        <x:is>
          <x:t xml:space="preserve">P1</x:t>
        </x:is>
      </x:c>
      <x:c r="F328" s="38" t="inlineStr">
        <x:is>
          <x:t xml:space="preserve">1. QUICK WIN</x:t>
        </x:is>
      </x:c>
      <x:c r="G328" s="18" t="inlineStr">
        <x:is>
          <x:t xml:space="preserve">Anand</x:t>
        </x:is>
      </x:c>
      <x:c r="H328" s="18" t="inlineStr">
        <x:is>
          <x:t xml:space="preserve">T001</x:t>
        </x:is>
      </x:c>
      <x:c r="I328" s="43" t="inlineStr">
        <x:is>
          <x:t xml:space="preserve">Self-serve</x:t>
        </x:is>
      </x:c>
      <x:c r="J328" s="52" t="inlineStr">
        <x:is>
          <x:t xml:space="preserve">$0</x:t>
        </x:is>
      </x:c>
      <x:c r="K328" s="82" t="inlineStr">
        <x:is>
          <x:t xml:space="preserve">Pre-Resign</x:t>
        </x:is>
      </x:c>
      <x:c r="L328" s="44" t="inlineStr">
        <x:is>
          <x:t xml:space="preserve">Not started</x:t>
        </x:is>
      </x:c>
      <x:c r="M328" s="18" t="inlineStr">
        <x:is>
          <x:t xml:space="preserve"/>
        </x:is>
      </x:c>
    </x:row>
    <x:row r="329">
      <x:c r="A329" s="18" t="inlineStr">
        <x:is>
          <x:t xml:space="preserve">T131</x:t>
        </x:is>
      </x:c>
      <x:c r="B329" s="18" t="inlineStr">
        <x:is>
          <x:t xml:space="preserve">Startup Credits</x:t>
        </x:is>
      </x:c>
      <x:c r="C329" s="18" t="inlineStr">
        <x:is>
          <x:t xml:space="preserve">Apply: HubSpot for Startups (90% off year 1)</x:t>
        </x:is>
      </x:c>
      <x:c r="D329" s="18" t="inlineStr">
        <x:is>
          <x:t xml:space="preserve">When you need CRM — post-pilot signature, before scale.</x:t>
        </x:is>
      </x:c>
      <x:c r="E329" s="49" t="inlineStr">
        <x:is>
          <x:t xml:space="preserve">P2</x:t>
        </x:is>
      </x:c>
      <x:c r="F329" s="38" t="inlineStr">
        <x:is>
          <x:t xml:space="preserve">1. QUICK WIN</x:t>
        </x:is>
      </x:c>
      <x:c r="G329" s="18" t="inlineStr">
        <x:is>
          <x:t xml:space="preserve">Anand</x:t>
        </x:is>
      </x:c>
      <x:c r="H329" s="18" t="inlineStr">
        <x:is>
          <x:t xml:space="preserve">T001</x:t>
        </x:is>
      </x:c>
      <x:c r="I329" s="43" t="inlineStr">
        <x:is>
          <x:t xml:space="preserve">Self-serve</x:t>
        </x:is>
      </x:c>
      <x:c r="J329" s="52" t="inlineStr">
        <x:is>
          <x:t xml:space="preserve">$0 year 1; ~$600/mo yr 2</x:t>
        </x:is>
      </x:c>
      <x:c r="K329" s="82" t="inlineStr">
        <x:is>
          <x:t xml:space="preserve">Pre-Resign</x:t>
        </x:is>
      </x:c>
      <x:c r="L329" s="44" t="inlineStr">
        <x:is>
          <x:t xml:space="preserve">Not started</x:t>
        </x:is>
      </x:c>
      <x:c r="M329" s="18" t="inlineStr">
        <x:is>
          <x:t xml:space="preserve"/>
        </x:is>
      </x:c>
    </x:row>
    <x:row r="330">
      <x:c r="A330" s="18" t="inlineStr">
        <x:is>
          <x:t xml:space="preserve">T135</x:t>
        </x:is>
      </x:c>
      <x:c r="B330" s="18" t="inlineStr">
        <x:is>
          <x:t xml:space="preserve">Startup Credits</x:t>
        </x:is>
      </x:c>
      <x:c r="C330" s="18" t="inlineStr">
        <x:is>
          <x:t xml:space="preserve">Join Microsoft Cloud Partner Program (MCPP) post first customer</x:t>
        </x:is>
      </x:c>
      <x:c r="D330" s="18" t="inlineStr">
        <x:is>
          <x:t xml:space="preserve">Co-sell motion with Microsoft sellers into F500 accounts. Biggest single channel multiplier for Azure-native B2B.</x:t>
        </x:is>
      </x:c>
      <x:c r="E330" s="49" t="inlineStr">
        <x:is>
          <x:t xml:space="preserve">P2</x:t>
        </x:is>
      </x:c>
      <x:c r="F330" s="38" t="inlineStr">
        <x:is>
          <x:t xml:space="preserve">1. QUICK WIN</x:t>
        </x:is>
      </x:c>
      <x:c r="G330" s="18" t="inlineStr">
        <x:is>
          <x:t xml:space="preserve">Anand</x:t>
        </x:is>
      </x:c>
      <x:c r="H330" s="18" t="inlineStr">
        <x:is>
          <x:t xml:space="preserve">T124</x:t>
        </x:is>
      </x:c>
      <x:c r="I330" s="43" t="inlineStr">
        <x:is>
          <x:t xml:space="preserve">Self-serve (later)</x:t>
        </x:is>
      </x:c>
      <x:c r="J330" s="52" t="inlineStr">
        <x:is>
          <x:t xml:space="preserve">$0</x:t>
        </x:is>
      </x:c>
      <x:c r="K330" s="83" t="inlineStr">
        <x:is>
          <x:t xml:space="preserve">Post-Resign</x:t>
        </x:is>
      </x:c>
      <x:c r="L330" s="44" t="inlineStr">
        <x:is>
          <x:t xml:space="preserve">Not started</x:t>
        </x:is>
      </x:c>
      <x:c r="M330" s="18" t="inlineStr">
        <x:is>
          <x:t xml:space="preserve">Apply after first paying customer</x:t>
        </x:is>
      </x:c>
    </x:row>
    <x:row r="331">
      <x:c r="A331" s="18" t="inlineStr">
        <x:is>
          <x:t xml:space="preserve">T133</x:t>
        </x:is>
      </x:c>
      <x:c r="B331" s="18" t="inlineStr">
        <x:is>
          <x:t xml:space="preserve">Startup Credits</x:t>
        </x:is>
      </x:c>
      <x:c r="C331" s="18" t="inlineStr">
        <x:is>
          <x:t xml:space="preserve">Apply: Linear for Startups (6 months free)</x:t>
        </x:is>
      </x:c>
      <x:c r="D331" s="18" t="inlineStr">
        <x:is>
          <x:t xml:space="preserve">If you migrate off GitHub Issues.</x:t>
        </x:is>
      </x:c>
      <x:c r="E331" s="46" t="inlineStr">
        <x:is>
          <x:t xml:space="preserve">P3</x:t>
        </x:is>
      </x:c>
      <x:c r="F331" s="38" t="inlineStr">
        <x:is>
          <x:t xml:space="preserve">1. QUICK WIN</x:t>
        </x:is>
      </x:c>
      <x:c r="G331" s="18" t="inlineStr">
        <x:is>
          <x:t xml:space="preserve">Anand</x:t>
        </x:is>
      </x:c>
      <x:c r="H331" s="18" t="inlineStr">
        <x:is>
          <x:t xml:space="preserve">T001</x:t>
        </x:is>
      </x:c>
      <x:c r="I331" s="43" t="inlineStr">
        <x:is>
          <x:t xml:space="preserve">Self-serve</x:t>
        </x:is>
      </x:c>
      <x:c r="J331" s="52" t="inlineStr">
        <x:is>
          <x:t xml:space="preserve">$0</x:t>
        </x:is>
      </x:c>
      <x:c r="K331" s="82" t="inlineStr">
        <x:is>
          <x:t xml:space="preserve">Pre-Resign</x:t>
        </x:is>
      </x:c>
      <x:c r="L331" s="44" t="inlineStr">
        <x:is>
          <x:t xml:space="preserve">Not started</x:t>
        </x:is>
      </x:c>
      <x:c r="M331" s="18" t="inlineStr">
        <x:is>
          <x:t xml:space="preserve"/>
        </x:is>
      </x:c>
    </x:row>
    <x:row r="332">
      <x:c r="A332" s="18" t="inlineStr">
        <x:is>
          <x:t xml:space="preserve">T136</x:t>
        </x:is>
      </x:c>
      <x:c r="B332" s="18" t="inlineStr">
        <x:is>
          <x:t xml:space="preserve">Startup Credits</x:t>
        </x:is>
      </x:c>
      <x:c r="C332" s="18" t="inlineStr">
        <x:is>
          <x:t xml:space="preserve">Capture all credits/perks in vendor tracker</x:t>
        </x:is>
      </x:c>
      <x:c r="D332" s="18" t="inlineStr">
        <x:is>
          <x:t xml:space="preserve">Single sheet listing each program, value, renewal date, expiry — so credits don't lapse unused.</x:t>
        </x:is>
      </x:c>
      <x:c r="E332" s="32" t="inlineStr">
        <x:is>
          <x:t xml:space="preserve">P1</x:t>
        </x:is>
      </x:c>
      <x:c r="F332" s="39" t="inlineStr">
        <x:is>
          <x:t xml:space="preserve">2. CLAUDE DOES IT</x:t>
        </x:is>
      </x:c>
      <x:c r="G332" s="18" t="inlineStr">
        <x:is>
          <x:t xml:space="preserve">Anand</x:t>
        </x:is>
      </x:c>
      <x:c r="H332" s="18" t="inlineStr">
        <x:is>
          <x:t xml:space="preserve">T124</x:t>
        </x:is>
      </x:c>
      <x:c r="I332" s="45" t="inlineStr">
        <x:is>
          <x:t xml:space="preserve">Claude (sheet)</x:t>
        </x:is>
      </x:c>
      <x:c r="J332" s="52" t="inlineStr">
        <x:is>
          <x:t xml:space="preserve">$0</x:t>
        </x:is>
      </x:c>
      <x:c r="K332" s="83" t="inlineStr">
        <x:is>
          <x:t xml:space="preserve">Post-Resign</x:t>
        </x:is>
      </x:c>
      <x:c r="L332" s="44" t="inlineStr">
        <x:is>
          <x:t xml:space="preserve">Not started</x:t>
        </x:is>
      </x:c>
      <x:c r="M332" s="18" t="inlineStr">
        <x:is>
          <x:t xml:space="preserve">Goes with Operational Readiness vendor mgmt</x:t>
        </x:is>
      </x:c>
    </x:row>
    <x:row r="333">
      <x:c r="A333" s="18" t="inlineStr">
        <x:is>
          <x:t xml:space="preserve">T134</x:t>
        </x:is>
      </x:c>
      <x:c r="B333" s="18" t="inlineStr">
        <x:is>
          <x:t xml:space="preserve">Startup Credits</x:t>
        </x:is>
      </x:c>
      <x:c r="C333" s="18" t="inlineStr">
        <x:is>
          <x:t xml:space="preserve">Publish AbarVa listing on Azure Marketplace</x:t>
        </x:is>
      </x:c>
      <x:c r="D333" s="18" t="inlineStr">
        <x:is>
          <x:t xml:space="preserve">F500 procurement preference — counts toward customer's Azure commitment. Unlocks higher Founders Hub credit tier.</x:t>
        </x:is>
      </x:c>
      <x:c r="E333" s="32" t="inlineStr">
        <x:is>
          <x:t xml:space="preserve">P1</x:t>
        </x:is>
      </x:c>
      <x:c r="F333" s="41" t="inlineStr">
        <x:is>
          <x:t xml:space="preserve">4. CLAUDE + PRO</x:t>
        </x:is>
      </x:c>
      <x:c r="G333" s="18" t="inlineStr">
        <x:is>
          <x:t xml:space="preserve">Anand</x:t>
        </x:is>
      </x:c>
      <x:c r="H333" s="18" t="inlineStr">
        <x:is>
          <x:t xml:space="preserve">T124</x:t>
        </x:is>
      </x:c>
      <x:c r="I333" s="50" t="inlineStr">
        <x:is>
          <x:t xml:space="preserve">Claude + Microsoft partner</x:t>
        </x:is>
      </x:c>
      <x:c r="J333" s="52" t="inlineStr">
        <x:is>
          <x:t xml:space="preserve">$0 (founder time + Microsoft partner)</x:t>
        </x:is>
      </x:c>
      <x:c r="K333" s="83" t="inlineStr">
        <x:is>
          <x:t xml:space="preserve">Post-Resign</x:t>
        </x:is>
      </x:c>
      <x:c r="L333" s="44" t="inlineStr">
        <x:is>
          <x:t xml:space="preserve">Not started</x:t>
        </x:is>
      </x:c>
      <x:c r="M333" s="18" t="inlineStr">
        <x:is>
          <x:t xml:space="preserve">After Microsoft Founders Hub onboarded</x:t>
        </x:is>
      </x:c>
    </x:row>
  </x:sheetData>
  <x:mergeCells>
    <x:mergeCell ref="A2:M2"/>
    <x:mergeCell ref="A1:M1"/>
  </x:mergeCells>
  <x:conditionalFormatting sqref="L5:L533">
    <x:cfRule type="cellIs" dxfId="4" priority="1" operator="equal">
      <x:formula>"Not started"</x:formula>
    </x:cfRule>
    <x:cfRule type="cellIs" dxfId="5" priority="2" operator="equal">
      <x:formula>"In progress"</x:formula>
    </x:cfRule>
    <x:cfRule type="cellIs" dxfId="6" priority="3" operator="equal">
      <x:formula>"Blocked"</x:formula>
    </x:cfRule>
    <x:cfRule type="cellIs" dxfId="7" priority="4" operator="equal">
      <x:formula>"Done"</x:formula>
    </x:cfRule>
  </x:conditionalFormatting>
  <x:conditionalFormatting sqref="A5:M533">
    <x:cfRule type="expression" dxfId="8" priority="5">
      <x:formula>$L5="Done"</x:formula>
    </x:cfRule>
  </x:conditionalFormatting>
  <x:conditionalFormatting sqref="K5:K533">
    <x:cfRule type="cellIs" dxfId="22" priority="6" operator="equal">
      <x:formula>"Pre-Resign"</x:formula>
    </x:cfRule>
    <x:cfRule type="cellIs" dxfId="19" priority="7" operator="equal">
      <x:formula>"At-Resign"</x:formula>
    </x:cfRule>
    <x:cfRule type="cellIs" dxfId="23" priority="8" operator="equal">
      <x:formula>"Post-Resign"</x:formula>
    </x:cfRule>
    <x:cfRule type="cellIs" dxfId="24" priority="9" operator="equal">
      <x:formula>"Anytime"</x:formula>
    </x:cfRule>
  </x:conditionalFormatting>
  <x:dataValidations count="3">
    <x:dataValidation type="list" allowBlank="0" showDropDown="0" showInputMessage="0" showErrorMessage="0" sqref="L5:L533">
      <x:formula1>"Not started,In progress,Blocked,Done"</x:formula1>
    </x:dataValidation>
    <x:dataValidation type="list" allowBlank="0" showDropDown="0" showInputMessage="0" showErrorMessage="0" sqref="E5:E533">
      <x:formula1>"P0,P1,P2,P3"</x:formula1>
    </x:dataValidation>
    <x:dataValidation type="list" allowBlank="0" showDropDown="0" showInputMessage="0" showErrorMessage="0" sqref="K5:K533">
      <x:formula1>"Pre-Resign,At-Resign,Post-Resign,Anytime"</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2" customWidth="1"/>
    <x:col min="2" max="2" width="16" customWidth="1"/>
    <x:col min="3" max="3" width="22" customWidth="1"/>
    <x:col min="4" max="4" width="38" customWidth="1"/>
    <x:col min="5" max="5" width="14" customWidth="1"/>
    <x:col min="6" max="6" width="26" customWidth="1"/>
    <x:col min="7" max="7" width="24" customWidth="1"/>
    <x:col min="8" max="8" width="20" customWidth="1"/>
    <x:col min="9" max="9" width="14" customWidth="1"/>
  </x:cols>
  <x:sheetData>
    <x:row r="2">
      <x:c r="B2" s="1" t="inlineStr">
        <x:is>
          <x:t xml:space="preserve">Codex Execution Queue — Hand These Off in Order</x:t>
        </x:is>
      </x:c>
    </x:row>
    <x:row r="3">
      <x:c r="B3" s="2" t="inlineStr">
        <x:is>
          <x:t xml:space="preserve">Wave-by-wave handoff. Each Codex task is scoped, self-contained, Anytime-phase, $0 cost. Copy-paste prompts below directly into Codex.</x:t>
        </x:is>
      </x:c>
    </x:row>
    <x:row r="4">
      <x:c r="B4" s="94" t="inlineStr">
        <x:is>
          <x:t xml:space="preserve">👉 Full autonomous-execution prompts now live at: docs/planning/CODEX_AUTONOMOUS_EXECUTION.md (markdown — better for Codex consumption)</x:t>
        </x:is>
      </x:c>
    </x:row>
    <x:row r="5">
      <x:c r="B5" s="5" t="inlineStr">
        <x:is>
          <x:t xml:space="preserve">Wave Summary</x:t>
        </x:is>
      </x:c>
    </x:row>
    <x:row r="6">
      <x:c r="B6" s="8" t="inlineStr">
        <x:is>
          <x:t xml:space="preserve">Wave</x:t>
        </x:is>
      </x:c>
      <x:c r="C6" s="8" t="inlineStr">
        <x:is>
          <x:t xml:space="preserve">Focus</x:t>
        </x:is>
      </x:c>
      <x:c r="D6" s="8" t="inlineStr">
        <x:is>
          <x:t xml:space="preserve">Tasks</x:t>
        </x:is>
      </x:c>
      <x:c r="E6" s="8" t="inlineStr">
        <x:is>
          <x:t xml:space="preserve">Effort</x:t>
        </x:is>
      </x:c>
      <x:c r="F6" s="8" t="inlineStr">
        <x:is>
          <x:t xml:space="preserve">Deliverables</x:t>
        </x:is>
      </x:c>
      <x:c r="G6" s="8" t="inlineStr">
        <x:is>
          <x:t xml:space="preserve">Acceptance</x:t>
        </x:is>
      </x:c>
      <x:c r="H6" s="8" t="inlineStr">
        <x:is>
          <x:t xml:space="preserve">Dependencies</x:t>
        </x:is>
      </x:c>
      <x:c r="I6" s="8" t="inlineStr">
        <x:is>
          <x:t xml:space="preserve">Status</x:t>
        </x:is>
      </x:c>
    </x:row>
    <x:row r="7">
      <x:c r="B7" s="8" t="inlineStr">
        <x:is>
          <x:t xml:space="preserve">Wave 1</x:t>
        </x:is>
      </x:c>
      <x:c r="C7" s="18" t="inlineStr">
        <x:is>
          <x:t xml:space="preserve">Governance foundation</x:t>
        </x:is>
      </x:c>
      <x:c r="D7" s="18" t="inlineStr">
        <x:is>
          <x:t xml:space="preserve">5 ADRs + GOVERNANCE.md + CODEOWNERS + PR template + pre-commit hooks + Conventional Commits config</x:t>
        </x:is>
      </x:c>
      <x:c r="E7" s="18" t="inlineStr">
        <x:is>
          <x:t xml:space="preserve">1-2 days</x:t>
        </x:is>
      </x:c>
      <x:c r="F7" s="18" t="inlineStr">
        <x:is>
          <x:t xml:space="preserve">Files committed to main; release record per AGENTS.md</x:t>
        </x:is>
      </x:c>
      <x:c r="G7" s="18" t="inlineStr">
        <x:is>
          <x:t xml:space="preserve">PR opens, all 7 deliverables present, tests pass, release record present</x:t>
        </x:is>
      </x:c>
      <x:c r="H7" s="18" t="inlineStr">
        <x:is>
          <x:t xml:space="preserve">None — start here</x:t>
        </x:is>
      </x:c>
      <x:c r="I7" s="18" t="inlineStr">
        <x:is>
          <x:t xml:space="preserve">Not started</x:t>
        </x:is>
      </x:c>
    </x:row>
    <x:row r="8">
      <x:c r="B8" s="8" t="inlineStr">
        <x:is>
          <x:t xml:space="preserve">Wave 2</x:t>
        </x:is>
      </x:c>
      <x:c r="C8" s="18" t="inlineStr">
        <x:is>
          <x:t xml:space="preserve">AI Liability framework</x:t>
        </x:is>
      </x:c>
      <x:c r="D8" s="18" t="inlineStr">
        <x:is>
          <x:t xml:space="preserve">ADR + dependency-cruiser rule + AILabel/ApprovalGate/JustificationField/ConfidenceIndicator/SourceCitation/EditBeforeCommit/DisclaimerFooter components in /src/components/ai-liability/</x:t>
        </x:is>
      </x:c>
      <x:c r="E8" s="18" t="inlineStr">
        <x:is>
          <x:t xml:space="preserve">2-3 days</x:t>
        </x:is>
      </x:c>
      <x:c r="F8" s="18" t="inlineStr">
        <x:is>
          <x:t xml:space="preserve">Architectural invariant codified + reusable React components ready for retrofit waves</x:t>
        </x:is>
      </x:c>
      <x:c r="G8" s="18" t="inlineStr">
        <x:is>
          <x:t xml:space="preserve">Components Storybook-style demo; dep-cruiser rule blocks violations; ADR merged</x:t>
        </x:is>
      </x:c>
      <x:c r="H8" s="18" t="inlineStr">
        <x:is>
          <x:t xml:space="preserve">Wave 1</x:t>
        </x:is>
      </x:c>
      <x:c r="I8" s="18" t="inlineStr">
        <x:is>
          <x:t xml:space="preserve">Not started</x:t>
        </x:is>
      </x:c>
    </x:row>
    <x:row r="9">
      <x:c r="B9" s="8" t="inlineStr">
        <x:is>
          <x:t xml:space="preserve">Wave 3</x:t>
        </x:is>
      </x:c>
      <x:c r="C9" s="18" t="inlineStr">
        <x:is>
          <x:t xml:space="preserve">CI quality gates</x:t>
        </x:is>
      </x:c>
      <x:c r="D9" s="18" t="inlineStr">
        <x:is>
          <x:t xml:space="preserve">GitHub Actions: lint, typecheck, unit, integration, build, gitleaks, dep audit, license-checker, SBOM, bundle-size, Lighthouse CI</x:t>
        </x:is>
      </x:c>
      <x:c r="E9" s="18" t="inlineStr">
        <x:is>
          <x:t xml:space="preserve">1-2 days</x:t>
        </x:is>
      </x:c>
      <x:c r="F9" s="18" t="inlineStr">
        <x:is>
          <x:t xml:space="preserve">.github/workflows/ files; all required-check on main</x:t>
        </x:is>
      </x:c>
      <x:c r="G9" s="18" t="inlineStr">
        <x:is>
          <x:t xml:space="preserve">PR fails on any gate violation; documented in GOVERNANCE.md</x:t>
        </x:is>
      </x:c>
      <x:c r="H9" s="18" t="inlineStr">
        <x:is>
          <x:t xml:space="preserve">Wave 1</x:t>
        </x:is>
      </x:c>
      <x:c r="I9" s="18" t="inlineStr">
        <x:is>
          <x:t xml:space="preserve">Not started</x:t>
        </x:is>
      </x:c>
    </x:row>
    <x:row r="10">
      <x:c r="B10" s="8" t="inlineStr">
        <x:is>
          <x:t xml:space="preserve">Wave 4</x:t>
        </x:is>
      </x:c>
      <x:c r="C10" s="18" t="inlineStr">
        <x:is>
          <x:t xml:space="preserve">Architecture boundaries</x:t>
        </x:is>
      </x:c>
      <x:c r="D10" s="18" t="inlineStr">
        <x:is>
          <x:t xml:space="preserve">/.dependency-cruiser.cjs config encoding: broker boundary, no legacy Supabase, no direct-DB from routes, no hardcoded tenant IDs, no console.log, test-file location</x:t>
        </x:is>
      </x:c>
      <x:c r="E10" s="18" t="inlineStr">
        <x:is>
          <x:t xml:space="preserve">1 day</x:t>
        </x:is>
      </x:c>
      <x:c r="F10" s="18" t="inlineStr">
        <x:is>
          <x:t xml:space="preserve">dep-cruiser validates on every PR; existing violations cataloged</x:t>
        </x:is>
      </x:c>
      <x:c r="G10" s="18" t="inlineStr">
        <x:is>
          <x:t xml:space="preserve">Rules pass on green commits; documented exceptions for legacy</x:t>
        </x:is>
      </x:c>
      <x:c r="H10" s="18" t="inlineStr">
        <x:is>
          <x:t xml:space="preserve">Wave 1, 2</x:t>
        </x:is>
      </x:c>
      <x:c r="I10" s="18" t="inlineStr">
        <x:is>
          <x:t xml:space="preserve">Not started</x:t>
        </x:is>
      </x:c>
    </x:row>
    <x:row r="11">
      <x:c r="B11" s="8" t="inlineStr">
        <x:is>
          <x:t xml:space="preserve">Wave 5</x:t>
        </x:is>
      </x:c>
      <x:c r="C11" s="18" t="inlineStr">
        <x:is>
          <x:t xml:space="preserve">Document parsing pipeline</x:t>
        </x:is>
      </x:c>
      <x:c r="D11" s="18" t="inlineStr">
        <x:is>
          <x:t xml:space="preserve">Azure Doc Intelligence integration + content-hash parse cache + Anthropic prompt caching wiring + small-doc shortcut + supported format matrix</x:t>
        </x:is>
      </x:c>
      <x:c r="E11" s="18" t="inlineStr">
        <x:is>
          <x:t xml:space="preserve">2-3 days</x:t>
        </x:is>
      </x:c>
      <x:c r="F11" s="18" t="inlineStr">
        <x:is>
          <x:t xml:space="preserve">/src/lib/ingestion/* with parse-once-cache-reuse pattern</x:t>
        </x:is>
      </x:c>
      <x:c r="G11" s="18" t="inlineStr">
        <x:is>
          <x:t xml:space="preserve">Upload triggers parse → cache → reuse on re-upload; tests prove no re-parse on hash match</x:t>
        </x:is>
      </x:c>
      <x:c r="H11" s="18" t="inlineStr">
        <x:is>
          <x:t xml:space="preserve">Wave 1, 2</x:t>
        </x:is>
      </x:c>
      <x:c r="I11" s="18" t="inlineStr">
        <x:is>
          <x:t xml:space="preserve">Not started</x:t>
        </x:is>
      </x:c>
    </x:row>
    <x:row r="12">
      <x:c r="B12" s="8" t="inlineStr">
        <x:is>
          <x:t xml:space="preserve">Wave 6</x:t>
        </x:is>
      </x:c>
      <x:c r="C12" s="18" t="inlineStr">
        <x:is>
          <x:t xml:space="preserve">Token meter + admin/ops</x:t>
        </x:is>
      </x:c>
      <x:c r="D12" s="18" t="inlineStr">
        <x:is>
          <x:t xml:space="preserve">Per-tenant LLM usage meter + hard cap enforcement + admin/ops surface (re-index, migrations, backfills)</x:t>
        </x:is>
      </x:c>
      <x:c r="E12" s="18" t="inlineStr">
        <x:is>
          <x:t xml:space="preserve">2-3 days</x:t>
        </x:is>
      </x:c>
      <x:c r="F12" s="18" t="inlineStr">
        <x:is>
          <x:t xml:space="preserve">/src/lib/metering/* + /src/app/(admin)/ops/* (feature-flagged)</x:t>
        </x:is>
      </x:c>
      <x:c r="G12" s="18" t="inlineStr">
        <x:is>
          <x:t xml:space="preserve">Meter visible per tenant; cap triggers; admin actions audit-logged</x:t>
        </x:is>
      </x:c>
      <x:c r="H12" s="18" t="inlineStr">
        <x:is>
          <x:t xml:space="preserve">Wave 1, 2</x:t>
        </x:is>
      </x:c>
      <x:c r="I12" s="18" t="inlineStr">
        <x:is>
          <x:t xml:space="preserve">Not started</x:t>
        </x:is>
      </x:c>
    </x:row>
    <x:row r="13">
      <x:c r="B13" s="8" t="inlineStr">
        <x:is>
          <x:t xml:space="preserve">Wave 7</x:t>
        </x:is>
      </x:c>
      <x:c r="C13" s="18" t="inlineStr">
        <x:is>
          <x:t xml:space="preserve">AI Liability retrofit per module</x:t>
        </x:is>
      </x:c>
      <x:c r="D13" s="18" t="inlineStr">
        <x:is>
          <x:t xml:space="preserve">Apply AI label + citations + confidence + approval gate + justification + evidence bundle to Intelligence, Moves, Source, Tower, Setup</x:t>
        </x:is>
      </x:c>
      <x:c r="E13" s="18" t="inlineStr">
        <x:is>
          <x:t xml:space="preserve">5-7 days</x:t>
        </x:is>
      </x:c>
      <x:c r="F13" s="18" t="inlineStr">
        <x:is>
          <x:t xml:space="preserve">Each module surface uses Wave 2 components; audit catalog 100% complete</x:t>
        </x:is>
      </x:c>
      <x:c r="G13" s="18" t="inlineStr">
        <x:is>
          <x:t xml:space="preserve">E2E test asserts pattern present per surface; retrofit checkpoint passes</x:t>
        </x:is>
      </x:c>
      <x:c r="H13" s="18" t="inlineStr">
        <x:is>
          <x:t xml:space="preserve">Waves 1, 2, 4</x:t>
        </x:is>
      </x:c>
      <x:c r="I13" s="18" t="inlineStr">
        <x:is>
          <x:t xml:space="preserve">Not started</x:t>
        </x:is>
      </x:c>
    </x:row>
    <x:row r="14">
      <x:c r="B14" s="8" t="inlineStr">
        <x:is>
          <x:t xml:space="preserve">Wave 8</x:t>
        </x:is>
      </x:c>
      <x:c r="C14" s="18" t="inlineStr">
        <x:is>
          <x:t xml:space="preserve">Internal Rehearsal scaffolding</x:t>
        </x:is>
      </x:c>
      <x:c r="D14" s="18" t="inlineStr">
        <x:is>
          <x:t xml:space="preserve">FakeClient Azure IaC (Bicep) + Entra dev tenant setup script + synthetic data loader + SAML/SCIM wiring</x:t>
        </x:is>
      </x:c>
      <x:c r="E14" s="18" t="inlineStr">
        <x:is>
          <x:t xml:space="preserve">3-5 days (some manual portal steps)</x:t>
        </x:is>
      </x:c>
      <x:c r="F14" s="18" t="inlineStr">
        <x:is>
          <x:t xml:space="preserve">Reproducible client-tenant deployment in &lt;2 hours</x:t>
        </x:is>
      </x:c>
      <x:c r="G14" s="18" t="inlineStr">
        <x:is>
          <x:t xml:space="preserve">Full FakeClient stand-up rehearsed end-to-end</x:t>
        </x:is>
      </x:c>
      <x:c r="H14" s="18" t="inlineStr">
        <x:is>
          <x:t xml:space="preserve">Waves 5, 6</x:t>
        </x:is>
      </x:c>
      <x:c r="I14" s="18" t="inlineStr">
        <x:is>
          <x:t xml:space="preserve">Not started</x:t>
        </x:is>
      </x:c>
    </x:row>
    <x:row r="15">
      <x:c r="B15" s="8" t="inlineStr">
        <x:is>
          <x:t xml:space="preserve">Wave 9</x:t>
        </x:is>
      </x:c>
      <x:c r="C15" s="18" t="inlineStr">
        <x:is>
          <x:t xml:space="preserve">Pressure + Adversarial test harnesses</x:t>
        </x:is>
      </x:c>
      <x:c r="D15" s="18" t="inlineStr">
        <x:is>
          <x:t xml:space="preserve">k6 load scripts + Claude Agent SDK persona harness + hallucination detection + agent-loop guard + prompt injection suite + chaos hooks</x:t>
        </x:is>
      </x:c>
      <x:c r="E15" s="18" t="inlineStr">
        <x:is>
          <x:t xml:space="preserve">3-5 days</x:t>
        </x:is>
      </x:c>
      <x:c r="F15" s="18" t="inlineStr">
        <x:is>
          <x:t xml:space="preserve">/tests/load + /tests/adversarial test suites runnable in CI</x:t>
        </x:is>
      </x:c>
      <x:c r="G15" s="18" t="inlineStr">
        <x:is>
          <x:t xml:space="preserve">Baseline + stretch + adversarial tests pass; quality dashboard live</x:t>
        </x:is>
      </x:c>
      <x:c r="H15" s="18" t="inlineStr">
        <x:is>
          <x:t xml:space="preserve">Waves 5, 6, 7</x:t>
        </x:is>
      </x:c>
      <x:c r="I15" s="18" t="inlineStr">
        <x:is>
          <x:t xml:space="preserve">Not started</x:t>
        </x:is>
      </x:c>
    </x:row>
    <x:row r="19">
      <x:c r="B19" s="5" t="inlineStr">
        <x:is>
          <x:t xml:space="preserve">📋 Wave 1 Codex Prompts — Copy-Paste Ready</x:t>
        </x:is>
      </x:c>
    </x:row>
    <x:row r="20">
      <x:c r="B20" s="2" t="inlineStr">
        <x:is>
          <x:t xml:space="preserve">Each is self-contained for Codex. Run sequentially or in parallel (no inter-dependencies). All commit per AGENTS.md release discipline.</x:t>
        </x:is>
      </x:c>
    </x:row>
    <x:row r="22">
      <x:c r="B22" s="85" t="inlineStr">
        <x:is>
          <x:t xml:space="preserve">Task 1.1: Write GOVERNANCE.md</x:t>
        </x:is>
      </x:c>
    </x:row>
    <x:row r="23" ht="280" customHeight="1">
      <x:c r="B23" s="86" t="inlineStr">
        <x:is>
          <x:t xml:space="preserve">Create /GOVERNANCE.md at repo root.
GOAL: Single 1-page index that any new contributor (human or AI) reads day-1 to know where standards live.
CONTENT (in this order):
1. One-paragraph statement of how AbarVa governs code: "AGENTS.md is the source of truth for coding conventions; CI enforces what AGENTS.md describes."
2. "Where to find" table with paths:
   - /AGENTS.md — coding rules + release discipline (all AI tools + humans)
   - /CLAUDE.md — Claude Code instructions (imports AGENTS.md)
   - /.cursor/rules — Cursor instructions (generated from AGENTS.md)
   - /.github/copilot-instructions.md — Copilot instructions (generated from AGENTS.md)
   - /.github/CODEOWNERS — who reviews what
   - /.github/PULL_REQUEST_TEMPLATE.md — required PR sections
   - /docs/architecture/adr/ — Architecture Decision Records
   - /docs/runbooks/ — incident response, rollback, DB migration, on-call
   - /docs/releases/records/ — per-release records (CI-enforced)
3. "How to make a change" checklist (read AGENTS.md → branch → small PR → release record → green CI → merge)
4. Pointer: "When in doubt, read AGENTS.md and ask Anand."
ACCEPTANCE: file exists, links resolve, no broken paths, AGENTS.md and CLAUDE.md unchanged.
RELEASE RECORD: yes (global-control-lane, internal-admin layer). Use docs/releases/templates/release-record-template.md.</x:t>
        </x:is>
      </x:c>
      <x:c r="C23" s="87" t="n"/>
      <x:c r="D23" s="87" t="n"/>
      <x:c r="E23" s="87" t="n"/>
      <x:c r="F23" s="87" t="n"/>
      <x:c r="G23" s="87" t="n"/>
      <x:c r="H23" s="87" t="n"/>
      <x:c r="I23" s="88" t="n"/>
    </x:row>
    <x:row r="24">
      <x:c r="B24" s="89" t="n"/>
      <x:c r="I24" s="90" t="n"/>
    </x:row>
    <x:row r="25">
      <x:c r="B25" s="89" t="n"/>
      <x:c r="I25" s="90" t="n"/>
    </x:row>
    <x:row r="26">
      <x:c r="B26" s="89" t="n"/>
      <x:c r="I26" s="90" t="n"/>
    </x:row>
    <x:row r="27">
      <x:c r="B27" s="89" t="n"/>
      <x:c r="I27" s="90" t="n"/>
    </x:row>
    <x:row r="28">
      <x:c r="B28" s="89" t="n"/>
      <x:c r="I28" s="90" t="n"/>
    </x:row>
    <x:row r="29">
      <x:c r="B29" s="89" t="n"/>
      <x:c r="I29" s="90" t="n"/>
    </x:row>
    <x:row r="30">
      <x:c r="B30" s="89" t="n"/>
      <x:c r="I30" s="90" t="n"/>
    </x:row>
    <x:row r="31">
      <x:c r="B31" s="89" t="n"/>
      <x:c r="I31" s="90" t="n"/>
    </x:row>
    <x:row r="32">
      <x:c r="B32" s="89" t="n"/>
      <x:c r="I32" s="90" t="n"/>
    </x:row>
    <x:row r="33">
      <x:c r="B33" s="91" t="n"/>
      <x:c r="C33" s="92" t="n"/>
      <x:c r="D33" s="92" t="n"/>
      <x:c r="E33" s="92" t="n"/>
      <x:c r="F33" s="92" t="n"/>
      <x:c r="G33" s="92" t="n"/>
      <x:c r="H33" s="92" t="n"/>
      <x:c r="I33" s="93" t="n"/>
    </x:row>
    <x:row r="35">
      <x:c r="B35" s="85" t="inlineStr">
        <x:is>
          <x:t xml:space="preserve">Task 1.2: Set up /docs/architecture/adr/ framework + write 5 foundational ADRs</x:t>
        </x:is>
      </x:c>
    </x:row>
    <x:row r="36" ht="280" customHeight="1">
      <x:c r="B36" s="86" t="inlineStr">
        <x:is>
          <x:t xml:space="preserve">Create ADR framework + initial 5 ADRs documenting decisions ALREADY MADE.
Steps:
1. Create /docs/architecture/adr/ADR-template.md with sections: Title / Status / Context / Decision / Consequences / Alternatives Considered / References.
2. Write the following ADRs, numbered ADR-0001 through ADR-0005, each in a separate file:
   - ADR-0001-control-plane-vs-data-plane.md: Multi-tenant Next.js control plane on Vercel + per-client data plane in customer Azure. Reference existing memory: project_apex_tenant_data_drop, feedback_broker_boundary.
   - ADR-0002-agent-context-broker-boundary.md: App tier MUST go through AgentContextBroker; cannot import EnterpriseDataRoom/vector/graph directly. Reference feedback_broker_boundary.
   - ADR-0003-release-lanes.md: 5 lanes (global-control / client-data / internal-admin / public-demo / experimental) per AGENTS.md. Document how releases flow.
   - ADR-0004-per-user-rls.md: Per-user Row-Level Security on data plane. Reference project_per_user_rls_pilot_ready (Phase 5 shipped 2026-05-07; 6 migrations + 108 tests).
   - ADR-0005-ai-tool-governance.md: AGENTS.md is single source of truth for all AI coding tools; generated derivatives in .cursor/rules, .github/copilot-instructions.md.
3. Each ADR: 1-2 pages, clear reasoning, references existing memory/code where applicable.
ACCEPTANCE: 6 files exist (template + 5 ADRs), all numbered correctly, all reference real code/memory, no fabricated facts.
RELEASE RECORD: yes.</x:t>
        </x:is>
      </x:c>
      <x:c r="C36" s="87" t="n"/>
      <x:c r="D36" s="87" t="n"/>
      <x:c r="E36" s="87" t="n"/>
      <x:c r="F36" s="87" t="n"/>
      <x:c r="G36" s="87" t="n"/>
      <x:c r="H36" s="87" t="n"/>
      <x:c r="I36" s="88" t="n"/>
    </x:row>
    <x:row r="37">
      <x:c r="B37" s="89" t="n"/>
      <x:c r="I37" s="90" t="n"/>
    </x:row>
    <x:row r="38">
      <x:c r="B38" s="89" t="n"/>
      <x:c r="I38" s="90" t="n"/>
    </x:row>
    <x:row r="39">
      <x:c r="B39" s="89" t="n"/>
      <x:c r="I39" s="90" t="n"/>
    </x:row>
    <x:row r="40">
      <x:c r="B40" s="89" t="n"/>
      <x:c r="I40" s="90" t="n"/>
    </x:row>
    <x:row r="41">
      <x:c r="B41" s="89" t="n"/>
      <x:c r="I41" s="90" t="n"/>
    </x:row>
    <x:row r="42">
      <x:c r="B42" s="89" t="n"/>
      <x:c r="I42" s="90" t="n"/>
    </x:row>
    <x:row r="43">
      <x:c r="B43" s="89" t="n"/>
      <x:c r="I43" s="90" t="n"/>
    </x:row>
    <x:row r="44">
      <x:c r="B44" s="89" t="n"/>
      <x:c r="I44" s="90" t="n"/>
    </x:row>
    <x:row r="45">
      <x:c r="B45" s="89" t="n"/>
      <x:c r="I45" s="90" t="n"/>
    </x:row>
    <x:row r="46">
      <x:c r="B46" s="91" t="n"/>
      <x:c r="C46" s="92" t="n"/>
      <x:c r="D46" s="92" t="n"/>
      <x:c r="E46" s="92" t="n"/>
      <x:c r="F46" s="92" t="n"/>
      <x:c r="G46" s="92" t="n"/>
      <x:c r="H46" s="92" t="n"/>
      <x:c r="I46" s="93" t="n"/>
    </x:row>
    <x:row r="48">
      <x:c r="B48" s="85" t="inlineStr">
        <x:is>
          <x:t xml:space="preserve">Task 1.3: Create /.github/CODEOWNERS</x:t>
        </x:is>
      </x:c>
    </x:row>
    <x:row r="49" ht="280" customHeight="1">
      <x:c r="B49" s="86" t="inlineStr">
        <x:is>
          <x:t xml:space="preserve">Create /.github/CODEOWNERS gating who reviews what.
CONTENT (use real GitHub username @anand-sundaram-thesundaram if known, else placeholder @anand-sundaram):
* @anand-sundaram
/src/lib/auth/** @anand-sundaram
/src/lib/broker/** @anand-sundaram
/src/lib/ingestion/** @anand-sundaram
/migrations/** @anand-sundaram
/.github/** @anand-sundaram
/docs/architecture/adr/** @anand-sundaram
/docs/releases/records/** @anand-sundaram
ACCEPTANCE: file exists, paths correct, GitHub will parse it (no syntax errors).
RELEASE RECORD: yes (global-control-lane).</x:t>
        </x:is>
      </x:c>
      <x:c r="C49" s="87" t="n"/>
      <x:c r="D49" s="87" t="n"/>
      <x:c r="E49" s="87" t="n"/>
      <x:c r="F49" s="87" t="n"/>
      <x:c r="G49" s="87" t="n"/>
      <x:c r="H49" s="87" t="n"/>
      <x:c r="I49" s="88" t="n"/>
    </x:row>
    <x:row r="50">
      <x:c r="B50" s="89" t="n"/>
      <x:c r="I50" s="90" t="n"/>
    </x:row>
    <x:row r="51">
      <x:c r="B51" s="89" t="n"/>
      <x:c r="I51" s="90" t="n"/>
    </x:row>
    <x:row r="52">
      <x:c r="B52" s="89" t="n"/>
      <x:c r="I52" s="90" t="n"/>
    </x:row>
    <x:row r="53">
      <x:c r="B53" s="89" t="n"/>
      <x:c r="I53" s="90" t="n"/>
    </x:row>
    <x:row r="54">
      <x:c r="B54" s="89" t="n"/>
      <x:c r="I54" s="90" t="n"/>
    </x:row>
    <x:row r="55">
      <x:c r="B55" s="89" t="n"/>
      <x:c r="I55" s="90" t="n"/>
    </x:row>
    <x:row r="56">
      <x:c r="B56" s="89" t="n"/>
      <x:c r="I56" s="90" t="n"/>
    </x:row>
    <x:row r="57">
      <x:c r="B57" s="89" t="n"/>
      <x:c r="I57" s="90" t="n"/>
    </x:row>
    <x:row r="58">
      <x:c r="B58" s="89" t="n"/>
      <x:c r="I58" s="90" t="n"/>
    </x:row>
    <x:row r="59">
      <x:c r="B59" s="91" t="n"/>
      <x:c r="C59" s="92" t="n"/>
      <x:c r="D59" s="92" t="n"/>
      <x:c r="E59" s="92" t="n"/>
      <x:c r="F59" s="92" t="n"/>
      <x:c r="G59" s="92" t="n"/>
      <x:c r="H59" s="92" t="n"/>
      <x:c r="I59" s="93" t="n"/>
    </x:row>
    <x:row r="61">
      <x:c r="B61" s="85" t="inlineStr">
        <x:is>
          <x:t xml:space="preserve">Task 1.4: Create /.github/PULL_REQUEST_TEMPLATE.md enforcing release-control sections</x:t>
        </x:is>
      </x:c>
    </x:row>
    <x:row r="62" ht="280" customHeight="1">
      <x:c r="B62" s="86" t="inlineStr">
        <x:is>
          <x:t xml:space="preserve">Create PR template that REQUIRES the AGENTS.md release discipline sections (Lane / Layer / Clients / QA / Rollout / Rollback).
CONTENT:
## Summary
&lt;what changed and why&gt;
## Release Classification (REQUIRED — do not skip)
- **Release lane**: [ ] global-control-lane / [ ] client-data-lane / [ ] internal-admin / [ ] public-demo / [ ] experimental
- **Layer impact**: &lt;which architectural layer changed&gt;
- **Clients affected**: &lt;which clients see this change; "all (gated)" / "Apex only" / "none" etc.&gt;
## QA / Validation
- [ ] Unit tests added/updated
- [ ] Integration tests added/updated
- [ ] Manual verification: &lt;describe&gt;
- [ ] Release record at docs/releases/records/&lt;YYYY-MM-DD-name&gt;.md
## Rollout
&lt;feature flag? phased? immediate?&gt;
## Rollback
&lt;how to revert if needed&gt;
ACCEPTANCE: file exists, all 6 release-control sections present. New PRs auto-include this.
RELEASE RECORD: yes.</x:t>
        </x:is>
      </x:c>
      <x:c r="C62" s="87" t="n"/>
      <x:c r="D62" s="87" t="n"/>
      <x:c r="E62" s="87" t="n"/>
      <x:c r="F62" s="87" t="n"/>
      <x:c r="G62" s="87" t="n"/>
      <x:c r="H62" s="87" t="n"/>
      <x:c r="I62" s="88" t="n"/>
    </x:row>
    <x:row r="63">
      <x:c r="B63" s="89" t="n"/>
      <x:c r="I63" s="90" t="n"/>
    </x:row>
    <x:row r="64">
      <x:c r="B64" s="89" t="n"/>
      <x:c r="I64" s="90" t="n"/>
    </x:row>
    <x:row r="65">
      <x:c r="B65" s="89" t="n"/>
      <x:c r="I65" s="90" t="n"/>
    </x:row>
    <x:row r="66">
      <x:c r="B66" s="89" t="n"/>
      <x:c r="I66" s="90" t="n"/>
    </x:row>
    <x:row r="67">
      <x:c r="B67" s="89" t="n"/>
      <x:c r="I67" s="90" t="n"/>
    </x:row>
    <x:row r="68">
      <x:c r="B68" s="89" t="n"/>
      <x:c r="I68" s="90" t="n"/>
    </x:row>
    <x:row r="69">
      <x:c r="B69" s="89" t="n"/>
      <x:c r="I69" s="90" t="n"/>
    </x:row>
    <x:row r="70">
      <x:c r="B70" s="89" t="n"/>
      <x:c r="I70" s="90" t="n"/>
    </x:row>
    <x:row r="71">
      <x:c r="B71" s="89" t="n"/>
      <x:c r="I71" s="90" t="n"/>
    </x:row>
    <x:row r="72">
      <x:c r="B72" s="91" t="n"/>
      <x:c r="C72" s="92" t="n"/>
      <x:c r="D72" s="92" t="n"/>
      <x:c r="E72" s="92" t="n"/>
      <x:c r="F72" s="92" t="n"/>
      <x:c r="G72" s="92" t="n"/>
      <x:c r="H72" s="92" t="n"/>
      <x:c r="I72" s="93" t="n"/>
    </x:row>
    <x:row r="74">
      <x:c r="B74" s="85" t="inlineStr">
        <x:is>
          <x:t xml:space="preserve">Task 1.5: Add pre-commit hooks (husky + lint-staged)</x:t>
        </x:is>
      </x:c>
    </x:row>
    <x:row r="75" ht="280" customHeight="1">
      <x:c r="B75" s="86" t="inlineStr">
        <x:is>
          <x:t xml:space="preserve">Set up pre-commit hooks so lint/format/typecheck run on staged files BEFORE commit.
Steps:
1. npm install -D husky lint-staged
2. npx husky init
3. /.husky/pre-commit: runs `npx lint-staged`
4. Add to package.json:
   "lint-staged": {
     "src/**/*.{ts,tsx}": ["eslint --fix", "prettier --write"],
     "src/**/*.md": ["prettier --write"]
   }
5. Verify: staging a file with a lint error causes commit to fail.
ACCEPTANCE: pre-commit hook fires, blocks bad commits, doesn't slow good commits down.
RELEASE RECORD: yes.</x:t>
        </x:is>
      </x:c>
      <x:c r="C75" s="87" t="n"/>
      <x:c r="D75" s="87" t="n"/>
      <x:c r="E75" s="87" t="n"/>
      <x:c r="F75" s="87" t="n"/>
      <x:c r="G75" s="87" t="n"/>
      <x:c r="H75" s="87" t="n"/>
      <x:c r="I75" s="88" t="n"/>
    </x:row>
    <x:row r="76">
      <x:c r="B76" s="89" t="n"/>
      <x:c r="I76" s="90" t="n"/>
    </x:row>
    <x:row r="77">
      <x:c r="B77" s="89" t="n"/>
      <x:c r="I77" s="90" t="n"/>
    </x:row>
    <x:row r="78">
      <x:c r="B78" s="89" t="n"/>
      <x:c r="I78" s="90" t="n"/>
    </x:row>
    <x:row r="79">
      <x:c r="B79" s="89" t="n"/>
      <x:c r="I79" s="90" t="n"/>
    </x:row>
    <x:row r="80">
      <x:c r="B80" s="89" t="n"/>
      <x:c r="I80" s="90" t="n"/>
    </x:row>
    <x:row r="81">
      <x:c r="B81" s="89" t="n"/>
      <x:c r="I81" s="90" t="n"/>
    </x:row>
    <x:row r="82">
      <x:c r="B82" s="89" t="n"/>
      <x:c r="I82" s="90" t="n"/>
    </x:row>
    <x:row r="83">
      <x:c r="B83" s="89" t="n"/>
      <x:c r="I83" s="90" t="n"/>
    </x:row>
    <x:row r="84">
      <x:c r="B84" s="89" t="n"/>
      <x:c r="I84" s="90" t="n"/>
    </x:row>
    <x:row r="85">
      <x:c r="B85" s="91" t="n"/>
      <x:c r="C85" s="92" t="n"/>
      <x:c r="D85" s="92" t="n"/>
      <x:c r="E85" s="92" t="n"/>
      <x:c r="F85" s="92" t="n"/>
      <x:c r="G85" s="92" t="n"/>
      <x:c r="H85" s="92" t="n"/>
      <x:c r="I85" s="93" t="n"/>
    </x:row>
    <x:row r="87">
      <x:c r="B87" s="85" t="inlineStr">
        <x:is>
          <x:t xml:space="preserve">Task 1.6: Add Conventional Commits enforcement (commitlint)</x:t>
        </x:is>
      </x:c>
    </x:row>
    <x:row r="88" ht="280" customHeight="1">
      <x:c r="B88" s="86" t="inlineStr">
        <x:is>
          <x:t xml:space="preserve">Set up commitlint to enforce Conventional Commits format (enables auto-changelog later).
Steps:
1. npm install -D @commitlint/{cli,config-conventional}
2. /commitlint.config.js: { extends: ['@commitlint/config-conventional'] }
3. /.husky/commit-msg: runs `npx --no -- commitlint --edit ${1}`
4. Verify: commit "bad message" fails; commit "feat: real change" passes.
Allowed types: feat fix chore refactor docs test perf ci build revert.
ACCEPTANCE: commit message validation runs; documented in GOVERNANCE.md.
RELEASE RECORD: yes.</x:t>
        </x:is>
      </x:c>
      <x:c r="C88" s="87" t="n"/>
      <x:c r="D88" s="87" t="n"/>
      <x:c r="E88" s="87" t="n"/>
      <x:c r="F88" s="87" t="n"/>
      <x:c r="G88" s="87" t="n"/>
      <x:c r="H88" s="87" t="n"/>
      <x:c r="I88" s="88" t="n"/>
    </x:row>
    <x:row r="89">
      <x:c r="B89" s="89" t="n"/>
      <x:c r="I89" s="90" t="n"/>
    </x:row>
    <x:row r="90">
      <x:c r="B90" s="89" t="n"/>
      <x:c r="I90" s="90" t="n"/>
    </x:row>
    <x:row r="91">
      <x:c r="B91" s="89" t="n"/>
      <x:c r="I91" s="90" t="n"/>
    </x:row>
    <x:row r="92">
      <x:c r="B92" s="89" t="n"/>
      <x:c r="I92" s="90" t="n"/>
    </x:row>
    <x:row r="93">
      <x:c r="B93" s="89" t="n"/>
      <x:c r="I93" s="90" t="n"/>
    </x:row>
    <x:row r="94">
      <x:c r="B94" s="89" t="n"/>
      <x:c r="I94" s="90" t="n"/>
    </x:row>
    <x:row r="95">
      <x:c r="B95" s="89" t="n"/>
      <x:c r="I95" s="90" t="n"/>
    </x:row>
    <x:row r="96">
      <x:c r="B96" s="89" t="n"/>
      <x:c r="I96" s="90" t="n"/>
    </x:row>
    <x:row r="97">
      <x:c r="B97" s="89" t="n"/>
      <x:c r="I97" s="90" t="n"/>
    </x:row>
    <x:row r="98">
      <x:c r="B98" s="91" t="n"/>
      <x:c r="C98" s="92" t="n"/>
      <x:c r="D98" s="92" t="n"/>
      <x:c r="E98" s="92" t="n"/>
      <x:c r="F98" s="92" t="n"/>
      <x:c r="G98" s="92" t="n"/>
      <x:c r="H98" s="92" t="n"/>
      <x:c r="I98" s="93" t="n"/>
    </x:row>
    <x:row r="100">
      <x:c r="B100" s="85" t="inlineStr">
        <x:is>
          <x:t xml:space="preserve">Task 1.7: Generate .cursor/rules and .github/copilot-instructions.md from AGENTS.md</x:t>
        </x:is>
      </x:c>
    </x:row>
    <x:row r="101" ht="280" customHeight="1">
      <x:c r="B101" s="86" t="inlineStr">
        <x:is>
          <x:t xml:space="preserve">Create a sync script that produces tool-specific AI instruction files FROM AGENTS.md, so all AI tools share one source of truth.
Steps:
1. Create /scripts/governance/sync-ai-rules.ts that:
   - Reads /AGENTS.md
   - Writes /.cursor/rules with same content + Cursor-specific frontmatter
   - Writes /.github/copilot-instructions.md with same content
   - Both files have a header: "AUTO-GENERATED FROM AGENTS.md — DO NOT EDIT DIRECTLY"
2. Add npm script: "sync-ai-rules": "tsx scripts/governance/sync-ai-rules.ts"
3. Run it once to seed both files.
4. Document in GOVERNANCE.md that editing AGENTS.md + re-running this script is the only way to update AI instructions.
ACCEPTANCE: Both files generated, content matches AGENTS.md, header present, npm script works.
RELEASE RECORD: yes.</x:t>
        </x:is>
      </x:c>
      <x:c r="C101" s="87" t="n"/>
      <x:c r="D101" s="87" t="n"/>
      <x:c r="E101" s="87" t="n"/>
      <x:c r="F101" s="87" t="n"/>
      <x:c r="G101" s="87" t="n"/>
      <x:c r="H101" s="87" t="n"/>
      <x:c r="I101" s="88" t="n"/>
    </x:row>
    <x:row r="102">
      <x:c r="B102" s="89" t="n"/>
      <x:c r="I102" s="90" t="n"/>
    </x:row>
    <x:row r="103">
      <x:c r="B103" s="89" t="n"/>
      <x:c r="I103" s="90" t="n"/>
    </x:row>
    <x:row r="104">
      <x:c r="B104" s="89" t="n"/>
      <x:c r="I104" s="90" t="n"/>
    </x:row>
    <x:row r="105">
      <x:c r="B105" s="89" t="n"/>
      <x:c r="I105" s="90" t="n"/>
    </x:row>
    <x:row r="106">
      <x:c r="B106" s="89" t="n"/>
      <x:c r="I106" s="90" t="n"/>
    </x:row>
    <x:row r="107">
      <x:c r="B107" s="89" t="n"/>
      <x:c r="I107" s="90" t="n"/>
    </x:row>
    <x:row r="108">
      <x:c r="B108" s="89" t="n"/>
      <x:c r="I108" s="90" t="n"/>
    </x:row>
    <x:row r="109">
      <x:c r="B109" s="89" t="n"/>
      <x:c r="I109" s="90" t="n"/>
    </x:row>
    <x:row r="110">
      <x:c r="B110" s="89" t="n"/>
      <x:c r="I110" s="90" t="n"/>
    </x:row>
    <x:row r="111">
      <x:c r="B111" s="91" t="n"/>
      <x:c r="C111" s="92" t="n"/>
      <x:c r="D111" s="92" t="n"/>
      <x:c r="E111" s="92" t="n"/>
      <x:c r="F111" s="92" t="n"/>
      <x:c r="G111" s="92" t="n"/>
      <x:c r="H111" s="92" t="n"/>
      <x:c r="I111" s="93" t="n"/>
    </x:row>
  </x:sheetData>
  <x:mergeCells>
    <x:mergeCell ref="B74:I74"/>
    <x:mergeCell ref="B75:I85"/>
    <x:mergeCell ref="B48:I48"/>
    <x:mergeCell ref="B100:I100"/>
    <x:mergeCell ref="B87:I87"/>
    <x:mergeCell ref="B88:I98"/>
    <x:mergeCell ref="B20:I20"/>
    <x:mergeCell ref="B101:I111"/>
    <x:mergeCell ref="B19:I19"/>
    <x:mergeCell ref="B5:I5"/>
    <x:mergeCell ref="B22:I22"/>
    <x:mergeCell ref="B23:I33"/>
    <x:mergeCell ref="B61:I61"/>
    <x:mergeCell ref="B49:I59"/>
    <x:mergeCell ref="B62:I72"/>
    <x:mergeCell ref="B35:I35"/>
    <x:mergeCell ref="B4:I4"/>
    <x:mergeCell ref="B36:I46"/>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baseColWidth="8" defaultRowHeight="15"/>
  <x:cols>
    <x:col min="1" max="1" width="2" customWidth="1"/>
    <x:col min="2" max="2" width="40" customWidth="1"/>
    <x:col min="3" max="3" width="45" customWidth="1"/>
    <x:col min="4" max="4" width="50" customWidth="1"/>
    <x:col min="5" max="5" width="30" customWidth="1"/>
  </x:cols>
  <x:sheetData>
    <x:row r="2">
      <x:c r="B2" s="1" t="inlineStr">
        <x:is>
          <x:t xml:space="preserve">Engineering Governance Framework — Embedded in Repo</x:t>
        </x:is>
      </x:c>
    </x:row>
    <x:row r="3">
      <x:c r="B3" s="2" t="inlineStr">
        <x:is>
          <x:t xml:space="preserve">What lives where in the repo so coding standards survive any tool (Claude, Cursor, Copilot, humans) and any team size.</x:t>
        </x:is>
      </x:c>
    </x:row>
    <x:row r="5">
      <x:c r="B5" s="5" t="inlineStr">
        <x:is>
          <x:t xml:space="preserve">1. Repo Structure (what to put where)</x:t>
        </x:is>
      </x:c>
    </x:row>
    <x:row r="6">
      <x:c r="B6" s="8" t="inlineStr">
        <x:is>
          <x:t xml:space="preserve">Path</x:t>
        </x:is>
      </x:c>
      <x:c r="C6" s="8" t="inlineStr">
        <x:is>
          <x:t xml:space="preserve">What it is</x:t>
        </x:is>
      </x:c>
      <x:c r="D6" s="8" t="inlineStr">
        <x:is>
          <x:t xml:space="preserve">Why it matters</x:t>
        </x:is>
      </x:c>
    </x:row>
    <x:row r="7">
      <x:c r="B7" s="18" t="inlineStr">
        <x:is>
          <x:t xml:space="preserve">/AGENTS.md</x:t>
        </x:is>
      </x:c>
      <x:c r="C7" s="18" t="inlineStr">
        <x:is>
          <x:t xml:space="preserve">Single source of truth — coding rules, conventions, release discipline</x:t>
        </x:is>
      </x:c>
      <x:c r="D7" s="18" t="inlineStr">
        <x:is>
          <x:t xml:space="preserve">All AI tools read this; humans read this; CLAUDE.md just imports it</x:t>
        </x:is>
      </x:c>
    </x:row>
    <x:row r="8">
      <x:c r="B8" s="18" t="inlineStr">
        <x:is>
          <x:t xml:space="preserve">/CLAUDE.md → AGENTS.md</x:t>
        </x:is>
      </x:c>
      <x:c r="C8" s="18" t="inlineStr">
        <x:is>
          <x:t xml:space="preserve">Claude Code instructions</x:t>
        </x:is>
      </x:c>
      <x:c r="D8" s="18" t="inlineStr">
        <x:is>
          <x:t xml:space="preserve">Already in place — keep this thin</x:t>
        </x:is>
      </x:c>
    </x:row>
    <x:row r="9">
      <x:c r="B9" s="18" t="inlineStr">
        <x:is>
          <x:t xml:space="preserve">/.cursor/rules</x:t>
        </x:is>
      </x:c>
      <x:c r="C9" s="18" t="inlineStr">
        <x:is>
          <x:t xml:space="preserve">Cursor instructions (generated from AGENTS.md)</x:t>
        </x:is>
      </x:c>
      <x:c r="D9" s="18" t="inlineStr">
        <x:is>
          <x:t xml:space="preserve">Cursor users get the same rules</x:t>
        </x:is>
      </x:c>
    </x:row>
    <x:row r="10">
      <x:c r="B10" s="18" t="inlineStr">
        <x:is>
          <x:t xml:space="preserve">/.github/copilot-instructions.md</x:t>
        </x:is>
      </x:c>
      <x:c r="C10" s="18" t="inlineStr">
        <x:is>
          <x:t xml:space="preserve">GitHub Copilot instructions (generated from AGENTS.md)</x:t>
        </x:is>
      </x:c>
      <x:c r="D10" s="18" t="inlineStr">
        <x:is>
          <x:t xml:space="preserve">Copilot users get the same rules</x:t>
        </x:is>
      </x:c>
    </x:row>
    <x:row r="11">
      <x:c r="B11" s="18" t="inlineStr">
        <x:is>
          <x:t xml:space="preserve">/GOVERNANCE.md</x:t>
        </x:is>
      </x:c>
      <x:c r="C11" s="18" t="inlineStr">
        <x:is>
          <x:t xml:space="preserve">1-page index: where standards live, how to find what</x:t>
        </x:is>
      </x:c>
      <x:c r="D11" s="18" t="inlineStr">
        <x:is>
          <x:t xml:space="preserve">Day-1 read for any new engineer</x:t>
        </x:is>
      </x:c>
    </x:row>
    <x:row r="12">
      <x:c r="B12" s="18" t="inlineStr">
        <x:is>
          <x:t xml:space="preserve">/CONTRIBUTING.md</x:t>
        </x:is>
      </x:c>
      <x:c r="C12" s="18" t="inlineStr">
        <x:is>
          <x:t xml:space="preserve">PR workflow, dev env setup, troubleshooting</x:t>
        </x:is>
      </x:c>
      <x:c r="D12" s="18" t="inlineStr">
        <x:is>
          <x:t xml:space="preserve">Public-facing if repo ever opens</x:t>
        </x:is>
      </x:c>
    </x:row>
    <x:row r="13">
      <x:c r="B13" s="18" t="inlineStr">
        <x:is>
          <x:t xml:space="preserve">/SECURITY.md</x:t>
        </x:is>
      </x:c>
      <x:c r="C13" s="18" t="inlineStr">
        <x:is>
          <x:t xml:space="preserve">Vulnerability disclosure policy</x:t>
        </x:is>
      </x:c>
      <x:c r="D13" s="18" t="inlineStr">
        <x:is>
          <x:t xml:space="preserve">Required for any GitHub repo with security implications</x:t>
        </x:is>
      </x:c>
    </x:row>
    <x:row r="14">
      <x:c r="B14" s="18" t="inlineStr">
        <x:is>
          <x:t xml:space="preserve">/CODE_OF_CONDUCT.md</x:t>
        </x:is>
      </x:c>
      <x:c r="C14" s="18" t="inlineStr">
        <x:is>
          <x:t xml:space="preserve">Behavior expectations</x:t>
        </x:is>
      </x:c>
      <x:c r="D14" s="18" t="inlineStr">
        <x:is>
          <x:t xml:space="preserve">Cheap, signals professionalism</x:t>
        </x:is>
      </x:c>
    </x:row>
    <x:row r="15">
      <x:c r="B15" s="18" t="inlineStr">
        <x:is>
          <x:t xml:space="preserve">/.github/CODEOWNERS</x:t>
        </x:is>
      </x:c>
      <x:c r="C15" s="18" t="inlineStr">
        <x:is>
          <x:t xml:space="preserve">Who must approve changes to which paths</x:t>
        </x:is>
      </x:c>
      <x:c r="D15" s="18" t="inlineStr">
        <x:is>
          <x:t xml:space="preserve">Auth/migrations/broker = anand-only; rest = anyone qualified</x:t>
        </x:is>
      </x:c>
    </x:row>
    <x:row r="16">
      <x:c r="B16" s="18" t="inlineStr">
        <x:is>
          <x:t xml:space="preserve">/.github/PULL_REQUEST_TEMPLATE.md</x:t>
        </x:is>
      </x:c>
      <x:c r="C16" s="18" t="inlineStr">
        <x:is>
          <x:t xml:space="preserve">Required PR sections (Lane/Layer/Clients/QA/Rollout/Rollback)</x:t>
        </x:is>
      </x:c>
      <x:c r="D16" s="18" t="inlineStr">
        <x:is>
          <x:t xml:space="preserve">AGENTS.md mandates this — enforce in template</x:t>
        </x:is>
      </x:c>
    </x:row>
    <x:row r="17">
      <x:c r="B17" s="18" t="inlineStr">
        <x:is>
          <x:t xml:space="preserve">/.github/workflows/</x:t>
        </x:is>
      </x:c>
      <x:c r="C17" s="18" t="inlineStr">
        <x:is>
          <x:t xml:space="preserve">CI workflows — lint, test, build, security, bundle, ADR, release-check</x:t>
        </x:is>
      </x:c>
      <x:c r="D17" s="18" t="inlineStr">
        <x:is>
          <x:t xml:space="preserve">Required checks gate merge</x:t>
        </x:is>
      </x:c>
    </x:row>
    <x:row r="18">
      <x:c r="B18" s="18" t="inlineStr">
        <x:is>
          <x:t xml:space="preserve">/.husky/</x:t>
        </x:is>
      </x:c>
      <x:c r="C18" s="18" t="inlineStr">
        <x:is>
          <x:t xml:space="preserve">Pre-commit and pre-push hooks</x:t>
        </x:is>
      </x:c>
      <x:c r="D18" s="18" t="inlineStr">
        <x:is>
          <x:t xml:space="preserve">Lint/format/typecheck staged files before commit</x:t>
        </x:is>
      </x:c>
    </x:row>
    <x:row r="19">
      <x:c r="B19" s="18" t="inlineStr">
        <x:is>
          <x:t xml:space="preserve">/docs/architecture/adr/</x:t>
        </x:is>
      </x:c>
      <x:c r="C19" s="18" t="inlineStr">
        <x:is>
          <x:t xml:space="preserve">Numbered Architecture Decision Records</x:t>
        </x:is>
      </x:c>
      <x:c r="D19" s="18" t="inlineStr">
        <x:is>
          <x:t xml:space="preserve">Every material decision = ADR; ADR-XXXX-decision-title.md</x:t>
        </x:is>
      </x:c>
    </x:row>
    <x:row r="20">
      <x:c r="B20" s="18" t="inlineStr">
        <x:is>
          <x:t xml:space="preserve">/docs/architecture/boundaries.md</x:t>
        </x:is>
      </x:c>
      <x:c r="C20" s="18" t="inlineStr">
        <x:is>
          <x:t xml:space="preserve">Module boundary rules (forbidden imports)</x:t>
        </x:is>
      </x:c>
      <x:c r="D20" s="18" t="inlineStr">
        <x:is>
          <x:t xml:space="preserve">Encoded into dependency-cruiser config below</x:t>
        </x:is>
      </x:c>
    </x:row>
    <x:row r="21">
      <x:c r="B21" s="18" t="inlineStr">
        <x:is>
          <x:t xml:space="preserve">/docs/architecture/specialist-catalog.md</x:t>
        </x:is>
      </x:c>
      <x:c r="C21" s="18" t="inlineStr">
        <x:is>
          <x:t xml:space="preserve">Catalog of agent specialists with function names + scope</x:t>
        </x:is>
      </x:c>
      <x:c r="D21" s="18" t="inlineStr">
        <x:is>
          <x:t xml:space="preserve">Per project_sentinel_orchestrator memory</x:t>
        </x:is>
      </x:c>
    </x:row>
    <x:row r="22">
      <x:c r="B22" s="18" t="inlineStr">
        <x:is>
          <x:t xml:space="preserve">/docs/runbooks/</x:t>
        </x:is>
      </x:c>
      <x:c r="C22" s="18" t="inlineStr">
        <x:is>
          <x:t xml:space="preserve">Incident response, rollback, DB migration, on-call, onboarding</x:t>
        </x:is>
      </x:c>
      <x:c r="D22" s="18" t="inlineStr">
        <x:is>
          <x:t xml:space="preserve">Living docs; quarterly tabletop tests</x:t>
        </x:is>
      </x:c>
    </x:row>
    <x:row r="23">
      <x:c r="B23" s="18" t="inlineStr">
        <x:is>
          <x:t xml:space="preserve">/docs/releases/records/</x:t>
        </x:is>
      </x:c>
      <x:c r="C23" s="18" t="inlineStr">
        <x:is>
          <x:t xml:space="preserve">Per-release records (already enforced by npm run release:check)</x:t>
        </x:is>
      </x:c>
      <x:c r="D23" s="18" t="inlineStr">
        <x:is>
          <x:t xml:space="preserve">AGENTS.md mandates; CI enforces</x:t>
        </x:is>
      </x:c>
    </x:row>
    <x:row r="24">
      <x:c r="B24" s="18" t="inlineStr">
        <x:is>
          <x:t xml:space="preserve">/docs/releases/templates/</x:t>
        </x:is>
      </x:c>
      <x:c r="C24" s="18" t="inlineStr">
        <x:is>
          <x:t xml:space="preserve">Release record template</x:t>
        </x:is>
      </x:c>
      <x:c r="D24" s="18" t="inlineStr">
        <x:is>
          <x:t xml:space="preserve">Already exists</x:t>
        </x:is>
      </x:c>
    </x:row>
    <x:row r="25">
      <x:c r="B25" s="18" t="inlineStr">
        <x:is>
          <x:t xml:space="preserve">/docs/governance/</x:t>
        </x:is>
      </x:c>
      <x:c r="C25" s="18" t="inlineStr">
        <x:is>
          <x:t xml:space="preserve">Coding/testing/security/dependency standards (each topic = own doc)</x:t>
        </x:is>
      </x:c>
      <x:c r="D25" s="18" t="inlineStr">
        <x:is>
          <x:t xml:space="preserve">Linked from GOVERNANCE.md</x:t>
        </x:is>
      </x:c>
    </x:row>
    <x:row r="26">
      <x:c r="B26" s="18" t="inlineStr">
        <x:is>
          <x:t xml:space="preserve">/scripts/scaffold/</x:t>
        </x:is>
      </x:c>
      <x:c r="C26" s="18" t="inlineStr">
        <x:is>
          <x:t xml:space="preserve">scaffold:route, scaffold:component, scaffold:migration, scaffold:adr</x:t>
        </x:is>
      </x:c>
      <x:c r="D26" s="18" t="inlineStr">
        <x:is>
          <x:t xml:space="preserve">AI tools use these = consistency by construction</x:t>
        </x:is>
      </x:c>
    </x:row>
    <x:row r="27">
      <x:c r="B27" s="18" t="inlineStr">
        <x:is>
          <x:t xml:space="preserve">/scripts/governance/</x:t>
        </x:is>
      </x:c>
      <x:c r="C27" s="18" t="inlineStr">
        <x:is>
          <x:t xml:space="preserve">check-boundaries, check-test-coverage, check-release-records</x:t>
        </x:is>
      </x:c>
      <x:c r="D27" s="18" t="inlineStr">
        <x:is>
          <x:t xml:space="preserve">Run in CI; can run locally</x:t>
        </x:is>
      </x:c>
    </x:row>
    <x:row r="28">
      <x:c r="B28" s="18" t="inlineStr">
        <x:is>
          <x:t xml:space="preserve">/.dependency-cruiser.cjs</x:t>
        </x:is>
      </x:c>
      <x:c r="C28" s="18" t="inlineStr">
        <x:is>
          <x:t xml:space="preserve">Module boundary enforcement config</x:t>
        </x:is>
      </x:c>
      <x:c r="D28" s="18" t="inlineStr">
        <x:is>
          <x:t xml:space="preserve">Encodes broker-boundary, no-direct-db, no-supabase rules</x:t>
        </x:is>
      </x:c>
    </x:row>
    <x:row r="29">
      <x:c r="B29" s="18" t="inlineStr">
        <x:is>
          <x:t xml:space="preserve">/eslint.config.mjs</x:t>
        </x:is>
      </x:c>
      <x:c r="C29" s="18" t="inlineStr">
        <x:is>
          <x:t xml:space="preserve">Already exists — ESLint 9 flat config</x:t>
        </x:is>
      </x:c>
      <x:c r="D29" s="18" t="inlineStr">
        <x:is>
          <x:t xml:space="preserve"/>
        </x:is>
      </x:c>
    </x:row>
    <x:row r="30">
      <x:c r="B30" s="18" t="inlineStr">
        <x:is>
          <x:t xml:space="preserve">/.prettierrc</x:t>
        </x:is>
      </x:c>
      <x:c r="C30" s="18" t="inlineStr">
        <x:is>
          <x:t xml:space="preserve">Formatting rules</x:t>
        </x:is>
      </x:c>
      <x:c r="D30" s="18" t="inlineStr">
        <x:is>
          <x:t xml:space="preserve">Pre-commit auto-fixes</x:t>
        </x:is>
      </x:c>
    </x:row>
    <x:row r="31">
      <x:c r="B31" s="18" t="inlineStr">
        <x:is>
          <x:t xml:space="preserve">/commitlint.config.js</x:t>
        </x:is>
      </x:c>
      <x:c r="C31" s="18" t="inlineStr">
        <x:is>
          <x:t xml:space="preserve">Conventional Commits enforcement</x:t>
        </x:is>
      </x:c>
      <x:c r="D31" s="18" t="inlineStr">
        <x:is>
          <x:t xml:space="preserve">feat:/fix:/chore:/refactor:/docs:/test:/perf:</x:t>
        </x:is>
      </x:c>
    </x:row>
    <x:row r="32">
      <x:c r="B32" s="18" t="inlineStr">
        <x:is>
          <x:t xml:space="preserve">/.changeset/</x:t>
        </x:is>
      </x:c>
      <x:c r="C32" s="18" t="inlineStr">
        <x:is>
          <x:t xml:space="preserve">Changesets for changelog generation (optional)</x:t>
        </x:is>
      </x:c>
      <x:c r="D32" s="18" t="inlineStr">
        <x:is>
          <x:t xml:space="preserve">Auto-generate changelog from PRs</x:t>
        </x:is>
      </x:c>
    </x:row>
    <x:row r="35">
      <x:c r="B35" s="5" t="inlineStr">
        <x:is>
          <x:t xml:space="preserve">2. Required CI Gates (must pass to merge)</x:t>
        </x:is>
      </x:c>
    </x:row>
    <x:row r="36">
      <x:c r="B36" s="8" t="inlineStr">
        <x:is>
          <x:t xml:space="preserve">Gate</x:t>
        </x:is>
      </x:c>
      <x:c r="C36" s="8" t="inlineStr">
        <x:is>
          <x:t xml:space="preserve">Tool</x:t>
        </x:is>
      </x:c>
      <x:c r="D36" s="8" t="inlineStr">
        <x:is>
          <x:t xml:space="preserve">Failure mode</x:t>
        </x:is>
      </x:c>
      <x:c r="E36" s="8" t="inlineStr">
        <x:is>
          <x:t xml:space="preserve">Priority</x:t>
        </x:is>
      </x:c>
    </x:row>
    <x:row r="37">
      <x:c r="B37" s="18" t="inlineStr">
        <x:is>
          <x:t xml:space="preserve">Lint</x:t>
        </x:is>
      </x:c>
      <x:c r="C37" s="18" t="inlineStr">
        <x:is>
          <x:t xml:space="preserve">ESLint 9 (eslint.config.mjs)</x:t>
        </x:is>
      </x:c>
      <x:c r="D37" s="18" t="inlineStr">
        <x:is>
          <x:t xml:space="preserve">Style or rule violation</x:t>
        </x:is>
      </x:c>
      <x:c r="E37" s="31" t="inlineStr">
        <x:is>
          <x:t xml:space="preserve">P0</x:t>
        </x:is>
      </x:c>
    </x:row>
    <x:row r="38">
      <x:c r="B38" s="18" t="inlineStr">
        <x:is>
          <x:t xml:space="preserve">Type check</x:t>
        </x:is>
      </x:c>
      <x:c r="C38" s="18" t="inlineStr">
        <x:is>
          <x:t xml:space="preserve">tsc --noEmit (strict mode)</x:t>
        </x:is>
      </x:c>
      <x:c r="D38" s="18" t="inlineStr">
        <x:is>
          <x:t xml:space="preserve">Type error</x:t>
        </x:is>
      </x:c>
      <x:c r="E38" s="31" t="inlineStr">
        <x:is>
          <x:t xml:space="preserve">P0</x:t>
        </x:is>
      </x:c>
    </x:row>
    <x:row r="39">
      <x:c r="B39" s="18" t="inlineStr">
        <x:is>
          <x:t xml:space="preserve">Unit tests</x:t>
        </x:is>
      </x:c>
      <x:c r="C39" s="18" t="inlineStr">
        <x:is>
          <x:t xml:space="preserve">Jest/Vitest (npm run test:nav, test:behaviors)</x:t>
        </x:is>
      </x:c>
      <x:c r="D39" s="18" t="inlineStr">
        <x:is>
          <x:t xml:space="preserve">Test failure</x:t>
        </x:is>
      </x:c>
      <x:c r="E39" s="31" t="inlineStr">
        <x:is>
          <x:t xml:space="preserve">P0</x:t>
        </x:is>
      </x:c>
    </x:row>
    <x:row r="40">
      <x:c r="B40" s="18" t="inlineStr">
        <x:is>
          <x:t xml:space="preserve">Integration tests</x:t>
        </x:is>
      </x:c>
      <x:c r="C40" s="18" t="inlineStr">
        <x:is>
          <x:t xml:space="preserve">Jest (npm run test:integration)</x:t>
        </x:is>
      </x:c>
      <x:c r="D40" s="18" t="inlineStr">
        <x:is>
          <x:t xml:space="preserve">Test failure</x:t>
        </x:is>
      </x:c>
      <x:c r="E40" s="31" t="inlineStr">
        <x:is>
          <x:t xml:space="preserve">P0</x:t>
        </x:is>
      </x:c>
    </x:row>
    <x:row r="41">
      <x:c r="B41" s="18" t="inlineStr">
        <x:is>
          <x:t xml:space="preserve">E2E smoke</x:t>
        </x:is>
      </x:c>
      <x:c r="C41" s="18" t="inlineStr">
        <x:is>
          <x:t xml:space="preserve">Playwright (subset, headless)</x:t>
        </x:is>
      </x:c>
      <x:c r="D41" s="18" t="inlineStr">
        <x:is>
          <x:t xml:space="preserve">Critical-path break</x:t>
        </x:is>
      </x:c>
      <x:c r="E41" s="32" t="inlineStr">
        <x:is>
          <x:t xml:space="preserve">P1</x:t>
        </x:is>
      </x:c>
    </x:row>
    <x:row r="42">
      <x:c r="B42" s="18" t="inlineStr">
        <x:is>
          <x:t xml:space="preserve">Build</x:t>
        </x:is>
      </x:c>
      <x:c r="C42" s="18" t="inlineStr">
        <x:is>
          <x:t xml:space="preserve">next build</x:t>
        </x:is>
      </x:c>
      <x:c r="D42" s="18" t="inlineStr">
        <x:is>
          <x:t xml:space="preserve">Build error</x:t>
        </x:is>
      </x:c>
      <x:c r="E42" s="31" t="inlineStr">
        <x:is>
          <x:t xml:space="preserve">P0</x:t>
        </x:is>
      </x:c>
    </x:row>
    <x:row r="43">
      <x:c r="B43" s="18" t="inlineStr">
        <x:is>
          <x:t xml:space="preserve">Bundle size budget</x:t>
        </x:is>
      </x:c>
      <x:c r="C43" s="18" t="inlineStr">
        <x:is>
          <x:t xml:space="preserve">@next/bundle-analyzer + size-limit</x:t>
        </x:is>
      </x:c>
      <x:c r="D43" s="18" t="inlineStr">
        <x:is>
          <x:t xml:space="preserve">Route exceeds budget</x:t>
        </x:is>
      </x:c>
      <x:c r="E43" s="32" t="inlineStr">
        <x:is>
          <x:t xml:space="preserve">P1</x:t>
        </x:is>
      </x:c>
    </x:row>
    <x:row r="44">
      <x:c r="B44" s="18" t="inlineStr">
        <x:is>
          <x:t xml:space="preserve">Lighthouse CI</x:t>
        </x:is>
      </x:c>
      <x:c r="C44" s="18" t="inlineStr">
        <x:is>
          <x:t xml:space="preserve">lighthouse-ci action</x:t>
        </x:is>
      </x:c>
      <x:c r="D44" s="18" t="inlineStr">
        <x:is>
          <x:t xml:space="preserve">Core Web Vitals regression</x:t>
        </x:is>
      </x:c>
      <x:c r="E44" s="32" t="inlineStr">
        <x:is>
          <x:t xml:space="preserve">P1</x:t>
        </x:is>
      </x:c>
    </x:row>
    <x:row r="45">
      <x:c r="B45" s="18" t="inlineStr">
        <x:is>
          <x:t xml:space="preserve">Secret scan</x:t>
        </x:is>
      </x:c>
      <x:c r="C45" s="18" t="inlineStr">
        <x:is>
          <x:t xml:space="preserve">gitleaks</x:t>
        </x:is>
      </x:c>
      <x:c r="D45" s="18" t="inlineStr">
        <x:is>
          <x:t xml:space="preserve">Secret committed</x:t>
        </x:is>
      </x:c>
      <x:c r="E45" s="31" t="inlineStr">
        <x:is>
          <x:t xml:space="preserve">P0</x:t>
        </x:is>
      </x:c>
    </x:row>
    <x:row r="46">
      <x:c r="B46" s="18" t="inlineStr">
        <x:is>
          <x:t xml:space="preserve">Dependency vulnerabilities</x:t>
        </x:is>
      </x:c>
      <x:c r="C46" s="18" t="inlineStr">
        <x:is>
          <x:t xml:space="preserve">npm audit + Snyk/Dependabot</x:t>
        </x:is>
      </x:c>
      <x:c r="D46" s="18" t="inlineStr">
        <x:is>
          <x:t xml:space="preserve">Critical/high vuln</x:t>
        </x:is>
      </x:c>
      <x:c r="E46" s="31" t="inlineStr">
        <x:is>
          <x:t xml:space="preserve">P0</x:t>
        </x:is>
      </x:c>
    </x:row>
    <x:row r="47">
      <x:c r="B47" s="18" t="inlineStr">
        <x:is>
          <x:t xml:space="preserve">License compliance</x:t>
        </x:is>
      </x:c>
      <x:c r="C47" s="18" t="inlineStr">
        <x:is>
          <x:t xml:space="preserve">license-checker (allowlist MIT/Apache/BSD/ISC)</x:t>
        </x:is>
      </x:c>
      <x:c r="D47" s="18" t="inlineStr">
        <x:is>
          <x:t xml:space="preserve">Forbidden license</x:t>
        </x:is>
      </x:c>
      <x:c r="E47" s="32" t="inlineStr">
        <x:is>
          <x:t xml:space="preserve">P1</x:t>
        </x:is>
      </x:c>
    </x:row>
    <x:row r="48">
      <x:c r="B48" s="18" t="inlineStr">
        <x:is>
          <x:t xml:space="preserve">SBOM generation</x:t>
        </x:is>
      </x:c>
      <x:c r="C48" s="18" t="inlineStr">
        <x:is>
          <x:t xml:space="preserve">CycloneDX</x:t>
        </x:is>
      </x:c>
      <x:c r="D48" s="18" t="inlineStr">
        <x:is>
          <x:t xml:space="preserve">Generation failure</x:t>
        </x:is>
      </x:c>
      <x:c r="E48" s="32" t="inlineStr">
        <x:is>
          <x:t xml:space="preserve">P1</x:t>
        </x:is>
      </x:c>
    </x:row>
    <x:row r="49">
      <x:c r="B49" s="18" t="inlineStr">
        <x:is>
          <x:t xml:space="preserve">Architecture boundaries</x:t>
        </x:is>
      </x:c>
      <x:c r="C49" s="18" t="inlineStr">
        <x:is>
          <x:t xml:space="preserve">dependency-cruiser (--validate)</x:t>
        </x:is>
      </x:c>
      <x:c r="D49" s="18" t="inlineStr">
        <x:is>
          <x:t xml:space="preserve">Forbidden import</x:t>
        </x:is>
      </x:c>
      <x:c r="E49" s="31" t="inlineStr">
        <x:is>
          <x:t xml:space="preserve">P0</x:t>
        </x:is>
      </x:c>
    </x:row>
    <x:row r="50">
      <x:c r="B50" s="18" t="inlineStr">
        <x:is>
          <x:t xml:space="preserve">Coverage threshold</x:t>
        </x:is>
      </x:c>
      <x:c r="C50" s="18" t="inlineStr">
        <x:is>
          <x:t xml:space="preserve">Vitest --coverage (70% global, 90% critical)</x:t>
        </x:is>
      </x:c>
      <x:c r="D50" s="18" t="inlineStr">
        <x:is>
          <x:t xml:space="preserve">Below floor</x:t>
        </x:is>
      </x:c>
      <x:c r="E50" s="32" t="inlineStr">
        <x:is>
          <x:t xml:space="preserve">P1</x:t>
        </x:is>
      </x:c>
    </x:row>
    <x:row r="51">
      <x:c r="B51" s="18" t="inlineStr">
        <x:is>
          <x:t xml:space="preserve">Accessibility</x:t>
        </x:is>
      </x:c>
      <x:c r="C51" s="18" t="inlineStr">
        <x:is>
          <x:t xml:space="preserve">axe-core via jest-axe / Playwright</x:t>
        </x:is>
      </x:c>
      <x:c r="D51" s="18" t="inlineStr">
        <x:is>
          <x:t xml:space="preserve">WCAG 2.1 AA violation</x:t>
        </x:is>
      </x:c>
      <x:c r="E51" s="32" t="inlineStr">
        <x:is>
          <x:t xml:space="preserve">P1</x:t>
        </x:is>
      </x:c>
    </x:row>
    <x:row r="52">
      <x:c r="B52" s="18" t="inlineStr">
        <x:is>
          <x:t xml:space="preserve">ADR check</x:t>
        </x:is>
      </x:c>
      <x:c r="C52" s="18" t="inlineStr">
        <x:is>
          <x:t xml:space="preserve">Custom: any change in /src/lib/auth/, /src/lib/broker/, /migrations/ requires new ADR</x:t>
        </x:is>
      </x:c>
      <x:c r="D52" s="18" t="inlineStr">
        <x:is>
          <x:t xml:space="preserve">Missing ADR</x:t>
        </x:is>
      </x:c>
      <x:c r="E52" s="32" t="inlineStr">
        <x:is>
          <x:t xml:space="preserve">P1</x:t>
        </x:is>
      </x:c>
    </x:row>
    <x:row r="53">
      <x:c r="B53" s="18" t="inlineStr">
        <x:is>
          <x:t xml:space="preserve">Release record check</x:t>
        </x:is>
      </x:c>
      <x:c r="C53" s="18" t="inlineStr">
        <x:is>
          <x:t xml:space="preserve">npm run release:check (already exists)</x:t>
        </x:is>
      </x:c>
      <x:c r="D53" s="18" t="inlineStr">
        <x:is>
          <x:t xml:space="preserve">Missing release record for release-relevant change</x:t>
        </x:is>
      </x:c>
      <x:c r="E53" s="31" t="inlineStr">
        <x:is>
          <x:t xml:space="preserve">P0</x:t>
        </x:is>
      </x:c>
    </x:row>
    <x:row r="54">
      <x:c r="B54" s="18" t="inlineStr">
        <x:is>
          <x:t xml:space="preserve">Migration drift check</x:t>
        </x:is>
      </x:c>
      <x:c r="C54" s="18" t="inlineStr">
        <x:is>
          <x:t xml:space="preserve">Already exists; move from warn to fail</x:t>
        </x:is>
      </x:c>
      <x:c r="D54" s="18" t="inlineStr">
        <x:is>
          <x:t xml:space="preserve">Schema drift</x:t>
        </x:is>
      </x:c>
      <x:c r="E54" s="32" t="inlineStr">
        <x:is>
          <x:t xml:space="preserve">P1</x:t>
        </x:is>
      </x:c>
    </x:row>
    <x:row r="55">
      <x:c r="B55" s="18" t="inlineStr">
        <x:is>
          <x:t xml:space="preserve">PR template completeness</x:t>
        </x:is>
      </x:c>
      <x:c r="C55" s="18" t="inlineStr">
        <x:is>
          <x:t xml:space="preserve">GitHub Action — required sections filled</x:t>
        </x:is>
      </x:c>
      <x:c r="D55" s="18" t="inlineStr">
        <x:is>
          <x:t xml:space="preserve">Blank sections</x:t>
        </x:is>
      </x:c>
      <x:c r="E55" s="32" t="inlineStr">
        <x:is>
          <x:t xml:space="preserve">P1</x:t>
        </x:is>
      </x:c>
    </x:row>
    <x:row r="58">
      <x:c r="B58" s="5" t="inlineStr">
        <x:is>
          <x:t xml:space="preserve">3. Architecture Boundary Rules (encode in .dependency-cruiser.cjs)</x:t>
        </x:is>
      </x:c>
    </x:row>
    <x:row r="59">
      <x:c r="B59" s="8" t="inlineStr">
        <x:is>
          <x:t xml:space="preserve">Rule</x:t>
        </x:is>
      </x:c>
      <x:c r="C59" s="8" t="inlineStr">
        <x:is>
          <x:t xml:space="preserve">Forbidden</x:t>
        </x:is>
      </x:c>
      <x:c r="D59" s="8" t="inlineStr">
        <x:is>
          <x:t xml:space="preserve">Allowed</x:t>
        </x:is>
      </x:c>
      <x:c r="E59" s="8" t="inlineStr">
        <x:is>
          <x:t xml:space="preserve">Why</x:t>
        </x:is>
      </x:c>
    </x:row>
    <x:row r="60">
      <x:c r="B60" s="18" t="inlineStr">
        <x:is>
          <x:t xml:space="preserve">Broker boundary</x:t>
        </x:is>
      </x:c>
      <x:c r="C60" s="18" t="inlineStr">
        <x:is>
          <x:t xml:space="preserve">App tier imports broker internals / EnterpriseDataRoom / vector / graph directly</x:t>
        </x:is>
      </x:c>
      <x:c r="D60" s="18" t="inlineStr">
        <x:is>
          <x:t xml:space="preserve">App tier → AgentContextBroker contract only</x:t>
        </x:is>
      </x:c>
      <x:c r="E60" s="18" t="inlineStr">
        <x:is>
          <x:t xml:space="preserve">feedback_broker_boundary memory; isolation foundation</x:t>
        </x:is>
      </x:c>
    </x:row>
    <x:row r="61">
      <x:c r="B61" s="18" t="inlineStr">
        <x:is>
          <x:t xml:space="preserve">No legacy Supabase</x:t>
        </x:is>
      </x:c>
      <x:c r="C61" s="18" t="inlineStr">
        <x:is>
          <x:t xml:space="preserve">New code imports @supabase/* directly</x:t>
        </x:is>
      </x:c>
      <x:c r="D61" s="18" t="inlineStr">
        <x:is>
          <x:t xml:space="preserve">Compatibility shims in /src/lib/compat only</x:t>
        </x:is>
      </x:c>
      <x:c r="E61" s="18" t="inlineStr">
        <x:is>
          <x:t xml:space="preserve">Migration to Azure/Postgres data plane</x:t>
        </x:is>
      </x:c>
    </x:row>
    <x:row r="62">
      <x:c r="B62" s="18" t="inlineStr">
        <x:is>
          <x:t xml:space="preserve">Routes don't touch DB</x:t>
        </x:is>
      </x:c>
      <x:c r="C62" s="18" t="inlineStr">
        <x:is>
          <x:t xml:space="preserve">Pages/route handlers import DB driver directly</x:t>
        </x:is>
      </x:c>
      <x:c r="D62" s="18" t="inlineStr">
        <x:is>
          <x:t xml:space="preserve">Routes → service layer → broker</x:t>
        </x:is>
      </x:c>
      <x:c r="E62" s="18" t="inlineStr">
        <x:is>
          <x:t xml:space="preserve">Testability + isolation</x:t>
        </x:is>
      </x:c>
    </x:row>
    <x:row r="63">
      <x:c r="B63" s="18" t="inlineStr">
        <x:is>
          <x:t xml:space="preserve">UI doesn't import server-only</x:t>
        </x:is>
      </x:c>
      <x:c r="C63" s="18" t="inlineStr">
        <x:is>
          <x:t xml:space="preserve">Client components import server-only utilities</x:t>
        </x:is>
      </x:c>
      <x:c r="D63" s="18" t="inlineStr">
        <x:is>
          <x:t xml:space="preserve">Server components only</x:t>
        </x:is>
      </x:c>
      <x:c r="E63" s="18" t="inlineStr">
        <x:is>
          <x:t xml:space="preserve">Next.js boundary</x:t>
        </x:is>
      </x:c>
    </x:row>
    <x:row r="64">
      <x:c r="B64" s="18" t="inlineStr">
        <x:is>
          <x:t xml:space="preserve">Migrations are forward-only</x:t>
        </x:is>
      </x:c>
      <x:c r="C64" s="18" t="inlineStr">
        <x:is>
          <x:t xml:space="preserve">DELETE/DROP statements without IF EXISTS + rollback companion</x:t>
        </x:is>
      </x:c>
      <x:c r="D64" s="18" t="inlineStr">
        <x:is>
          <x:t xml:space="preserve">Reversible migrations with up/down</x:t>
        </x:is>
      </x:c>
      <x:c r="E64" s="18" t="inlineStr">
        <x:is>
          <x:t xml:space="preserve">Prod safety</x:t>
        </x:is>
      </x:c>
    </x:row>
    <x:row r="65">
      <x:c r="B65" s="18" t="inlineStr">
        <x:is>
          <x:t xml:space="preserve">Hardcoded tenant IDs forbidden</x:t>
        </x:is>
      </x:c>
      <x:c r="C65" s="18" t="inlineStr">
        <x:is>
          <x:t xml:space="preserve">String literal tenant IDs in /src</x:t>
        </x:is>
      </x:c>
      <x:c r="D65" s="18" t="inlineStr">
        <x:is>
          <x:t xml:space="preserve">Tenant ID from session context only</x:t>
        </x:is>
      </x:c>
      <x:c r="E65" s="18" t="inlineStr">
        <x:is>
          <x:t xml:space="preserve">Multi-tenancy</x:t>
        </x:is>
      </x:c>
    </x:row>
    <x:row r="66">
      <x:c r="B66" s="18" t="inlineStr">
        <x:is>
          <x:t xml:space="preserve">Console.log forbidden in /src</x:t>
        </x:is>
      </x:c>
      <x:c r="C66" s="18" t="inlineStr">
        <x:is>
          <x:t xml:space="preserve">console.log/debug in committed code</x:t>
        </x:is>
      </x:c>
      <x:c r="D66" s="18" t="inlineStr">
        <x:is>
          <x:t xml:space="preserve">Structured logger via logger.ts</x:t>
        </x:is>
      </x:c>
      <x:c r="E66" s="18" t="inlineStr">
        <x:is>
          <x:t xml:space="preserve">Audit trail + log hygiene</x:t>
        </x:is>
      </x:c>
    </x:row>
    <x:row r="67">
      <x:c r="B67" s="18" t="inlineStr">
        <x:is>
          <x:t xml:space="preserve">Test files mirror source</x:t>
        </x:is>
      </x:c>
      <x:c r="C67" s="18" t="inlineStr">
        <x:is>
          <x:t xml:space="preserve">Test files in random locations</x:t>
        </x:is>
      </x:c>
      <x:c r="D67" s="18" t="inlineStr">
        <x:is>
          <x:t xml:space="preserve">*.test.ts next to source OR /tests/**</x:t>
        </x:is>
      </x:c>
      <x:c r="E67" s="18" t="inlineStr">
        <x:is>
          <x:t xml:space="preserve">Discoverability</x:t>
        </x:is>
      </x:c>
    </x:row>
    <x:row r="70">
      <x:c r="B70" s="5" t="inlineStr">
        <x:is>
          <x:t xml:space="preserve">4. AI Tool Governance (one source, many readers)</x:t>
        </x:is>
      </x:c>
    </x:row>
    <x:row r="71">
      <x:c r="B71" s="8" t="inlineStr">
        <x:is>
          <x:t xml:space="preserve">Tool</x:t>
        </x:is>
      </x:c>
      <x:c r="C71" s="8" t="inlineStr">
        <x:is>
          <x:t xml:space="preserve">Reads from</x:t>
        </x:is>
      </x:c>
      <x:c r="D71" s="8" t="inlineStr">
        <x:is>
          <x:t xml:space="preserve">How synced</x:t>
        </x:is>
      </x:c>
      <x:c r="E71" s="8" t="inlineStr">
        <x:is>
          <x:t xml:space="preserve"/>
        </x:is>
      </x:c>
    </x:row>
    <x:row r="72">
      <x:c r="B72" s="18" t="inlineStr">
        <x:is>
          <x:t xml:space="preserve">Claude Code</x:t>
        </x:is>
      </x:c>
      <x:c r="C72" s="18" t="inlineStr">
        <x:is>
          <x:t xml:space="preserve">/CLAUDE.md (imports AGENTS.md)</x:t>
        </x:is>
      </x:c>
      <x:c r="D72" s="18" t="inlineStr">
        <x:is>
          <x:t xml:space="preserve">Manual reference — auto via @AGENTS.md</x:t>
        </x:is>
      </x:c>
      <x:c r="E72" s="18" t="inlineStr">
        <x:is>
          <x:t xml:space="preserve"/>
        </x:is>
      </x:c>
    </x:row>
    <x:row r="73">
      <x:c r="B73" s="18" t="inlineStr">
        <x:is>
          <x:t xml:space="preserve">OpenAI Codex / GitHub Codex</x:t>
        </x:is>
      </x:c>
      <x:c r="C73" s="18" t="inlineStr">
        <x:is>
          <x:t xml:space="preserve">/AGENTS.md (native)</x:t>
        </x:is>
      </x:c>
      <x:c r="D73" s="18" t="inlineStr">
        <x:is>
          <x:t xml:space="preserve">Native — no sync needed</x:t>
        </x:is>
      </x:c>
      <x:c r="E73" s="18" t="inlineStr">
        <x:is>
          <x:t xml:space="preserve"/>
        </x:is>
      </x:c>
    </x:row>
    <x:row r="74">
      <x:c r="B74" s="18" t="inlineStr">
        <x:is>
          <x:t xml:space="preserve">Cursor</x:t>
        </x:is>
      </x:c>
      <x:c r="C74" s="18" t="inlineStr">
        <x:is>
          <x:t xml:space="preserve">/.cursor/rules</x:t>
        </x:is>
      </x:c>
      <x:c r="D74" s="18" t="inlineStr">
        <x:is>
          <x:t xml:space="preserve">Generated from AGENTS.md by /scripts/governance/sync-ai-rules.ts</x:t>
        </x:is>
      </x:c>
      <x:c r="E74" s="18" t="inlineStr">
        <x:is>
          <x:t xml:space="preserve"/>
        </x:is>
      </x:c>
    </x:row>
    <x:row r="75">
      <x:c r="B75" s="18" t="inlineStr">
        <x:is>
          <x:t xml:space="preserve">GitHub Copilot</x:t>
        </x:is>
      </x:c>
      <x:c r="C75" s="18" t="inlineStr">
        <x:is>
          <x:t xml:space="preserve">/.github/copilot-instructions.md</x:t>
        </x:is>
      </x:c>
      <x:c r="D75" s="18" t="inlineStr">
        <x:is>
          <x:t xml:space="preserve">Generated from AGENTS.md by sync script</x:t>
        </x:is>
      </x:c>
      <x:c r="E75" s="18" t="inlineStr">
        <x:is>
          <x:t xml:space="preserve"/>
        </x:is>
      </x:c>
    </x:row>
    <x:row r="76">
      <x:c r="B76" s="18" t="inlineStr">
        <x:is>
          <x:t xml:space="preserve">Aider, Continue, etc.</x:t>
        </x:is>
      </x:c>
      <x:c r="C76" s="18" t="inlineStr">
        <x:is>
          <x:t xml:space="preserve">Read .ai-rules or AGENTS.md</x:t>
        </x:is>
      </x:c>
      <x:c r="D76" s="18" t="inlineStr">
        <x:is>
          <x:t xml:space="preserve">Native or symlinked</x:t>
        </x:is>
      </x:c>
      <x:c r="E76" s="18" t="inlineStr">
        <x:is>
          <x:t xml:space="preserve"/>
        </x:is>
      </x:c>
    </x:row>
    <x:row r="77">
      <x:c r="B77" s="18" t="inlineStr">
        <x:is>
          <x:t xml:space="preserve">CI / pre-commit</x:t>
        </x:is>
      </x:c>
      <x:c r="C77" s="18" t="inlineStr">
        <x:is>
          <x:t xml:space="preserve">ESLint + dependency-cruiser + custom checks</x:t>
        </x:is>
      </x:c>
      <x:c r="D77" s="18" t="inlineStr">
        <x:is>
          <x:t xml:space="preserve">Enforces what AGENTS.md describes — last line of defense</x:t>
        </x:is>
      </x:c>
      <x:c r="E77" s="18" t="inlineStr">
        <x:is>
          <x:t xml:space="preserve"/>
        </x:is>
      </x:c>
    </x:row>
    <x:row r="80">
      <x:c r="B80" s="5" t="inlineStr">
        <x:is>
          <x:t xml:space="preserve">5. Implementation Sequence (do in this order)</x:t>
        </x:is>
      </x:c>
    </x:row>
    <x:row r="81">
      <x:c r="B81" s="26" t="inlineStr">
        <x:is>
          <x:t xml:space="preserve">Wave 1 — Foundation (week 1)</x:t>
        </x:is>
      </x:c>
      <x:c r="C81" s="18" t="inlineStr">
        <x:is>
          <x:t xml:space="preserve">GOVERNANCE.md + CODEOWNERS + branch protection + PR template + pre-commit hooks + secret scan</x:t>
        </x:is>
      </x:c>
      <x:c r="D81" s="33" t="inlineStr">
        <x:is>
          <x:t xml:space="preserve">Cheapest to retrofit</x:t>
        </x:is>
      </x:c>
      <x:c r="E81" s="35" t="n"/>
    </x:row>
    <x:row r="82">
      <x:c r="B82" s="26" t="inlineStr">
        <x:is>
          <x:t xml:space="preserve">Wave 2 — ADR + boundaries (week 2)</x:t>
        </x:is>
      </x:c>
      <x:c r="C82" s="18" t="inlineStr">
        <x:is>
          <x:t xml:space="preserve">First 5 ADRs + dependency-cruiser config + boundary rules + scaffold scripts</x:t>
        </x:is>
      </x:c>
      <x:c r="D82" s="33" t="inlineStr">
        <x:is>
          <x:t xml:space="preserve">Encodes existing decisions</x:t>
        </x:is>
      </x:c>
      <x:c r="E82" s="35" t="n"/>
    </x:row>
    <x:row r="83">
      <x:c r="B83" s="26" t="inlineStr">
        <x:is>
          <x:t xml:space="preserve">Wave 3 — CI gates (week 3)</x:t>
        </x:is>
      </x:c>
      <x:c r="C83" s="18" t="inlineStr">
        <x:is>
          <x:t xml:space="preserve">All required checks wired to required-status-check policy</x:t>
        </x:is>
      </x:c>
      <x:c r="D83" s="33" t="inlineStr">
        <x:is>
          <x:t xml:space="preserve">Locks in quality floor</x:t>
        </x:is>
      </x:c>
      <x:c r="E83" s="35" t="n"/>
    </x:row>
    <x:row r="84">
      <x:c r="B84" s="26" t="inlineStr">
        <x:is>
          <x:t xml:space="preserve">Wave 4 — Polish (week 4+)</x:t>
        </x:is>
      </x:c>
      <x:c r="C84" s="18" t="inlineStr">
        <x:is>
          <x:t xml:space="preserve">Lighthouse CI, bundle budgets, axe-core, SBOM, DORA dashboard</x:t>
        </x:is>
      </x:c>
      <x:c r="D84" s="33" t="inlineStr">
        <x:is>
          <x:t xml:space="preserve">Continuous improvement</x:t>
        </x:is>
      </x:c>
      <x:c r="E84" s="35" t="n"/>
    </x:row>
  </x:sheetData>
  <x:mergeCells>
    <x:mergeCell ref="D83:E83"/>
    <x:mergeCell ref="B35:E35"/>
    <x:mergeCell ref="D82:E82"/>
    <x:mergeCell ref="B58:E58"/>
    <x:mergeCell ref="B70:E70"/>
    <x:mergeCell ref="D81:E81"/>
    <x:mergeCell ref="D84:E84"/>
    <x:mergeCell ref="B5:E5"/>
    <x:mergeCell ref="B80:E80"/>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baseColWidth="8" defaultRowHeight="15"/>
  <x:cols>
    <x:col min="1" max="1" width="2" customWidth="1"/>
    <x:col min="2" max="2" width="48" customWidth="1"/>
    <x:col min="3" max="3" width="18" customWidth="1"/>
    <x:col min="4" max="4" width="55" customWidth="1"/>
  </x:cols>
  <x:sheetData>
    <x:row r="2">
      <x:c r="B2" s="1" t="inlineStr">
        <x:is>
          <x:t xml:space="preserve">Pilot + Year-1 Pricing Model</x:t>
        </x:is>
      </x:c>
    </x:row>
    <x:row r="3">
      <x:c r="B3" s="2" t="inlineStr">
        <x:is>
          <x:t xml:space="preserve">Blue cells = inputs you can change. Black = formulas. Update to model scenarios.</x:t>
        </x:is>
      </x:c>
    </x:row>
    <x:row r="5">
      <x:c r="B5" s="5" t="inlineStr">
        <x:is>
          <x:t xml:space="preserve">Inputs</x:t>
        </x:is>
      </x:c>
    </x:row>
    <x:row r="6">
      <x:c r="B6" s="6" t="inlineStr">
        <x:is>
          <x:t xml:space="preserve">Pilot fee (one-time, 90 days)</x:t>
        </x:is>
      </x:c>
      <x:c r="C6" s="19" t="n">
        <x:v>300000</x:v>
      </x:c>
      <x:c r="D6" s="20" t="inlineStr">
        <x:is>
          <x:t xml:space="preserve">Setup + 90 days dedicated</x:t>
        </x:is>
      </x:c>
    </x:row>
    <x:row r="7">
      <x:c r="B7" s="6" t="inlineStr">
        <x:is>
          <x:t xml:space="preserve">Year-1 monthly platform fee (target $950k ACV)</x:t>
        </x:is>
      </x:c>
      <x:c r="C7" s="19" t="n">
        <x:v>79167</x:v>
      </x:c>
      <x:c r="D7" s="20" t="inlineStr">
        <x:is>
          <x:t xml:space="preserve">Base SaaS</x:t>
        </x:is>
      </x:c>
    </x:row>
    <x:row r="8">
      <x:c r="B8" s="6" t="inlineStr">
        <x:is>
          <x:t xml:space="preserve">Source module add-on (monthly)</x:t>
        </x:is>
      </x:c>
      <x:c r="C8" s="19" t="n">
        <x:v>40000</x:v>
      </x:c>
      <x:c r="D8" s="20" t="inlineStr">
        <x:is>
          <x:t xml:space="preserve">Procurement loves separate line</x:t>
        </x:is>
      </x:c>
    </x:row>
    <x:row r="9">
      <x:c r="B9" s="6" t="inlineStr">
        <x:is>
          <x:t xml:space="preserve">Users included in base tier</x:t>
        </x:is>
      </x:c>
      <x:c r="C9" s="21" t="n">
        <x:v>25</x:v>
      </x:c>
      <x:c r="D9" s="20" t="inlineStr">
        <x:is>
          <x:t xml:space="preserve">Recommend tiers not per-user</x:t>
        </x:is>
      </x:c>
    </x:row>
    <x:row r="10">
      <x:c r="B10" s="6" t="inlineStr">
        <x:is>
          <x:t xml:space="preserve">Additional user tier 26-100 (monthly)</x:t>
        </x:is>
      </x:c>
      <x:c r="C10" s="19" t="n">
        <x:v>15000</x:v>
      </x:c>
      <x:c r="D10" s="20" t="inlineStr">
        <x:is>
          <x:t xml:space="preserve">Flat add-on, not per-user</x:t>
        </x:is>
      </x:c>
    </x:row>
    <x:row r="11">
      <x:c r="B11" s="6" t="inlineStr">
        <x:is>
          <x:t xml:space="preserve">Token fair-use cap (M tokens/month)</x:t>
        </x:is>
      </x:c>
      <x:c r="C11" s="21" t="n">
        <x:v>50</x:v>
      </x:c>
      <x:c r="D11" s="20" t="inlineStr">
        <x:is>
          <x:t xml:space="preserve">Sized at 3-4x expected</x:t>
        </x:is>
      </x:c>
    </x:row>
    <x:row r="12">
      <x:c r="B12" s="6" t="inlineStr">
        <x:is>
          <x:t xml:space="preserve">Token overage rate ($/M tokens, +20% margin)</x:t>
        </x:is>
      </x:c>
      <x:c r="C12" s="22" t="n">
        <x:v>18</x:v>
      </x:c>
      <x:c r="D12" s="20" t="inlineStr">
        <x:is>
          <x:t xml:space="preserve">Pass-through at cost +20%</x:t>
        </x:is>
      </x:c>
    </x:row>
    <x:row r="13">
      <x:c r="B13" s="6" t="inlineStr">
        <x:is>
          <x:t xml:space="preserve">Founder hourly rate (premium, anchors change-order rate)</x:t>
        </x:is>
      </x:c>
      <x:c r="C13" s="19" t="n">
        <x:v>425</x:v>
      </x:c>
      <x:c r="D13" s="20" t="inlineStr">
        <x:is>
          <x:t xml:space="preserve">Included gift + change-order rate</x:t>
        </x:is>
      </x:c>
    </x:row>
    <x:row r="14">
      <x:c r="B14" s="6" t="inlineStr">
        <x:is>
          <x:t xml:space="preserve">Founder hours/month included free (~10% of contract value)</x:t>
        </x:is>
      </x:c>
      <x:c r="C14" s="21" t="n">
        <x:v>19</x:v>
      </x:c>
      <x:c r="D14" s="20" t="inlineStr">
        <x:is>
          <x:t xml:space="preserve">15% gift @ ~80hr/mo engagement</x:t>
        </x:is>
      </x:c>
    </x:row>
    <x:row r="15">
      <x:c r="B15" s="6" t="inlineStr">
        <x:is>
          <x:t xml:space="preserve">Annual pre-pay discount %</x:t>
        </x:is>
      </x:c>
      <x:c r="C15" s="23" t="n">
        <x:v>0.075</x:v>
      </x:c>
      <x:c r="D15" s="20" t="inlineStr">
        <x:is>
          <x:t xml:space="preserve">5-10% recommended</x:t>
        </x:is>
      </x:c>
    </x:row>
    <x:row r="16">
      <x:c r="B16" s="6" t="inlineStr">
        <x:is>
          <x:t xml:space="preserve">Annual escalator %</x:t>
        </x:is>
      </x:c>
      <x:c r="C16" s="23" t="n">
        <x:v>0.05</x:v>
      </x:c>
      <x:c r="D16" s="20" t="inlineStr">
        <x:is>
          <x:t xml:space="preserve">CPI+3% or 5% flat</x:t>
        </x:is>
      </x:c>
    </x:row>
    <x:row r="18">
      <x:c r="B18" s="5" t="inlineStr">
        <x:is>
          <x:t xml:space="preserve">Pilot Economics (90 days)</x:t>
        </x:is>
      </x:c>
    </x:row>
    <x:row r="19">
      <x:c r="B19" s="6" t="inlineStr">
        <x:is>
          <x:t xml:space="preserve">Pilot fee (collected)</x:t>
        </x:is>
      </x:c>
      <x:c r="C19" s="24" t="n">
        <x:f>C6</x:f>
        <x:v>300000</x:v>
      </x:c>
    </x:row>
    <x:row r="20">
      <x:c r="B20" s="6" t="inlineStr">
        <x:is>
          <x:t xml:space="preserve">Founder time included (90 days × hrs × rate)</x:t>
        </x:is>
      </x:c>
      <x:c r="C20" s="24" t="n">
        <x:f>C14*3*C13</x:f>
        <x:v>24225</x:v>
      </x:c>
    </x:row>
    <x:row r="21">
      <x:c r="B21" s="6" t="inlineStr">
        <x:is>
          <x:t xml:space="preserve">Founder time as % of pilot fee</x:t>
        </x:is>
      </x:c>
      <x:c r="C21" s="25" t="n">
        <x:f>C20/C19</x:f>
        <x:v>0.08075</x:v>
      </x:c>
    </x:row>
    <x:row r="22">
      <x:c r="B22" s="6" t="inlineStr">
        <x:is>
          <x:t xml:space="preserve">Implied effective pilot revenue</x:t>
        </x:is>
      </x:c>
      <x:c r="C22" s="24" t="n">
        <x:f>C19-C20</x:f>
        <x:v>275775</x:v>
      </x:c>
    </x:row>
    <x:row r="25">
      <x:c r="B25" s="5" t="inlineStr">
        <x:is>
          <x:t xml:space="preserve">Year-1 ARR Build (base case, no overage)</x:t>
        </x:is>
      </x:c>
    </x:row>
    <x:row r="26">
      <x:c r="B26" s="6" t="inlineStr">
        <x:is>
          <x:t xml:space="preserve">Platform monthly</x:t>
        </x:is>
      </x:c>
      <x:c r="C26" s="24" t="n">
        <x:f>C7</x:f>
        <x:v>79167</x:v>
      </x:c>
    </x:row>
    <x:row r="27">
      <x:c r="B27" s="6" t="inlineStr">
        <x:is>
          <x:t xml:space="preserve">Source add-on monthly</x:t>
        </x:is>
      </x:c>
      <x:c r="C27" s="24" t="n">
        <x:f>C8</x:f>
        <x:v>40000</x:v>
      </x:c>
    </x:row>
    <x:row r="28">
      <x:c r="B28" s="6" t="inlineStr">
        <x:is>
          <x:t xml:space="preserve">Total monthly (base tier)</x:t>
        </x:is>
      </x:c>
      <x:c r="C28" s="24" t="n">
        <x:f>C26+C27</x:f>
        <x:v>119167</x:v>
      </x:c>
    </x:row>
    <x:row r="29">
      <x:c r="B29" s="6" t="inlineStr">
        <x:is>
          <x:t xml:space="preserve">Annual contract value (ACV)</x:t>
        </x:is>
      </x:c>
      <x:c r="C29" s="24" t="n">
        <x:f>C28*12</x:f>
        <x:v>1430004</x:v>
      </x:c>
    </x:row>
    <x:row r="30">
      <x:c r="B30" s="6" t="inlineStr">
        <x:is>
          <x:t xml:space="preserve">Annual pre-pay (with discount)</x:t>
        </x:is>
      </x:c>
      <x:c r="C30" s="24" t="n">
        <x:f>C29*(1-C15)</x:f>
        <x:v>1322753.7</x:v>
      </x:c>
    </x:row>
    <x:row r="31">
      <x:c r="B31" s="6" t="inlineStr">
        <x:is>
          <x:t xml:space="preserve">Pre-pay savings to client</x:t>
        </x:is>
      </x:c>
      <x:c r="C31" s="24" t="n">
        <x:f>C29-C30</x:f>
        <x:v>107250.30000000005</x:v>
      </x:c>
    </x:row>
    <x:row r="32">
      <x:c r="B32" s="6" t="inlineStr">
        <x:is>
          <x:t xml:space="preserve">Year-2 ACV (with escalator)</x:t>
        </x:is>
      </x:c>
      <x:c r="C32" s="24" t="n">
        <x:f>C29*(1+C16)</x:f>
        <x:v>1501504.2</x:v>
      </x:c>
    </x:row>
    <x:row r="35">
      <x:c r="B35" s="5" t="inlineStr">
        <x:is>
          <x:t xml:space="preserve">Total Deal Value (Pilot + Year-1)</x:t>
        </x:is>
      </x:c>
    </x:row>
    <x:row r="36">
      <x:c r="B36" s="26" t="inlineStr">
        <x:is>
          <x:t xml:space="preserve">Pilot fee</x:t>
        </x:is>
      </x:c>
      <x:c r="C36" s="27" t="n">
        <x:f>C6</x:f>
        <x:v>300000</x:v>
      </x:c>
    </x:row>
    <x:row r="37">
      <x:c r="B37" s="26" t="inlineStr">
        <x:is>
          <x:t xml:space="preserve">Year-1 ACV</x:t>
        </x:is>
      </x:c>
      <x:c r="C37" s="27" t="n">
        <x:f>C29</x:f>
        <x:v>1430004</x:v>
      </x:c>
    </x:row>
    <x:row r="38">
      <x:c r="B38" s="26" t="inlineStr">
        <x:is>
          <x:t xml:space="preserve">TOTAL 15-month deal value</x:t>
        </x:is>
      </x:c>
      <x:c r="C38" s="27" t="n">
        <x:f>C36+C37</x:f>
        <x:v>1730004</x:v>
      </x:c>
    </x:row>
    <x:row r="39">
      <x:c r="B39" s="26" t="inlineStr">
        <x:is>
          <x:t xml:space="preserve">If client pre-pays year-1</x:t>
        </x:is>
      </x:c>
      <x:c r="C39" s="27" t="n">
        <x:f>C36+C30</x:f>
        <x:v>1622753.7</x:v>
      </x:c>
    </x:row>
    <x:row r="42">
      <x:c r="B42" s="5" t="inlineStr">
        <x:is>
          <x:t xml:space="preserve">Token Overage Example (cap protection)</x:t>
        </x:is>
      </x:c>
    </x:row>
    <x:row r="43">
      <x:c r="B43" s="6" t="inlineStr">
        <x:is>
          <x:t xml:space="preserve">Assumed monthly usage (M tokens)</x:t>
        </x:is>
      </x:c>
      <x:c r="C43" s="21" t="n">
        <x:v>75</x:v>
      </x:c>
    </x:row>
    <x:row r="44">
      <x:c r="B44" s="6" t="inlineStr">
        <x:is>
          <x:t xml:space="preserve">Tokens in cap (free)</x:t>
        </x:is>
      </x:c>
      <x:c r="C44" s="28" t="n">
        <x:f>MIN(C43,C11)</x:f>
        <x:v>50</x:v>
      </x:c>
    </x:row>
    <x:row r="45">
      <x:c r="B45" s="6" t="inlineStr">
        <x:is>
          <x:t xml:space="preserve">Overage tokens</x:t>
        </x:is>
      </x:c>
      <x:c r="C45" s="28" t="n">
        <x:f>MAX(0,C43-C11)</x:f>
        <x:v>25</x:v>
      </x:c>
    </x:row>
    <x:row r="46">
      <x:c r="B46" s="6" t="inlineStr">
        <x:is>
          <x:t xml:space="preserve">Monthly overage charge</x:t>
        </x:is>
      </x:c>
      <x:c r="C46" s="24" t="n">
        <x:f>C45*C12</x:f>
        <x:v>450</x:v>
      </x:c>
    </x:row>
    <x:row r="47">
      <x:c r="B47" s="6" t="inlineStr">
        <x:is>
          <x:t xml:space="preserve">Annual overage charge</x:t>
        </x:is>
      </x:c>
      <x:c r="C47" s="24" t="n">
        <x:f>C46*12</x:f>
        <x:v>5400</x:v>
      </x:c>
    </x:row>
  </x:sheetData>
  <x:mergeCells>
    <x:mergeCell ref="B42:D42"/>
    <x:mergeCell ref="B5:D5"/>
    <x:mergeCell ref="B35:D35"/>
    <x:mergeCell ref="B18:D18"/>
    <x:mergeCell ref="B25:D25"/>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baseColWidth="8" defaultRowHeight="15"/>
  <x:cols>
    <x:col min="1" max="1" width="2" customWidth="1"/>
    <x:col min="2" max="2" width="42" customWidth="1"/>
    <x:col min="3" max="3" width="12" customWidth="1"/>
    <x:col min="4" max="4" width="16" customWidth="1"/>
    <x:col min="5" max="5" width="18" customWidth="1"/>
    <x:col min="6" max="6" width="18" customWidth="1"/>
    <x:col min="7" max="7" width="18" customWidth="1"/>
    <x:col min="8" max="8" width="18" customWidth="1"/>
    <x:col min="9" max="9" width="18" customWidth="1"/>
    <x:col min="10" max="10" width="40" customWidth="1"/>
  </x:cols>
  <x:sheetData>
    <x:row r="2">
      <x:c r="B2" s="1" t="inlineStr">
        <x:is>
          <x:t xml:space="preserve">AbarVa Cost Model — Pilot + Year 1 + Year 2</x:t>
        </x:is>
      </x:c>
    </x:row>
    <x:row r="3">
      <x:c r="B3" s="2" t="inlineStr">
        <x:is>
          <x:t xml:space="preserve">All-in technology + operating cost. Blue cells = inputs. Compares With Credits vs Without Credits.</x:t>
        </x:is>
      </x:c>
    </x:row>
    <x:row r="5">
      <x:c r="B5" s="5" t="inlineStr">
        <x:is>
          <x:t xml:space="preserve">Assumptions</x:t>
        </x:is>
      </x:c>
    </x:row>
    <x:row r="6">
      <x:c r="B6" s="6" t="inlineStr">
        <x:is>
          <x:t xml:space="preserve">Pilot duration (months)</x:t>
        </x:is>
      </x:c>
      <x:c r="C6" s="53" t="n">
        <x:v>3</x:v>
      </x:c>
    </x:row>
    <x:row r="7">
      <x:c r="B7" s="6" t="inlineStr">
        <x:is>
          <x:t xml:space="preserve">Max users in pilot</x:t>
        </x:is>
      </x:c>
      <x:c r="C7" s="53" t="n">
        <x:v>10</x:v>
      </x:c>
    </x:row>
    <x:row r="8">
      <x:c r="B8" s="6" t="inlineStr">
        <x:is>
          <x:t xml:space="preserve">Max users year-1</x:t>
        </x:is>
      </x:c>
      <x:c r="C8" s="53" t="n">
        <x:v>50</x:v>
      </x:c>
    </x:row>
    <x:row r="9">
      <x:c r="B9" s="6" t="inlineStr">
        <x:is>
          <x:t xml:space="preserve">Tokens per user per month (M)</x:t>
        </x:is>
      </x:c>
      <x:c r="C9" s="53" t="n">
        <x:v>5</x:v>
      </x:c>
    </x:row>
    <x:row r="10">
      <x:c r="B10" s="6" t="inlineStr">
        <x:is>
          <x:t xml:space="preserve">Cost per M tokens (blended Sonnet $)</x:t>
        </x:is>
      </x:c>
      <x:c r="C10" s="54" t="n">
        <x:v>9</x:v>
      </x:c>
    </x:row>
    <x:row r="11">
      <x:c r="B11" s="6" t="inlineStr">
        <x:is>
          <x:t xml:space="preserve">Founders Hub Azure credit value yr1 ($)</x:t>
        </x:is>
      </x:c>
      <x:c r="C11" s="55" t="n">
        <x:v>75000</x:v>
      </x:c>
    </x:row>
    <x:row r="12">
      <x:c r="B12" s="6" t="inlineStr">
        <x:is>
          <x:t xml:space="preserve">Anthropic startup credit value ($)</x:t>
        </x:is>
      </x:c>
      <x:c r="C12" s="55" t="n">
        <x:v>15000</x:v>
      </x:c>
    </x:row>
    <x:row r="13">
      <x:c r="B13" s="6" t="inlineStr">
        <x:is>
          <x:t xml:space="preserve">Vanta startup discount %</x:t>
        </x:is>
      </x:c>
      <x:c r="C13" s="56" t="n">
        <x:v>0.3</x:v>
      </x:c>
    </x:row>
    <x:row r="16">
      <x:c r="B16" s="5" t="inlineStr">
        <x:is>
          <x:t xml:space="preserve">Cost Line Items</x:t>
        </x:is>
      </x:c>
    </x:row>
    <x:row r="17">
      <x:c r="B17" s="8" t="inlineStr">
        <x:is>
          <x:t xml:space="preserve">Item</x:t>
        </x:is>
      </x:c>
      <x:c r="C17" s="8" t="inlineStr">
        <x:is>
          <x:t xml:space="preserve">Cadence</x:t>
        </x:is>
      </x:c>
      <x:c r="D17" s="8" t="inlineStr">
        <x:is>
          <x:t xml:space="preserve">Unit Cost</x:t>
        </x:is>
      </x:c>
      <x:c r="E17" s="8" t="inlineStr">
        <x:is>
          <x:t xml:space="preserve">Pilot (90d) w/ credits</x:t>
        </x:is>
      </x:c>
      <x:c r="F17" s="8" t="inlineStr">
        <x:is>
          <x:t xml:space="preserve">Pilot (90d) no credits</x:t>
        </x:is>
      </x:c>
      <x:c r="G17" s="8" t="inlineStr">
        <x:is>
          <x:t xml:space="preserve">Yr-1 w/ credits</x:t>
        </x:is>
      </x:c>
      <x:c r="H17" s="8" t="inlineStr">
        <x:is>
          <x:t xml:space="preserve">Yr-1 no credits</x:t>
        </x:is>
      </x:c>
      <x:c r="I17" s="8" t="inlineStr">
        <x:is>
          <x:t xml:space="preserve">Yr-2 (credits expired)</x:t>
        </x:is>
      </x:c>
      <x:c r="J17" s="8" t="inlineStr">
        <x:is>
          <x:t xml:space="preserve">Notes</x:t>
        </x:is>
      </x:c>
    </x:row>
    <x:row r="18">
      <x:c r="B18" s="18" t="inlineStr">
        <x:is>
          <x:t xml:space="preserve">Incorporation (Stripe Atlas)</x:t>
        </x:is>
      </x:c>
      <x:c r="C18" s="18" t="inlineStr">
        <x:is>
          <x:t xml:space="preserve">one-time</x:t>
        </x:is>
      </x:c>
      <x:c r="D18" s="18" t="inlineStr">
        <x:is>
          <x:t xml:space="preserve">$500</x:t>
        </x:is>
      </x:c>
      <x:c r="E18" s="57" t="n">
        <x:v>500</x:v>
      </x:c>
      <x:c r="F18" s="57" t="n">
        <x:v>500</x:v>
      </x:c>
      <x:c r="G18" s="57" t="n">
        <x:v>0</x:v>
      </x:c>
      <x:c r="H18" s="57" t="n">
        <x:v>0</x:v>
      </x:c>
      <x:c r="I18" s="57" t="n">
        <x:v>0</x:v>
      </x:c>
      <x:c r="J18" s="33" t="inlineStr">
        <x:is>
          <x:t xml:space="preserve">Paid in setup, not recurring</x:t>
        </x:is>
      </x:c>
    </x:row>
    <x:row r="19">
      <x:c r="B19" s="18" t="inlineStr">
        <x:is>
          <x:t xml:space="preserve">Foreign qualification (home state)</x:t>
        </x:is>
      </x:c>
      <x:c r="C19" s="18" t="inlineStr">
        <x:is>
          <x:t xml:space="preserve">one-time</x:t>
        </x:is>
      </x:c>
      <x:c r="D19" s="18" t="inlineStr">
        <x:is>
          <x:t xml:space="preserve">$200</x:t>
        </x:is>
      </x:c>
      <x:c r="E19" s="57" t="n">
        <x:v>200</x:v>
      </x:c>
      <x:c r="F19" s="57" t="n">
        <x:v>200</x:v>
      </x:c>
      <x:c r="G19" s="57" t="n">
        <x:v>0</x:v>
      </x:c>
      <x:c r="H19" s="57" t="n">
        <x:v>0</x:v>
      </x:c>
      <x:c r="I19" s="57" t="n">
        <x:v>0</x:v>
      </x:c>
      <x:c r="J19" s="33" t="inlineStr">
        <x:is>
          <x:t xml:space="preserve"/>
        </x:is>
      </x:c>
    </x:row>
    <x:row r="20">
      <x:c r="B20" s="18" t="inlineStr">
        <x:is>
          <x:t xml:space="preserve">Founder IP assignment doc</x:t>
        </x:is>
      </x:c>
      <x:c r="C20" s="18" t="inlineStr">
        <x:is>
          <x:t xml:space="preserve">one-time</x:t>
        </x:is>
      </x:c>
      <x:c r="D20" s="18" t="inlineStr">
        <x:is>
          <x:t xml:space="preserve">$500</x:t>
        </x:is>
      </x:c>
      <x:c r="E20" s="57" t="n">
        <x:v>500</x:v>
      </x:c>
      <x:c r="F20" s="57" t="n">
        <x:v>500</x:v>
      </x:c>
      <x:c r="G20" s="57" t="n">
        <x:v>0</x:v>
      </x:c>
      <x:c r="H20" s="57" t="n">
        <x:v>0</x:v>
      </x:c>
      <x:c r="I20" s="57" t="n">
        <x:v>0</x:v>
      </x:c>
      <x:c r="J20" s="33" t="inlineStr">
        <x:is>
          <x:t xml:space="preserve">Lawyer time</x:t>
        </x:is>
      </x:c>
    </x:row>
    <x:row r="21">
      <x:c r="B21" s="18" t="inlineStr">
        <x:is>
          <x:t xml:space="preserve">Domains (3-4)</x:t>
        </x:is>
      </x:c>
      <x:c r="C21" s="18" t="inlineStr">
        <x:is>
          <x:t xml:space="preserve">annual</x:t>
        </x:is>
      </x:c>
      <x:c r="D21" s="18" t="inlineStr">
        <x:is>
          <x:t xml:space="preserve">$50</x:t>
        </x:is>
      </x:c>
      <x:c r="E21" s="57" t="n">
        <x:v>50</x:v>
      </x:c>
      <x:c r="F21" s="57" t="n">
        <x:v>50</x:v>
      </x:c>
      <x:c r="G21" s="57" t="n">
        <x:v>50</x:v>
      </x:c>
      <x:c r="H21" s="57" t="n">
        <x:v>50</x:v>
      </x:c>
      <x:c r="I21" s="57" t="n">
        <x:v>50</x:v>
      </x:c>
      <x:c r="J21" s="33" t="inlineStr">
        <x:is>
          <x:t xml:space="preserve">Namecheap</x:t>
        </x:is>
      </x:c>
    </x:row>
    <x:row r="22">
      <x:c r="B22" s="18" t="inlineStr">
        <x:is>
          <x:t xml:space="preserve">Trademark AbarVa + 1 mark</x:t>
        </x:is>
      </x:c>
      <x:c r="C22" s="18" t="inlineStr">
        <x:is>
          <x:t xml:space="preserve">one-time</x:t>
        </x:is>
      </x:c>
      <x:c r="D22" s="18" t="inlineStr">
        <x:is>
          <x:t xml:space="preserve">$700</x:t>
        </x:is>
      </x:c>
      <x:c r="E22" s="57" t="n">
        <x:v>700</x:v>
      </x:c>
      <x:c r="F22" s="57" t="n">
        <x:v>700</x:v>
      </x:c>
      <x:c r="G22" s="57" t="n">
        <x:v>0</x:v>
      </x:c>
      <x:c r="H22" s="57" t="n">
        <x:v>0</x:v>
      </x:c>
      <x:c r="I22" s="57" t="n">
        <x:v>0</x:v>
      </x:c>
      <x:c r="J22" s="33" t="inlineStr">
        <x:is>
          <x:t xml:space="preserve"/>
        </x:is>
      </x:c>
    </x:row>
    <x:row r="23">
      <x:c r="B23" s="18" t="inlineStr">
        <x:is>
          <x:t xml:space="preserve">Copyright register corpus</x:t>
        </x:is>
      </x:c>
      <x:c r="C23" s="18" t="inlineStr">
        <x:is>
          <x:t xml:space="preserve">annual</x:t>
        </x:is>
      </x:c>
      <x:c r="D23" s="18" t="inlineStr">
        <x:is>
          <x:t xml:space="preserve">$65</x:t>
        </x:is>
      </x:c>
      <x:c r="E23" s="57" t="n">
        <x:v>65</x:v>
      </x:c>
      <x:c r="F23" s="57" t="n">
        <x:v>65</x:v>
      </x:c>
      <x:c r="G23" s="57" t="n">
        <x:v>65</x:v>
      </x:c>
      <x:c r="H23" s="57" t="n">
        <x:v>65</x:v>
      </x:c>
      <x:c r="I23" s="57" t="n">
        <x:v>65</x:v>
      </x:c>
      <x:c r="J23" s="33" t="inlineStr">
        <x:is>
          <x:t xml:space="preserve"/>
        </x:is>
      </x:c>
    </x:row>
    <x:row r="24">
      <x:c r="B24" s="18" t="inlineStr">
        <x:is>
          <x:t xml:space="preserve">Azure compute (per-client + dev)</x:t>
        </x:is>
      </x:c>
      <x:c r="C24" s="18" t="inlineStr">
        <x:is>
          <x:t xml:space="preserve">monthly</x:t>
        </x:is>
      </x:c>
      <x:c r="D24" s="18" t="inlineStr">
        <x:is>
          <x:t xml:space="preserve">~$2,500/mo</x:t>
        </x:is>
      </x:c>
      <x:c r="E24" s="57" t="n">
        <x:f>0</x:f>
        <x:v>0</x:v>
      </x:c>
      <x:c r="F24" s="57" t="n">
        <x:f>2500*3</x:f>
        <x:v>7500</x:v>
      </x:c>
      <x:c r="G24" s="57" t="n">
        <x:f>0</x:f>
        <x:v>0</x:v>
      </x:c>
      <x:c r="H24" s="57" t="n">
        <x:f>2500*12</x:f>
        <x:v>30000</x:v>
      </x:c>
      <x:c r="I24" s="57" t="n">
        <x:f>2500*12</x:f>
        <x:v>30000</x:v>
      </x:c>
      <x:c r="J24" s="33" t="inlineStr">
        <x:is>
          <x:t xml:space="preserve">$75k/yr; covered by Founders Hub yr1-2</x:t>
        </x:is>
      </x:c>
    </x:row>
    <x:row r="25">
      <x:c r="B25" s="18" t="inlineStr">
        <x:is>
          <x:t xml:space="preserve">Vercel hosting (Pro)</x:t>
        </x:is>
      </x:c>
      <x:c r="C25" s="18" t="inlineStr">
        <x:is>
          <x:t xml:space="preserve">monthly</x:t>
        </x:is>
      </x:c>
      <x:c r="D25" s="18" t="inlineStr">
        <x:is>
          <x:t xml:space="preserve">$20/seat</x:t>
        </x:is>
      </x:c>
      <x:c r="E25" s="57" t="n">
        <x:f>0</x:f>
        <x:v>0</x:v>
      </x:c>
      <x:c r="F25" s="57" t="n">
        <x:f>20*3*3</x:f>
        <x:v>180</x:v>
      </x:c>
      <x:c r="G25" s="57" t="n">
        <x:f>0</x:f>
        <x:v>0</x:v>
      </x:c>
      <x:c r="H25" s="57" t="n">
        <x:f>20*5*12</x:f>
        <x:v>1200</x:v>
      </x:c>
      <x:c r="I25" s="57" t="n">
        <x:f>20*5*12</x:f>
        <x:v>1200</x:v>
      </x:c>
      <x:c r="J25" s="33" t="inlineStr">
        <x:is>
          <x:t xml:space="preserve">Startup discount → $0 yr1; ~$100-300/mo retail</x:t>
        </x:is>
      </x:c>
    </x:row>
    <x:row r="26">
      <x:c r="B26" s="18" t="inlineStr">
        <x:is>
          <x:t xml:space="preserve">Clerk auth (Pro for pilot, Enterprise yr1)</x:t>
        </x:is>
      </x:c>
      <x:c r="C26" s="18" t="inlineStr">
        <x:is>
          <x:t xml:space="preserve">monthly</x:t>
        </x:is>
      </x:c>
      <x:c r="D26" s="18" t="inlineStr">
        <x:is>
          <x:t xml:space="preserve">tiered</x:t>
        </x:is>
      </x:c>
      <x:c r="E26" s="57" t="n">
        <x:f>0</x:f>
        <x:v>0</x:v>
      </x:c>
      <x:c r="F26" s="57" t="n">
        <x:f>50*3</x:f>
        <x:v>150</x:v>
      </x:c>
      <x:c r="G26" s="57" t="n">
        <x:f>0</x:f>
        <x:v>0</x:v>
      </x:c>
      <x:c r="H26" s="57" t="n">
        <x:f>400*12</x:f>
        <x:v>4800</x:v>
      </x:c>
      <x:c r="I26" s="57" t="n">
        <x:f>600*12</x:f>
        <x:v>7200</x:v>
      </x:c>
      <x:c r="J26" s="33" t="inlineStr">
        <x:is>
          <x:t xml:space="preserve">Pilot 10u Pro ~$50; Yr1 50u Enterprise SSO ~$400-600; startup discount applies</x:t>
        </x:is>
      </x:c>
    </x:row>
    <x:row r="27">
      <x:c r="B27" s="18" t="inlineStr">
        <x:is>
          <x:t xml:space="preserve">Anthropic Claude (LLM)</x:t>
        </x:is>
      </x:c>
      <x:c r="C27" s="18" t="inlineStr">
        <x:is>
          <x:t xml:space="preserve">monthly</x:t>
        </x:is>
      </x:c>
      <x:c r="D27" s="18" t="inlineStr">
        <x:is>
          <x:t xml:space="preserve">usage</x:t>
        </x:is>
      </x:c>
      <x:c r="E27" s="57" t="n">
        <x:f>0</x:f>
        <x:v>0</x:v>
      </x:c>
      <x:c r="F27" s="57" t="n">
        <x:f>C7*C9*C10*C6</x:f>
        <x:v>1350</x:v>
      </x:c>
      <x:c r="G27" s="57" t="n">
        <x:f>0</x:f>
        <x:v>0</x:v>
      </x:c>
      <x:c r="H27" s="57" t="n">
        <x:f>C8*C9*C10*12</x:f>
        <x:v>27000</x:v>
      </x:c>
      <x:c r="I27" s="57" t="n">
        <x:f>C8*C9*C10*12</x:f>
        <x:v>27000</x:v>
      </x:c>
      <x:c r="J27" s="33" t="inlineStr">
        <x:is>
          <x:t xml:space="preserve">Covered by Azure-routed credits + direct credits</x:t>
        </x:is>
      </x:c>
    </x:row>
    <x:row r="28">
      <x:c r="B28" s="18" t="inlineStr">
        <x:is>
          <x:t xml:space="preserve">OpenAI (embeddings/eval)</x:t>
        </x:is>
      </x:c>
      <x:c r="C28" s="18" t="inlineStr">
        <x:is>
          <x:t xml:space="preserve">monthly</x:t>
        </x:is>
      </x:c>
      <x:c r="D28" s="18" t="inlineStr">
        <x:is>
          <x:t xml:space="preserve">$100/mo</x:t>
        </x:is>
      </x:c>
      <x:c r="E28" s="57" t="n">
        <x:f>0</x:f>
        <x:v>0</x:v>
      </x:c>
      <x:c r="F28" s="57" t="n">
        <x:f>100*3</x:f>
        <x:v>300</x:v>
      </x:c>
      <x:c r="G28" s="57" t="n">
        <x:f>0</x:f>
        <x:v>0</x:v>
      </x:c>
      <x:c r="H28" s="57" t="n">
        <x:f>100*12</x:f>
        <x:v>1200</x:v>
      </x:c>
      <x:c r="I28" s="57" t="n">
        <x:f>100*12</x:f>
        <x:v>1200</x:v>
      </x:c>
      <x:c r="J28" s="33" t="inlineStr">
        <x:is>
          <x:t xml:space="preserve">Light use; startup credits cover</x:t>
        </x:is>
      </x:c>
    </x:row>
    <x:row r="29">
      <x:c r="B29" s="18" t="inlineStr">
        <x:is>
          <x:t xml:space="preserve">Status page (instatus)</x:t>
        </x:is>
      </x:c>
      <x:c r="C29" s="18" t="inlineStr">
        <x:is>
          <x:t xml:space="preserve">monthly</x:t>
        </x:is>
      </x:c>
      <x:c r="D29" s="18" t="inlineStr">
        <x:is>
          <x:t xml:space="preserve">$40/mo</x:t>
        </x:is>
      </x:c>
      <x:c r="E29" s="57" t="n">
        <x:v>120</x:v>
      </x:c>
      <x:c r="F29" s="57" t="n">
        <x:v>120</x:v>
      </x:c>
      <x:c r="G29" s="57" t="n">
        <x:v>480</x:v>
      </x:c>
      <x:c r="H29" s="57" t="n">
        <x:v>480</x:v>
      </x:c>
      <x:c r="I29" s="57" t="n">
        <x:v>480</x:v>
      </x:c>
      <x:c r="J29" s="33" t="inlineStr">
        <x:is>
          <x:t xml:space="preserve">$40 × 3 / × 12</x:t>
        </x:is>
      </x:c>
    </x:row>
    <x:row r="30">
      <x:c r="B30" s="18" t="inlineStr">
        <x:is>
          <x:t xml:space="preserve">PostHog analytics</x:t>
        </x:is>
      </x:c>
      <x:c r="C30" s="18" t="inlineStr">
        <x:is>
          <x:t xml:space="preserve">monthly</x:t>
        </x:is>
      </x:c>
      <x:c r="D30" s="18" t="inlineStr">
        <x:is>
          <x:t xml:space="preserve">$0-$50</x:t>
        </x:is>
      </x:c>
      <x:c r="E30" s="57" t="n">
        <x:v>0</x:v>
      </x:c>
      <x:c r="F30" s="57" t="n">
        <x:v>50</x:v>
      </x:c>
      <x:c r="G30" s="57" t="n">
        <x:v>0</x:v>
      </x:c>
      <x:c r="H30" s="57" t="n">
        <x:v>600</x:v>
      </x:c>
      <x:c r="I30" s="57" t="n">
        <x:v>600</x:v>
      </x:c>
      <x:c r="J30" s="33" t="inlineStr">
        <x:is>
          <x:t xml:space="preserve">Free up to 1M events</x:t>
        </x:is>
      </x:c>
    </x:row>
    <x:row r="31">
      <x:c r="B31" s="18" t="inlineStr">
        <x:is>
          <x:t xml:space="preserve">Resend email</x:t>
        </x:is>
      </x:c>
      <x:c r="C31" s="18" t="inlineStr">
        <x:is>
          <x:t xml:space="preserve">monthly</x:t>
        </x:is>
      </x:c>
      <x:c r="D31" s="18" t="inlineStr">
        <x:is>
          <x:t xml:space="preserve">$20/mo</x:t>
        </x:is>
      </x:c>
      <x:c r="E31" s="57" t="n">
        <x:v>60</x:v>
      </x:c>
      <x:c r="F31" s="57" t="n">
        <x:v>60</x:v>
      </x:c>
      <x:c r="G31" s="57" t="n">
        <x:v>240</x:v>
      </x:c>
      <x:c r="H31" s="57" t="n">
        <x:v>240</x:v>
      </x:c>
      <x:c r="I31" s="57" t="n">
        <x:v>240</x:v>
      </x:c>
      <x:c r="J31" s="33" t="inlineStr">
        <x:is>
          <x:t xml:space="preserve"/>
        </x:is>
      </x:c>
    </x:row>
    <x:row r="32">
      <x:c r="B32" s="18" t="inlineStr">
        <x:is>
          <x:t xml:space="preserve">Notion / wiki</x:t>
        </x:is>
      </x:c>
      <x:c r="C32" s="18" t="inlineStr">
        <x:is>
          <x:t xml:space="preserve">monthly</x:t>
        </x:is>
      </x:c>
      <x:c r="D32" s="18" t="inlineStr">
        <x:is>
          <x:t xml:space="preserve">$8/user</x:t>
        </x:is>
      </x:c>
      <x:c r="E32" s="57" t="n">
        <x:v>0</x:v>
      </x:c>
      <x:c r="F32" s="57" t="n">
        <x:f>8*3*3</x:f>
        <x:v>72</x:v>
      </x:c>
      <x:c r="G32" s="57" t="n">
        <x:v>0</x:v>
      </x:c>
      <x:c r="H32" s="57" t="n">
        <x:f>8*5*12</x:f>
        <x:v>480</x:v>
      </x:c>
      <x:c r="I32" s="57" t="n">
        <x:f>8*5*12</x:f>
        <x:v>480</x:v>
      </x:c>
      <x:c r="J32" s="33" t="inlineStr">
        <x:is>
          <x:t xml:space="preserve">Startup tier $0 yr1</x:t>
        </x:is>
      </x:c>
    </x:row>
    <x:row r="33">
      <x:c r="B33" s="18" t="inlineStr">
        <x:is>
          <x:t xml:space="preserve">SOC 2 platform (Vanta/Drata)</x:t>
        </x:is>
      </x:c>
      <x:c r="C33" s="18" t="inlineStr">
        <x:is>
          <x:t xml:space="preserve">annual</x:t>
        </x:is>
      </x:c>
      <x:c r="D33" s="18" t="inlineStr">
        <x:is>
          <x:t xml:space="preserve">$15-25k/yr</x:t>
        </x:is>
      </x:c>
      <x:c r="E33" s="57" t="n">
        <x:f>20000*0.7*0.25</x:f>
        <x:v>3500</x:v>
      </x:c>
      <x:c r="F33" s="57" t="n">
        <x:f>20000*0.25</x:f>
        <x:v>5000</x:v>
      </x:c>
      <x:c r="G33" s="57" t="n">
        <x:f>20000*(1-C13)</x:f>
        <x:v>14000</x:v>
      </x:c>
      <x:c r="H33" s="57" t="n">
        <x:f>20000</x:f>
        <x:v>20000</x:v>
      </x:c>
      <x:c r="I33" s="57" t="n">
        <x:f>20000</x:f>
        <x:v>20000</x:v>
      </x:c>
      <x:c r="J33" s="33" t="inlineStr">
        <x:is>
          <x:t xml:space="preserve">Pilot = 1 quarter share; startup discount</x:t>
        </x:is>
      </x:c>
    </x:row>
    <x:row r="34">
      <x:c r="B34" s="18" t="inlineStr">
        <x:is>
          <x:t xml:space="preserve">SOC 2 auditor</x:t>
        </x:is>
      </x:c>
      <x:c r="C34" s="18" t="inlineStr">
        <x:is>
          <x:t xml:space="preserve">annual</x:t>
        </x:is>
      </x:c>
      <x:c r="D34" s="18" t="inlineStr">
        <x:is>
          <x:t xml:space="preserve">$10-20k/yr</x:t>
        </x:is>
      </x:c>
      <x:c r="E34" s="57" t="n">
        <x:v>0</x:v>
      </x:c>
      <x:c r="F34" s="57" t="n">
        <x:v>0</x:v>
      </x:c>
      <x:c r="G34" s="57" t="n">
        <x:v>15000</x:v>
      </x:c>
      <x:c r="H34" s="57" t="n">
        <x:v>15000</x:v>
      </x:c>
      <x:c r="I34" s="57" t="n">
        <x:v>15000</x:v>
      </x:c>
      <x:c r="J34" s="33" t="inlineStr">
        <x:is>
          <x:t xml:space="preserve">Type 1 yr1; Type 2 ongoing</x:t>
        </x:is>
      </x:c>
    </x:row>
    <x:row r="35">
      <x:c r="B35" s="18" t="inlineStr">
        <x:is>
          <x:t xml:space="preserve">External pen test</x:t>
        </x:is>
      </x:c>
      <x:c r="C35" s="18" t="inlineStr">
        <x:is>
          <x:t xml:space="preserve">annual</x:t>
        </x:is>
      </x:c>
      <x:c r="D35" s="18" t="inlineStr">
        <x:is>
          <x:t xml:space="preserve">$10k</x:t>
        </x:is>
      </x:c>
      <x:c r="E35" s="57" t="n">
        <x:f>10000</x:f>
        <x:v>10000</x:v>
      </x:c>
      <x:c r="F35" s="57" t="n">
        <x:f>10000</x:f>
        <x:v>10000</x:v>
      </x:c>
      <x:c r="G35" s="57" t="n">
        <x:f>10000</x:f>
        <x:v>10000</x:v>
      </x:c>
      <x:c r="H35" s="57" t="n">
        <x:f>10000</x:f>
        <x:v>10000</x:v>
      </x:c>
      <x:c r="I35" s="57" t="n">
        <x:f>10000</x:f>
        <x:v>10000</x:v>
      </x:c>
      <x:c r="J35" s="33" t="inlineStr">
        <x:is>
          <x:t xml:space="preserve">On FakeClient for pilot; on prod after</x:t>
        </x:is>
      </x:c>
    </x:row>
    <x:row r="36">
      <x:c r="B36" s="18" t="inlineStr">
        <x:is>
          <x:t xml:space="preserve">Insurance (cyber + E&amp;O + GL)</x:t>
        </x:is>
      </x:c>
      <x:c r="C36" s="18" t="inlineStr">
        <x:is>
          <x:t xml:space="preserve">annual</x:t>
        </x:is>
      </x:c>
      <x:c r="D36" s="18" t="inlineStr">
        <x:is>
          <x:t xml:space="preserve">$5k/yr</x:t>
        </x:is>
      </x:c>
      <x:c r="E36" s="57" t="n">
        <x:f>5000*0.25</x:f>
        <x:v>1250</x:v>
      </x:c>
      <x:c r="F36" s="57" t="n">
        <x:f>5000*0.25</x:f>
        <x:v>1250</x:v>
      </x:c>
      <x:c r="G36" s="57" t="n">
        <x:v>5000</x:v>
      </x:c>
      <x:c r="H36" s="57" t="n">
        <x:v>5000</x:v>
      </x:c>
      <x:c r="I36" s="57" t="n">
        <x:v>5000</x:v>
      </x:c>
      <x:c r="J36" s="33" t="inlineStr">
        <x:is>
          <x:t xml:space="preserve">Pilot prorated</x:t>
        </x:is>
      </x:c>
    </x:row>
    <x:row r="37">
      <x:c r="B37" s="18" t="inlineStr">
        <x:is>
          <x:t xml:space="preserve">Bookkeeping (Pilot/Bench)</x:t>
        </x:is>
      </x:c>
      <x:c r="C37" s="18" t="inlineStr">
        <x:is>
          <x:t xml:space="preserve">monthly</x:t>
        </x:is>
      </x:c>
      <x:c r="D37" s="18" t="inlineStr">
        <x:is>
          <x:t xml:space="preserve">$450/mo</x:t>
        </x:is>
      </x:c>
      <x:c r="E37" s="57" t="n">
        <x:v>1350</x:v>
      </x:c>
      <x:c r="F37" s="57" t="n">
        <x:v>1350</x:v>
      </x:c>
      <x:c r="G37" s="57" t="n">
        <x:v>5400</x:v>
      </x:c>
      <x:c r="H37" s="57" t="n">
        <x:v>5400</x:v>
      </x:c>
      <x:c r="I37" s="57" t="n">
        <x:v>5400</x:v>
      </x:c>
      <x:c r="J37" s="33" t="inlineStr">
        <x:is>
          <x:t xml:space="preserve"/>
        </x:is>
      </x:c>
    </x:row>
    <x:row r="38">
      <x:c r="B38" s="18" t="inlineStr">
        <x:is>
          <x:t xml:space="preserve">CPA (yr-end + advisory)</x:t>
        </x:is>
      </x:c>
      <x:c r="C38" s="18" t="inlineStr">
        <x:is>
          <x:t xml:space="preserve">annual</x:t>
        </x:is>
      </x:c>
      <x:c r="D38" s="18" t="inlineStr">
        <x:is>
          <x:t xml:space="preserve">$2k/yr</x:t>
        </x:is>
      </x:c>
      <x:c r="E38" s="57" t="n">
        <x:v>500</x:v>
      </x:c>
      <x:c r="F38" s="57" t="n">
        <x:v>500</x:v>
      </x:c>
      <x:c r="G38" s="57" t="n">
        <x:v>2000</x:v>
      </x:c>
      <x:c r="H38" s="57" t="n">
        <x:v>2000</x:v>
      </x:c>
      <x:c r="I38" s="57" t="n">
        <x:v>2000</x:v>
      </x:c>
      <x:c r="J38" s="33" t="inlineStr">
        <x:is>
          <x:t xml:space="preserve">Pilot quarter share</x:t>
        </x:is>
      </x:c>
    </x:row>
    <x:row r="39">
      <x:c r="B39" s="18" t="inlineStr">
        <x:is>
          <x:t xml:space="preserve">Lawyer (initial setup + redlines)</x:t>
        </x:is>
      </x:c>
      <x:c r="C39" s="18" t="inlineStr">
        <x:is>
          <x:t xml:space="preserve">one-time</x:t>
        </x:is>
      </x:c>
      <x:c r="D39" s="18" t="inlineStr">
        <x:is>
          <x:t xml:space="preserve">$8k</x:t>
        </x:is>
      </x:c>
      <x:c r="E39" s="57" t="n">
        <x:v>8000</x:v>
      </x:c>
      <x:c r="F39" s="57" t="n">
        <x:v>8000</x:v>
      </x:c>
      <x:c r="G39" s="57" t="n">
        <x:v>3000</x:v>
      </x:c>
      <x:c r="H39" s="57" t="n">
        <x:v>3000</x:v>
      </x:c>
      <x:c r="I39" s="57" t="n">
        <x:v>3000</x:v>
      </x:c>
      <x:c r="J39" s="33" t="inlineStr">
        <x:is>
          <x:t xml:space="preserve">Bigger yr0; smaller ongoing</x:t>
        </x:is>
      </x:c>
    </x:row>
    <x:row r="40">
      <x:c r="B40" s="18" t="inlineStr">
        <x:is>
          <x:t xml:space="preserve">GitHub Enterprise + Copilot</x:t>
        </x:is>
      </x:c>
      <x:c r="C40" s="18" t="inlineStr">
        <x:is>
          <x:t xml:space="preserve">monthly</x:t>
        </x:is>
      </x:c>
      <x:c r="D40" s="18" t="inlineStr">
        <x:is>
          <x:t xml:space="preserve">$50/user</x:t>
        </x:is>
      </x:c>
      <x:c r="E40" s="57" t="n">
        <x:v>0</x:v>
      </x:c>
      <x:c r="F40" s="57" t="n">
        <x:f>50*3*3</x:f>
        <x:v>450</x:v>
      </x:c>
      <x:c r="G40" s="57" t="n">
        <x:v>0</x:v>
      </x:c>
      <x:c r="H40" s="57" t="n">
        <x:f>50*5*12</x:f>
        <x:v>3000</x:v>
      </x:c>
      <x:c r="I40" s="57" t="n">
        <x:f>50*5*12</x:f>
        <x:v>3000</x:v>
      </x:c>
      <x:c r="J40" s="33" t="inlineStr">
        <x:is>
          <x:t xml:space="preserve">Free via Founders Hub yr1-2</x:t>
        </x:is>
      </x:c>
    </x:row>
    <x:row r="41">
      <x:c r="B41" s="18" t="inlineStr">
        <x:is>
          <x:t xml:space="preserve">Microsoft 365</x:t>
        </x:is>
      </x:c>
      <x:c r="C41" s="18" t="inlineStr">
        <x:is>
          <x:t xml:space="preserve">monthly</x:t>
        </x:is>
      </x:c>
      <x:c r="D41" s="18" t="inlineStr">
        <x:is>
          <x:t xml:space="preserve">$30/user</x:t>
        </x:is>
      </x:c>
      <x:c r="E41" s="57" t="n">
        <x:v>0</x:v>
      </x:c>
      <x:c r="F41" s="57" t="n">
        <x:f>30*3*3</x:f>
        <x:v>270</x:v>
      </x:c>
      <x:c r="G41" s="57" t="n">
        <x:v>0</x:v>
      </x:c>
      <x:c r="H41" s="57" t="n">
        <x:f>30*5*12</x:f>
        <x:v>1800</x:v>
      </x:c>
      <x:c r="I41" s="57" t="n">
        <x:f>30*5*12</x:f>
        <x:v>1800</x:v>
      </x:c>
      <x:c r="J41" s="33" t="inlineStr">
        <x:is>
          <x:t xml:space="preserve">Limited free seats via Founders Hub</x:t>
        </x:is>
      </x:c>
    </x:row>
    <x:row r="42">
      <x:c r="B42" s="18" t="inlineStr">
        <x:is>
          <x:t xml:space="preserve">Founder time included free (15%)</x:t>
        </x:is>
      </x:c>
      <x:c r="C42" s="18" t="inlineStr">
        <x:is>
          <x:t xml:space="preserve">monthly</x:t>
        </x:is>
      </x:c>
      <x:c r="D42" s="18" t="inlineStr">
        <x:is>
          <x:t xml:space="preserve">$375/hr × 12hr</x:t>
        </x:is>
      </x:c>
      <x:c r="E42" s="57" t="n">
        <x:v>13500</x:v>
      </x:c>
      <x:c r="F42" s="57" t="n">
        <x:v>13500</x:v>
      </x:c>
      <x:c r="G42" s="57" t="n">
        <x:v>54000</x:v>
      </x:c>
      <x:c r="H42" s="57" t="n">
        <x:v>54000</x:v>
      </x:c>
      <x:c r="I42" s="57" t="n">
        <x:v>54000</x:v>
      </x:c>
      <x:c r="J42" s="33" t="inlineStr">
        <x:is>
          <x:t xml:space="preserve">Investment; not cash cost but real time</x:t>
        </x:is>
      </x:c>
    </x:row>
    <x:row r="43">
      <x:c r="B43" s="5" t="inlineStr">
        <x:is>
          <x:t xml:space="preserve">TOTAL</x:t>
        </x:is>
      </x:c>
      <x:c r="C43" s="58" t="inlineStr">
        <x:is>
          <x:t xml:space="preserve"/>
        </x:is>
      </x:c>
      <x:c r="D43" s="58" t="inlineStr">
        <x:is>
          <x:t xml:space="preserve"/>
        </x:is>
      </x:c>
      <x:c r="E43" s="59" t="n">
        <x:f>SUM(E18:E42)</x:f>
        <x:v>40295</x:v>
      </x:c>
      <x:c r="F43" s="59" t="n">
        <x:f>SUM(F18:F42)</x:f>
        <x:v>52117</x:v>
      </x:c>
      <x:c r="G43" s="59" t="n">
        <x:f>SUM(G18:G42)</x:f>
        <x:v>109235</x:v>
      </x:c>
      <x:c r="H43" s="59" t="n">
        <x:f>SUM(H18:H42)</x:f>
        <x:v>185315</x:v>
      </x:c>
      <x:c r="I43" s="59" t="n">
        <x:f>SUM(I18:I42)</x:f>
        <x:v>187715</x:v>
      </x:c>
      <x:c r="J43" s="58" t="n"/>
    </x:row>
    <x:row r="45">
      <x:c r="B45" s="5" t="inlineStr">
        <x:is>
          <x:t xml:space="preserve">Bottom Line</x:t>
        </x:is>
      </x:c>
    </x:row>
    <x:row r="46">
      <x:c r="B46" s="6" t="inlineStr">
        <x:is>
          <x:t xml:space="preserve">Pilot cost with all credits applied</x:t>
        </x:is>
      </x:c>
      <x:c r="C46" s="60" t="n">
        <x:f>E43</x:f>
        <x:v>40295</x:v>
      </x:c>
      <x:c r="D46" s="61" t="inlineStr">
        <x:is>
          <x:t xml:space="preserve">What pilot really costs you</x:t>
        </x:is>
      </x:c>
    </x:row>
    <x:row r="47">
      <x:c r="B47" s="6" t="inlineStr">
        <x:is>
          <x:t xml:space="preserve">Pilot cost without any credits</x:t>
        </x:is>
      </x:c>
      <x:c r="C47" s="60" t="n">
        <x:f>F43</x:f>
        <x:v>52117</x:v>
      </x:c>
      <x:c r="D47" s="61" t="inlineStr">
        <x:is>
          <x:t xml:space="preserve">Worst-case if no credits applied</x:t>
        </x:is>
      </x:c>
    </x:row>
    <x:row r="48">
      <x:c r="B48" s="6" t="inlineStr">
        <x:is>
          <x:t xml:space="preserve">Credits saved during pilot</x:t>
        </x:is>
      </x:c>
      <x:c r="C48" s="60" t="n">
        <x:f>F43-E43</x:f>
        <x:v>11822</x:v>
      </x:c>
      <x:c r="D48" s="61" t="inlineStr">
        <x:is>
          <x:t xml:space="preserve">Value of stacked startup programs</x:t>
        </x:is>
      </x:c>
    </x:row>
    <x:row r="50">
      <x:c r="B50" s="6" t="inlineStr">
        <x:is>
          <x:t xml:space="preserve">Year-1 cost with credits</x:t>
        </x:is>
      </x:c>
      <x:c r="C50" s="60" t="n">
        <x:f>G43</x:f>
        <x:v>109235</x:v>
      </x:c>
      <x:c r="D50" s="61" t="inlineStr">
        <x:is>
          <x:t xml:space="preserve">Year-1 spend covered by credits</x:t>
        </x:is>
      </x:c>
    </x:row>
    <x:row r="51">
      <x:c r="B51" s="6" t="inlineStr">
        <x:is>
          <x:t xml:space="preserve">Year-1 cost without credits</x:t>
        </x:is>
      </x:c>
      <x:c r="C51" s="60" t="n">
        <x:f>H43</x:f>
        <x:v>185315</x:v>
      </x:c>
      <x:c r="D51" s="61" t="inlineStr">
        <x:is>
          <x:t xml:space="preserve"/>
        </x:is>
      </x:c>
    </x:row>
    <x:row r="52">
      <x:c r="B52" s="6" t="inlineStr">
        <x:is>
          <x:t xml:space="preserve">Year-1 credits saved</x:t>
        </x:is>
      </x:c>
      <x:c r="C52" s="60" t="n">
        <x:f>H43-G43</x:f>
        <x:v>76080</x:v>
      </x:c>
      <x:c r="D52" s="61" t="inlineStr">
        <x:is>
          <x:t xml:space="preserve">Value extracted from startup programs</x:t>
        </x:is>
      </x:c>
    </x:row>
    <x:row r="54">
      <x:c r="B54" s="6" t="inlineStr">
        <x:is>
          <x:t xml:space="preserve">Year-2 cost (credits expired)</x:t>
        </x:is>
      </x:c>
      <x:c r="C54" s="60" t="n">
        <x:f>I43</x:f>
        <x:v>187715</x:v>
      </x:c>
      <x:c r="D54" s="61" t="inlineStr">
        <x:is>
          <x:t xml:space="preserve">Real run-rate when Founders Hub expires</x:t>
        </x:is>
      </x:c>
    </x:row>
    <x:row r="56">
      <x:c r="B56" s="6" t="inlineStr">
        <x:is>
          <x:t xml:space="preserve">Pilot revenue (from Pricing sheet)</x:t>
        </x:is>
      </x:c>
      <x:c r="C56" s="60" t="n">
        <x:f>Pricing!C6</x:f>
        <x:v>300000</x:v>
      </x:c>
      <x:c r="D56" s="61" t="inlineStr">
        <x:is>
          <x:t xml:space="preserve"/>
        </x:is>
      </x:c>
    </x:row>
    <x:row r="57">
      <x:c r="B57" s="26" t="inlineStr">
        <x:is>
          <x:t xml:space="preserve">Pilot margin with credits</x:t>
        </x:is>
      </x:c>
      <x:c r="C57" s="60" t="n">
        <x:f>Pricing!C6-E43</x:f>
        <x:v>259705</x:v>
      </x:c>
      <x:c r="D57" s="61" t="inlineStr">
        <x:is>
          <x:t xml:space="preserve">Cash retained from pilot fee</x:t>
        </x:is>
      </x:c>
    </x:row>
    <x:row r="58">
      <x:c r="B58" s="26" t="inlineStr">
        <x:is>
          <x:t xml:space="preserve">Pilot margin %</x:t>
        </x:is>
      </x:c>
      <x:c r="C58" s="62" t="n">
        <x:f>(Pricing!C6-E43)/Pricing!C6</x:f>
        <x:v>0.8656833333333334</x:v>
      </x:c>
      <x:c r="D58" s="61" t="inlineStr">
        <x:is>
          <x:t xml:space="preserve"/>
        </x:is>
      </x:c>
    </x:row>
    <x:row r="59">
      <x:c r="B59" s="6" t="inlineStr">
        <x:is>
          <x:t xml:space="preserve">Year-1 ACV</x:t>
        </x:is>
      </x:c>
      <x:c r="C59" s="60" t="n">
        <x:f>Pricing!C29</x:f>
        <x:v>1430004</x:v>
      </x:c>
      <x:c r="D59" s="61" t="inlineStr">
        <x:is>
          <x:t xml:space="preserve"/>
        </x:is>
      </x:c>
    </x:row>
    <x:row r="60">
      <x:c r="B60" s="26" t="inlineStr">
        <x:is>
          <x:t xml:space="preserve">Year-1 margin with credits</x:t>
        </x:is>
      </x:c>
      <x:c r="C60" s="60" t="n">
        <x:f>Pricing!C29-G43</x:f>
        <x:v>1320769</x:v>
      </x:c>
      <x:c r="D60" s="61" t="inlineStr">
        <x:is>
          <x:t xml:space="preserve"/>
        </x:is>
      </x:c>
    </x:row>
    <x:row r="61">
      <x:c r="B61" s="26" t="inlineStr">
        <x:is>
          <x:t xml:space="preserve">Year-1 margin %</x:t>
        </x:is>
      </x:c>
      <x:c r="C61" s="62" t="n">
        <x:f>(Pricing!C29-G43)/Pricing!C29</x:f>
        <x:v>0.9236121017843306</x:v>
      </x:c>
      <x:c r="D61" s="61" t="inlineStr">
        <x:is>
          <x:t xml:space="preserve"/>
        </x:is>
      </x:c>
    </x:row>
  </x:sheetData>
  <x:mergeCells>
    <x:mergeCell ref="D46:J46"/>
    <x:mergeCell ref="D61:J61"/>
    <x:mergeCell ref="D54:J54"/>
    <x:mergeCell ref="D56:J56"/>
    <x:mergeCell ref="D50:J50"/>
    <x:mergeCell ref="D48:J48"/>
    <x:mergeCell ref="B45:J45"/>
    <x:mergeCell ref="D58:J58"/>
    <x:mergeCell ref="D59:J59"/>
    <x:mergeCell ref="D52:J52"/>
    <x:mergeCell ref="D47:J47"/>
    <x:mergeCell ref="D60:J60"/>
    <x:mergeCell ref="D57:J57"/>
    <x:mergeCell ref="B5:E5"/>
    <x:mergeCell ref="D51:J51"/>
    <x:mergeCell ref="B16:J16"/>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baseColWidth="8" defaultRowHeight="15"/>
  <x:cols>
    <x:col min="1" max="1" width="2" customWidth="1"/>
    <x:col min="2" max="2" width="38" customWidth="1"/>
    <x:col min="3" max="3" width="70" customWidth="1"/>
    <x:col min="4" max="4" width="30" customWidth="1"/>
    <x:col min="5" max="5" width="20" customWidth="1"/>
    <x:col min="6" max="6" width="20" customWidth="1"/>
  </x:cols>
  <x:sheetData>
    <x:row r="2">
      <x:c r="B2" s="1" t="inlineStr">
        <x:is>
          <x:t xml:space="preserve">Business Case — PHS (Greenfield AI / Modernization Play)</x:t>
        </x:is>
      </x:c>
    </x:row>
    <x:row r="3">
      <x:c r="B3" s="2" t="inlineStr">
        <x:is>
          <x:t xml:space="preserve">CDAO buyer. Azure+Databricks modernization in flight. No AI strategy = the OPPORTUNITY.</x:t>
        </x:is>
      </x:c>
    </x:row>
    <x:row r="5">
      <x:c r="B5" s="5" t="inlineStr">
        <x:is>
          <x:t xml:space="preserve">1. Prospect Snapshot</x:t>
        </x:is>
      </x:c>
    </x:row>
    <x:row r="6">
      <x:c r="B6" s="29" t="inlineStr">
        <x:is>
          <x:t xml:space="preserve">Organization</x:t>
        </x:is>
      </x:c>
      <x:c r="C6" s="18" t="inlineStr">
        <x:is>
          <x:t xml:space="preserve">PHS (Phoenix Health System) — healthcare provider</x:t>
        </x:is>
      </x:c>
      <x:c r="D6" s="64" t="n"/>
      <x:c r="E6" s="64" t="n"/>
      <x:c r="F6" s="35" t="n"/>
    </x:row>
    <x:row r="7">
      <x:c r="B7" s="29" t="inlineStr">
        <x:is>
          <x:t xml:space="preserve">Primary buyer</x:t>
        </x:is>
      </x:c>
      <x:c r="C7" s="18" t="inlineStr">
        <x:is>
          <x:t xml:space="preserve">CDAO</x:t>
        </x:is>
      </x:c>
      <x:c r="D7" s="64" t="n"/>
      <x:c r="E7" s="64" t="n"/>
      <x:c r="F7" s="35" t="n"/>
    </x:row>
    <x:row r="8">
      <x:c r="B8" s="29" t="inlineStr">
        <x:is>
          <x:t xml:space="preserve">Secondary buyer</x:t>
        </x:is>
      </x:c>
      <x:c r="C8" s="18" t="inlineStr">
        <x:is>
          <x:t xml:space="preserve">IT sourcing leader (peer, owns AMS outsourcing wave)</x:t>
        </x:is>
      </x:c>
      <x:c r="D8" s="64" t="n"/>
      <x:c r="E8" s="64" t="n"/>
      <x:c r="F8" s="35" t="n"/>
    </x:row>
    <x:row r="9">
      <x:c r="B9" s="29" t="inlineStr">
        <x:is>
          <x:t xml:space="preserve">Stage of AI maturity</x:t>
        </x:is>
      </x:c>
      <x:c r="C9" s="18" t="inlineStr">
        <x:is>
          <x:t xml:space="preserve">ZERO — no strategy, no plan, no use cases, no roadmap</x:t>
        </x:is>
      </x:c>
      <x:c r="D9" s="64" t="n"/>
      <x:c r="E9" s="64" t="n"/>
      <x:c r="F9" s="35" t="n"/>
    </x:row>
    <x:row r="10">
      <x:c r="B10" s="29" t="inlineStr">
        <x:is>
          <x:t xml:space="preserve">Modernization context</x:t>
        </x:is>
      </x:c>
      <x:c r="C10" s="18" t="inlineStr">
        <x:is>
          <x:t xml:space="preserve">Just outsourced AMS for legacy analytics; Azure + Databricks platform planned</x:t>
        </x:is>
      </x:c>
      <x:c r="D10" s="64" t="n"/>
      <x:c r="E10" s="64" t="n"/>
      <x:c r="F10" s="35" t="n"/>
    </x:row>
    <x:row r="11">
      <x:c r="B11" s="29" t="inlineStr">
        <x:is>
          <x:t xml:space="preserve">Budget posture</x:t>
        </x:is>
      </x:c>
      <x:c r="C11" s="18" t="inlineStr">
        <x:is>
          <x:t xml:space="preserve">Modernization budget already approved and flowing</x:t>
        </x:is>
      </x:c>
      <x:c r="D11" s="64" t="n"/>
      <x:c r="E11" s="64" t="n"/>
      <x:c r="F11" s="35" t="n"/>
    </x:row>
    <x:row r="12">
      <x:c r="B12" s="29" t="inlineStr">
        <x:is>
          <x:t xml:space="preserve">Org pressure</x:t>
        </x:is>
      </x:c>
      <x:c r="C12" s="18" t="inlineStr">
        <x:is>
          <x:t xml:space="preserve">Board asking 'what is our AI strategy?' — CDAO needs an answer fast</x:t>
        </x:is>
      </x:c>
      <x:c r="D12" s="64" t="n"/>
      <x:c r="E12" s="64" t="n"/>
      <x:c r="F12" s="35" t="n"/>
    </x:row>
    <x:row r="14">
      <x:c r="B14" s="5" t="inlineStr">
        <x:is>
          <x:t xml:space="preserve">2. The Reframe — 'No Plan Exists' is the OPPORTUNITY</x:t>
        </x:is>
      </x:c>
    </x:row>
    <x:row r="15">
      <x:c r="B15" s="29" t="inlineStr">
        <x:is>
          <x:t xml:space="preserve">Common reaction</x:t>
        </x:is>
      </x:c>
      <x:c r="C15" s="18" t="inlineStr">
        <x:is>
          <x:t xml:space="preserve">'Long sales cycle, need to educate, no use cases means no urgency.' WRONG.</x:t>
        </x:is>
      </x:c>
      <x:c r="D15" s="64" t="n"/>
      <x:c r="E15" s="64" t="n"/>
      <x:c r="F15" s="35" t="n"/>
    </x:row>
    <x:row r="16">
      <x:c r="B16" s="29" t="inlineStr">
        <x:is>
          <x:t xml:space="preserve">Correct reading</x:t>
        </x:is>
      </x:c>
      <x:c r="C16" s="18" t="inlineStr">
        <x:is>
          <x:t xml:space="preserve">Greenfield + budget flowing + board pressure = IDEAL fit. They need a fast credible AI path.</x:t>
        </x:is>
      </x:c>
      <x:c r="D16" s="64" t="n"/>
      <x:c r="E16" s="64" t="n"/>
      <x:c r="F16" s="35" t="n"/>
    </x:row>
    <x:row r="17">
      <x:c r="B17" s="29" t="inlineStr">
        <x:is>
          <x:t xml:space="preserve">AbarVa's role</x:t>
        </x:is>
      </x:c>
      <x:c r="C17" s="18" t="inlineStr">
        <x:is>
          <x:t xml:space="preserve">Not a tool — the OPERATING SYSTEM for their AI strategy. We bring the use case catalog (24 waves of industry genome), the execution framework, the roadmap.</x:t>
        </x:is>
      </x:c>
      <x:c r="D17" s="64" t="n"/>
      <x:c r="E17" s="64" t="n"/>
      <x:c r="F17" s="35" t="n"/>
    </x:row>
    <x:row r="18">
      <x:c r="B18" s="29" t="inlineStr">
        <x:is>
          <x:t xml:space="preserve">By month 3</x:t>
        </x:is>
      </x:c>
      <x:c r="C18" s="18" t="inlineStr">
        <x:is>
          <x:t xml:space="preserve">CDAO walks into board with: documented AI strategy + 12-month roadmap + 3 Moves in flight + identified value pipeline.</x:t>
        </x:is>
      </x:c>
      <x:c r="D18" s="64" t="n"/>
      <x:c r="E18" s="64" t="n"/>
      <x:c r="F18" s="35" t="n"/>
    </x:row>
    <x:row r="19">
      <x:c r="B19" s="29" t="inlineStr">
        <x:is>
          <x:t xml:space="preserve">Azure+Databricks fit</x:t>
        </x:is>
      </x:c>
      <x:c r="C19" s="18" t="inlineStr">
        <x:is>
          <x:t xml:space="preserve">Their platform investment is your enabler. AbarVa is the workflow layer that turns the platform into delivered programs. Don't compete for budget — be the layer that makes their other investment deliver.</x:t>
        </x:is>
      </x:c>
      <x:c r="D19" s="64" t="n"/>
      <x:c r="E19" s="64" t="n"/>
      <x:c r="F19" s="35" t="n"/>
    </x:row>
    <x:row r="21">
      <x:c r="B21" s="5" t="inlineStr">
        <x:is>
          <x:t xml:space="preserve">3. The Pitch (sequenced)</x:t>
        </x:is>
      </x:c>
    </x:row>
    <x:row r="22">
      <x:c r="B22" s="8" t="inlineStr">
        <x:is>
          <x:t xml:space="preserve">Step</x:t>
        </x:is>
      </x:c>
      <x:c r="C22" s="8" t="inlineStr">
        <x:is>
          <x:t xml:space="preserve">What you say</x:t>
        </x:is>
      </x:c>
      <x:c r="D22" s="8" t="inlineStr">
        <x:is>
          <x:t xml:space="preserve">Why</x:t>
        </x:is>
      </x:c>
    </x:row>
    <x:row r="23">
      <x:c r="B23" s="18" t="inlineStr">
        <x:is>
          <x:t xml:space="preserve">Open</x:t>
        </x:is>
      </x:c>
      <x:c r="C23" s="18" t="inlineStr">
        <x:is>
          <x:t xml:space="preserve">'Your Azure+Databricks platform will be amazing. The question is what programs run on it. Most systems take 12-18 months to land their first 3 AI programs because they build strategy from scratch. We have a faster path.'</x:t>
        </x:is>
      </x:c>
      <x:c r="D23" s="18" t="inlineStr">
        <x:is>
          <x:t xml:space="preserve">Reframes product → outcome</x:t>
        </x:is>
      </x:c>
    </x:row>
    <x:row r="24">
      <x:c r="B24" s="18" t="inlineStr">
        <x:is>
          <x:t xml:space="preserve">Anchor</x:t>
        </x:is>
      </x:c>
      <x:c r="C24" s="18" t="inlineStr">
        <x:is>
          <x:t xml:space="preserve">'AbarVa is the operating system for AI program execution. We bring the use case catalog from 24 waves of healthcare patterns, an execution framework (Moves), sourcing intelligence (Source), executive visibility (Tower).'</x:t>
        </x:is>
      </x:c>
      <x:c r="D24" s="18" t="inlineStr">
        <x:is>
          <x:t xml:space="preserve">Strategy-and-platform-in-one</x:t>
        </x:is>
      </x:c>
    </x:row>
    <x:row r="25">
      <x:c r="B25" s="18" t="inlineStr">
        <x:is>
          <x:t xml:space="preserve">Differentiate</x:t>
        </x:is>
      </x:c>
      <x:c r="C25" s="18" t="inlineStr">
        <x:is>
          <x:t xml:space="preserve">'Not a consulting engagement that produces a deck. Not a tool waiting for you to figure out what to do. We're the layer that turns your Azure+Databricks investment into 3 executed programs in 90 days.'</x:t>
        </x:is>
      </x:c>
      <x:c r="D25" s="18" t="inlineStr">
        <x:is>
          <x:t xml:space="preserve">Kills consulting + tool frames</x:t>
        </x:is>
      </x:c>
    </x:row>
    <x:row r="26">
      <x:c r="B26" s="18" t="inlineStr">
        <x:is>
          <x:t xml:space="preserve">Close</x:t>
        </x:is>
      </x:c>
      <x:c r="C26" s="18" t="inlineStr">
        <x:is>
          <x:t xml:space="preserve">'90-day pilot, $300k, fixed scope, auto-converts on documented success criteria. &lt;1.5% of your annual function budget. Board gets proof, not promises.'</x:t>
        </x:is>
      </x:c>
      <x:c r="D26" s="18" t="inlineStr">
        <x:is>
          <x:t xml:space="preserve">Risk-bounded + outcome-anchored</x:t>
        </x:is>
      </x:c>
    </x:row>
    <x:row r="28">
      <x:c r="B28" s="5" t="inlineStr">
        <x:is>
          <x:t xml:space="preserve">4. PHS-Specific Value Levers</x:t>
        </x:is>
      </x:c>
    </x:row>
    <x:row r="29">
      <x:c r="B29" s="8" t="inlineStr">
        <x:is>
          <x:t xml:space="preserve">Lever</x:t>
        </x:is>
      </x:c>
      <x:c r="C29" s="8" t="inlineStr">
        <x:is>
          <x:t xml:space="preserve">Order-of-magnitude (PHS-scale)</x:t>
        </x:is>
      </x:c>
      <x:c r="D29" s="8" t="inlineStr">
        <x:is>
          <x:t xml:space="preserve">AbarVa enables how</x:t>
        </x:is>
      </x:c>
    </x:row>
    <x:row r="30">
      <x:c r="B30" s="18" t="inlineStr">
        <x:is>
          <x:t xml:space="preserve">Denials reduction</x:t>
        </x:is>
      </x:c>
      <x:c r="C30" s="18" t="inlineStr">
        <x:is>
          <x:t xml:space="preserve">1% on ~$4B revenue = $40M annually</x:t>
        </x:is>
      </x:c>
      <x:c r="D30" s="18" t="inlineStr">
        <x:is>
          <x:t xml:space="preserve">Pattern discovery on denial drivers; Move execution on appeals workflow</x:t>
        </x:is>
      </x:c>
    </x:row>
    <x:row r="31">
      <x:c r="B31" s="18" t="inlineStr">
        <x:is>
          <x:t xml:space="preserve">Length of stay</x:t>
        </x:is>
      </x:c>
      <x:c r="C31" s="18" t="inlineStr">
        <x:is>
          <x:t xml:space="preserve">0.1 day on ~50k discharges = ~$5-8M</x:t>
        </x:is>
      </x:c>
      <x:c r="D31" s="18" t="inlineStr">
        <x:is>
          <x:t xml:space="preserve">Pattern detection on LOS drivers by service line; Moves on discharge planning</x:t>
        </x:is>
      </x:c>
    </x:row>
    <x:row r="32">
      <x:c r="B32" s="18" t="inlineStr">
        <x:is>
          <x:t xml:space="preserve">Supply chain consolidation</x:t>
        </x:is>
      </x:c>
      <x:c r="C32" s="18" t="inlineStr">
        <x:is>
          <x:t xml:space="preserve">5% on supply spend (~$200M) = $10M</x:t>
        </x:is>
      </x:c>
      <x:c r="D32" s="18" t="inlineStr">
        <x:is>
          <x:t xml:space="preserve">Source module direct value; vendor pattern intelligence</x:t>
        </x:is>
      </x:c>
    </x:row>
    <x:row r="33">
      <x:c r="B33" s="18" t="inlineStr">
        <x:is>
          <x:t xml:space="preserve">Workforce / agency labor</x:t>
        </x:is>
      </x:c>
      <x:c r="C33" s="18" t="inlineStr">
        <x:is>
          <x:t xml:space="preserve">2% of agency spend (~$50M) = $1M</x:t>
        </x:is>
      </x:c>
      <x:c r="D33" s="18" t="inlineStr">
        <x:is>
          <x:t xml:space="preserve">Workforce pattern discovery + scheduling Moves</x:t>
        </x:is>
      </x:c>
    </x:row>
    <x:row r="34">
      <x:c r="B34" s="18" t="inlineStr">
        <x:is>
          <x:t xml:space="preserve">Prior auth turnaround</x:t>
        </x:is>
      </x:c>
      <x:c r="C34" s="18" t="inlineStr">
        <x:is>
          <x:t xml:space="preserve">2-day reduction + volume optimization</x:t>
        </x:is>
      </x:c>
      <x:c r="D34" s="18" t="inlineStr">
        <x:is>
          <x:t xml:space="preserve">Intelligence + agent draft + human approval</x:t>
        </x:is>
      </x:c>
    </x:row>
    <x:row r="35">
      <x:c r="B35" s="18" t="inlineStr">
        <x:is>
          <x:t xml:space="preserve">Care coordination</x:t>
        </x:is>
      </x:c>
      <x:c r="C35" s="18" t="inlineStr">
        <x:is>
          <x:t xml:space="preserve">Quality outcome + readmission cost reduction</x:t>
        </x:is>
      </x:c>
      <x:c r="D35" s="18" t="inlineStr">
        <x:is>
          <x:t xml:space="preserve">Pattern → Move on handoff failure modes</x:t>
        </x:is>
      </x:c>
    </x:row>
    <x:row r="37">
      <x:c r="B37" s="5" t="inlineStr">
        <x:is>
          <x:t xml:space="preserve">5. The IT Sourcing Wedge (secondary buyer)</x:t>
        </x:is>
      </x:c>
    </x:row>
    <x:row r="38">
      <x:c r="B38" s="29" t="inlineStr">
        <x:is>
          <x:t xml:space="preserve">Their colleague's pain</x:t>
        </x:is>
      </x:c>
      <x:c r="C38" s="18" t="inlineStr">
        <x:is>
          <x:t xml:space="preserve">Outsourcing wave in progress — needs vendor intelligence, contract analysis, sourcing decision support</x:t>
        </x:is>
      </x:c>
      <x:c r="D38" s="64" t="n"/>
      <x:c r="E38" s="64" t="n"/>
      <x:c r="F38" s="35" t="n"/>
    </x:row>
    <x:row r="39">
      <x:c r="B39" s="29" t="inlineStr">
        <x:is>
          <x:t xml:space="preserve">AbarVa Source module value</x:t>
        </x:is>
      </x:c>
      <x:c r="C39" s="18" t="inlineStr">
        <x:is>
          <x:t xml:space="preserve">Vendor-pattern analysis, RFP support, contract performance tracking — directly addresses what colleague needs TODAY</x:t>
        </x:is>
      </x:c>
      <x:c r="D39" s="64" t="n"/>
      <x:c r="E39" s="64" t="n"/>
      <x:c r="F39" s="35" t="n"/>
    </x:row>
    <x:row r="40">
      <x:c r="B40" s="29" t="inlineStr">
        <x:is>
          <x:t xml:space="preserve">Play</x:t>
        </x:is>
      </x:c>
      <x:c r="C40" s="18" t="inlineStr">
        <x:is>
          <x:t xml:space="preserve">Bundle Source as pilot add-on ($35-50k/mo separate line). Both buyers share CFO. Combined budget easier than separate buys.</x:t>
        </x:is>
      </x:c>
      <x:c r="D40" s="64" t="n"/>
      <x:c r="E40" s="64" t="n"/>
      <x:c r="F40" s="35" t="n"/>
    </x:row>
    <x:row r="41">
      <x:c r="B41" s="29" t="inlineStr">
        <x:is>
          <x:t xml:space="preserve">Narrative</x:t>
        </x:is>
      </x:c>
      <x:c r="C41" s="18" t="inlineStr">
        <x:is>
          <x:t xml:space="preserve">'AbarVa core lands your AI strategy. AbarVa Source addresses your IT sourcing wave. One platform, two leaders, one CFO conversation.'</x:t>
        </x:is>
      </x:c>
      <x:c r="D41" s="64" t="n"/>
      <x:c r="E41" s="64" t="n"/>
      <x:c r="F41" s="35" t="n"/>
    </x:row>
    <x:row r="43">
      <x:c r="B43" s="5" t="inlineStr">
        <x:is>
          <x:t xml:space="preserve">6. Pilot Success Criteria (PHS-specific)</x:t>
        </x:is>
      </x:c>
    </x:row>
    <x:row r="44">
      <x:c r="B44" s="8" t="inlineStr">
        <x:is>
          <x:t xml:space="preserve">Criterion</x:t>
        </x:is>
      </x:c>
      <x:c r="C44" s="8" t="inlineStr">
        <x:is>
          <x:t xml:space="preserve">Target</x:t>
        </x:is>
      </x:c>
      <x:c r="D44" s="8" t="inlineStr">
        <x:is>
          <x:t xml:space="preserve">Why</x:t>
        </x:is>
      </x:c>
    </x:row>
    <x:row r="45">
      <x:c r="B45" s="18" t="inlineStr">
        <x:is>
          <x:t xml:space="preserve">Moves at execution stage</x:t>
        </x:is>
      </x:c>
      <x:c r="C45" s="18" t="inlineStr">
        <x:is>
          <x:t xml:space="preserve">3 Moves at execution by day 60</x:t>
        </x:is>
      </x:c>
      <x:c r="D45" s="18" t="inlineStr">
        <x:is>
          <x:t xml:space="preserve">End-to-end demonstration</x:t>
        </x:is>
      </x:c>
    </x:row>
    <x:row r="46">
      <x:c r="B46" s="18" t="inlineStr">
        <x:is>
          <x:t xml:space="preserve">Identified value pipeline</x:t>
        </x:is>
      </x:c>
      <x:c r="C46" s="18" t="inlineStr">
        <x:is>
          <x:t xml:space="preserve">$10M+ across 2-3 healthcare levers</x:t>
        </x:is>
      </x:c>
      <x:c r="D46" s="18" t="inlineStr">
        <x:is>
          <x:t xml:space="preserve">Justifies year-1 to CFO</x:t>
        </x:is>
      </x:c>
    </x:row>
    <x:row r="47">
      <x:c r="B47" s="18" t="inlineStr">
        <x:is>
          <x:t xml:space="preserve">AI strategy artifact</x:t>
        </x:is>
      </x:c>
      <x:c r="C47" s="18" t="inlineStr">
        <x:is>
          <x:t xml:space="preserve">1 documented AI strategy + 12-month roadmap (board-ready)</x:t>
        </x:is>
      </x:c>
      <x:c r="D47" s="18" t="inlineStr">
        <x:is>
          <x:t xml:space="preserve">Solves CDAO's #1 problem</x:t>
        </x:is>
      </x:c>
    </x:row>
    <x:row r="48">
      <x:c r="B48" s="18" t="inlineStr">
        <x:is>
          <x:t xml:space="preserve">Active named users</x:t>
        </x:is>
      </x:c>
      <x:c r="C48" s="18" t="inlineStr">
        <x:is>
          <x:t xml:space="preserve">8 of 10 weekly active</x:t>
        </x:is>
      </x:c>
      <x:c r="D48" s="18" t="inlineStr">
        <x:is>
          <x:t xml:space="preserve">Adoption proof</x:t>
        </x:is>
      </x:c>
    </x:row>
    <x:row r="49">
      <x:c r="B49" s="18" t="inlineStr">
        <x:is>
          <x:t xml:space="preserve">Source pilot deliverable</x:t>
        </x:is>
      </x:c>
      <x:c r="C49" s="18" t="inlineStr">
        <x:is>
          <x:t xml:space="preserve">1 sourcing decision supported via AbarVa Source</x:t>
        </x:is>
      </x:c>
      <x:c r="D49" s="18" t="inlineStr">
        <x:is>
          <x:t xml:space="preserve">Validates wedge for sourcing colleague</x:t>
        </x:is>
      </x:c>
    </x:row>
    <x:row r="50">
      <x:c r="B50" s="18" t="inlineStr">
        <x:is>
          <x:t xml:space="preserve">Decision audit completeness</x:t>
        </x:is>
      </x:c>
      <x:c r="C50" s="18" t="inlineStr">
        <x:is>
          <x:t xml:space="preserve">100% consequential actions evidenced</x:t>
        </x:is>
      </x:c>
      <x:c r="D50" s="18" t="inlineStr">
        <x:is>
          <x:t xml:space="preserve">AI Liability + audit</x:t>
        </x:is>
      </x:c>
    </x:row>
    <x:row r="51">
      <x:c r="B51" s="18" t="inlineStr">
        <x:is>
          <x:t xml:space="preserve">Board pack</x:t>
        </x:is>
      </x:c>
      <x:c r="C51" s="18" t="inlineStr">
        <x:is>
          <x:t xml:space="preserve">Q1 board presentation supported by AbarVa-generated artifacts</x:t>
        </x:is>
      </x:c>
      <x:c r="D51" s="18" t="inlineStr">
        <x:is>
          <x:t xml:space="preserve">Career win for CDAO</x:t>
        </x:is>
      </x:c>
    </x:row>
    <x:row r="52">
      <x:c r="B52" s="18" t="inlineStr">
        <x:is>
          <x:t xml:space="preserve">NPS from pilot users</x:t>
        </x:is>
      </x:c>
      <x:c r="C52" s="18" t="inlineStr">
        <x:is>
          <x:t xml:space="preserve">≥ 40</x:t>
        </x:is>
      </x:c>
      <x:c r="D52" s="18" t="inlineStr">
        <x:is>
          <x:t xml:space="preserve">Renewal predictor</x:t>
        </x:is>
      </x:c>
    </x:row>
  </x:sheetData>
  <x:mergeCells>
    <x:mergeCell ref="C17:F17"/>
    <x:mergeCell ref="C39:F39"/>
    <x:mergeCell ref="C8:F8"/>
    <x:mergeCell ref="C7:F7"/>
    <x:mergeCell ref="C38:F38"/>
    <x:mergeCell ref="C19:F19"/>
    <x:mergeCell ref="B21:F21"/>
    <x:mergeCell ref="C18:F18"/>
    <x:mergeCell ref="B43:F43"/>
    <x:mergeCell ref="C6:F6"/>
    <x:mergeCell ref="C15:F15"/>
    <x:mergeCell ref="B14:F14"/>
    <x:mergeCell ref="B28:F28"/>
    <x:mergeCell ref="B37:F37"/>
    <x:mergeCell ref="C16:F16"/>
    <x:mergeCell ref="C41:F41"/>
    <x:mergeCell ref="C10:F10"/>
    <x:mergeCell ref="C40:F40"/>
    <x:mergeCell ref="C9:F9"/>
    <x:mergeCell ref="C12:F12"/>
    <x:mergeCell ref="B5:F5"/>
    <x:mergeCell ref="C11:F11"/>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baseColWidth="8" defaultRowHeight="15"/>
  <x:cols>
    <x:col min="1" max="1" width="2" customWidth="1"/>
    <x:col min="2" max="2" width="38" customWidth="1"/>
    <x:col min="3" max="3" width="75" customWidth="1"/>
    <x:col min="4" max="4" width="30" customWidth="1"/>
    <x:col min="5" max="5" width="20" customWidth="1"/>
    <x:col min="6" max="6" width="20" customWidth="1"/>
  </x:cols>
  <x:sheetData>
    <x:row r="2">
      <x:c r="B2" s="1" t="inlineStr">
        <x:is>
          <x:t xml:space="preserve">Business Case — Surekha @ Morgan Street Holdings (NEW LEADER PLAY)</x:t>
        </x:is>
      </x:c>
    </x:row>
    <x:row r="3">
      <x:c r="B3" s="2" t="inlineStr">
        <x:is>
          <x:t xml:space="preserve">VP/CXO walking into a new place — IT delivery + data + innovation. STRONGEST archetype for AbarVa: blank slate, mandate to set direction, first-100-days pressure.</x:t>
        </x:is>
      </x:c>
    </x:row>
    <x:row r="5">
      <x:c r="B5" s="5" t="inlineStr">
        <x:is>
          <x:t xml:space="preserve">1. Why this is the STRONGEST archetype for AbarVa</x:t>
        </x:is>
      </x:c>
    </x:row>
    <x:row r="6">
      <x:c r="B6" s="29" t="inlineStr">
        <x:is>
          <x:t xml:space="preserve">Blank slate</x:t>
        </x:is>
      </x:c>
      <x:c r="C6" s="18" t="inlineStr">
        <x:is>
          <x:t xml:space="preserve">No incumbent vendors to displace. No political baggage from prior decisions.</x:t>
        </x:is>
      </x:c>
      <x:c r="D6" s="64" t="n"/>
      <x:c r="E6" s="64" t="n"/>
      <x:c r="F6" s="35" t="n"/>
    </x:row>
    <x:row r="7">
      <x:c r="B7" s="29" t="inlineStr">
        <x:is>
          <x:t xml:space="preserve">First-100-days mandate</x:t>
        </x:is>
      </x:c>
      <x:c r="C7" s="18" t="inlineStr">
        <x:is>
          <x:t xml:space="preserve">She NEEDS to show direction fast. Time-pressure is your friend.</x:t>
        </x:is>
      </x:c>
      <x:c r="D7" s="64" t="n"/>
      <x:c r="E7" s="64" t="n"/>
      <x:c r="F7" s="35" t="n"/>
    </x:row>
    <x:row r="8">
      <x:c r="B8" s="29" t="inlineStr">
        <x:is>
          <x:t xml:space="preserve">Built-in budget</x:t>
        </x:is>
      </x:c>
      <x:c r="C8" s="18" t="inlineStr">
        <x:is>
          <x:t xml:space="preserve">Every new CXO gets a 'set up your function' budget allocation. Spending is expected.</x:t>
        </x:is>
      </x:c>
      <x:c r="D8" s="64" t="n"/>
      <x:c r="E8" s="64" t="n"/>
      <x:c r="F8" s="35" t="n"/>
    </x:row>
    <x:row r="9">
      <x:c r="B9" s="29" t="inlineStr">
        <x:is>
          <x:t xml:space="preserve">Lower procurement scrutiny</x:t>
        </x:is>
      </x:c>
      <x:c r="C9" s="18" t="inlineStr">
        <x:is>
          <x:t xml:space="preserve">Early decisions framed as 'establishing operating model,' not RFP fatigue.</x:t>
        </x:is>
      </x:c>
      <x:c r="D9" s="64" t="n"/>
      <x:c r="E9" s="64" t="n"/>
      <x:c r="F9" s="35" t="n"/>
    </x:row>
    <x:row r="10">
      <x:c r="B10" s="29" t="inlineStr">
        <x:is>
          <x:t xml:space="preserve">She IS the decision authority</x:t>
        </x:is>
      </x:c>
      <x:c r="C10" s="18" t="inlineStr">
        <x:is>
          <x:t xml:space="preserve">On her function's tooling. Fast decision cycle.</x:t>
        </x:is>
      </x:c>
      <x:c r="D10" s="64" t="n"/>
      <x:c r="E10" s="64" t="n"/>
      <x:c r="F10" s="35" t="n"/>
    </x:row>
    <x:row r="11">
      <x:c r="B11" s="29" t="inlineStr">
        <x:is>
          <x:t xml:space="preserve">Maximum political incentive</x:t>
        </x:is>
      </x:c>
      <x:c r="C11" s="18" t="inlineStr">
        <x:is>
          <x:t xml:space="preserve">Her wins now define her tenure. She's optimizing for visible early outcomes.</x:t>
        </x:is>
      </x:c>
      <x:c r="D11" s="64" t="n"/>
      <x:c r="E11" s="64" t="n"/>
      <x:c r="F11" s="35" t="n"/>
    </x:row>
    <x:row r="12">
      <x:c r="B12" s="29" t="inlineStr">
        <x:is>
          <x:t xml:space="preserve">Compares against transformation budget</x:t>
        </x:is>
      </x:c>
      <x:c r="C12" s="18" t="inlineStr">
        <x:is>
          <x:t xml:space="preserve">$5-20M total function spend, not a software line item. Price sensitivity is different.</x:t>
        </x:is>
      </x:c>
      <x:c r="D12" s="64" t="n"/>
      <x:c r="E12" s="64" t="n"/>
      <x:c r="F12" s="35" t="n"/>
    </x:row>
    <x:row r="14">
      <x:c r="B14" s="5" t="inlineStr">
        <x:is>
          <x:t xml:space="preserve">2. The Pitch — 'How to be a successful new leader' (not a tool pitch)</x:t>
        </x:is>
      </x:c>
    </x:row>
    <x:row r="15">
      <x:c r="B15" s="29" t="inlineStr">
        <x:is>
          <x:t xml:space="preserve">Frame</x:t>
        </x:is>
      </x:c>
      <x:c r="C15" s="18" t="inlineStr">
        <x:is>
          <x:t xml:space="preserve">First 100 days. Foundation. Walking in with a plan.</x:t>
        </x:is>
      </x:c>
      <x:c r="D15" s="64" t="n"/>
      <x:c r="E15" s="64" t="n"/>
      <x:c r="F15" s="35" t="n"/>
    </x:row>
    <x:row r="16">
      <x:c r="B16" s="29" t="inlineStr">
        <x:is>
          <x:t xml:space="preserve">Opening</x:t>
        </x:is>
      </x:c>
      <x:c r="C16" s="18" t="inlineStr">
        <x:is>
          <x:t xml:space="preserve">'You have three pressures: define an AI strategy your CEO/board can rally behind, show early wins that justify your hire, set up an operating model that scales.'</x:t>
        </x:is>
      </x:c>
      <x:c r="D16" s="64" t="n"/>
      <x:c r="E16" s="64" t="n"/>
      <x:c r="F16" s="35" t="n"/>
    </x:row>
    <x:row r="17">
      <x:c r="B17" s="29" t="inlineStr">
        <x:is>
          <x:t xml:space="preserve">Reframe</x:t>
        </x:is>
      </x:c>
      <x:c r="C17" s="18" t="inlineStr">
        <x:is>
          <x:t xml:space="preserve">'Most leaders in your shoes spend 6 months on strategy + workshops + roadmap building. AbarVa lets you skip that.'</x:t>
        </x:is>
      </x:c>
      <x:c r="D17" s="64" t="n"/>
      <x:c r="E17" s="64" t="n"/>
      <x:c r="F17" s="35" t="n"/>
    </x:row>
    <x:row r="18">
      <x:c r="B18" s="29" t="inlineStr">
        <x:is>
          <x:t xml:space="preserve">Anchor</x:t>
        </x:is>
      </x:c>
      <x:c r="C18" s="18" t="inlineStr">
        <x:is>
          <x:t xml:space="preserve">'In 90 days you walk into your CEO with: a documented AI strategy, a prioritized 12-month roadmap pulled from 24 industry waves, 3 Moves in flight with measured outcomes, and an audit-grade decision trail. Your first quarterly board update writes itself.'</x:t>
        </x:is>
      </x:c>
      <x:c r="D18" s="64" t="n"/>
      <x:c r="E18" s="64" t="n"/>
      <x:c r="F18" s="35" t="n"/>
    </x:row>
    <x:row r="19">
      <x:c r="B19" s="29" t="inlineStr">
        <x:is>
          <x:t xml:space="preserve">Close</x:t>
        </x:is>
      </x:c>
      <x:c r="C19" s="18" t="inlineStr">
        <x:is>
          <x:t xml:space="preserve">'$300k pilot is less than the salary of 2-3 staff you'd hire to build this framework manually. Year-1 is your operating model — not a project budget line.'</x:t>
        </x:is>
      </x:c>
      <x:c r="D19" s="64" t="n"/>
      <x:c r="E19" s="64" t="n"/>
      <x:c r="F19" s="35" t="n"/>
    </x:row>
    <x:row r="21">
      <x:c r="B21" s="5" t="inlineStr">
        <x:is>
          <x:t xml:space="preserve">3. Why she pays $300k + $950k (different math than CDAO buyers)</x:t>
        </x:is>
      </x:c>
    </x:row>
    <x:row r="22">
      <x:c r="B22" s="8" t="inlineStr">
        <x:is>
          <x:t xml:space="preserve">Concept</x:t>
        </x:is>
      </x:c>
      <x:c r="C22" s="8" t="inlineStr">
        <x:is>
          <x:t xml:space="preserve">Reframe for new leader</x:t>
        </x:is>
      </x:c>
    </x:row>
    <x:row r="23">
      <x:c r="B23" s="18" t="inlineStr">
        <x:is>
          <x:t xml:space="preserve">Pilot fee = $300k</x:t>
        </x:is>
      </x:c>
      <x:c r="C23" s="18" t="inlineStr">
        <x:is>
          <x:t xml:space="preserve">Insurance against first-year underperformance. Career investment, not budget line.</x:t>
        </x:is>
      </x:c>
    </x:row>
    <x:row r="24">
      <x:c r="B24" s="18" t="inlineStr">
        <x:is>
          <x:t xml:space="preserve">Year-1 ACV = $950k</x:t>
        </x:is>
      </x:c>
      <x:c r="C24" s="18" t="inlineStr">
        <x:is>
          <x:t xml:space="preserve">The operating model for her function. NOT a project. NOT a software purchase.</x:t>
        </x:is>
      </x:c>
    </x:row>
    <x:row r="25">
      <x:c r="B25" s="18" t="inlineStr">
        <x:is>
          <x:t xml:space="preserve">$1.25M over 15mo</x:t>
        </x:is>
      </x:c>
      <x:c r="C25" s="18" t="inlineStr">
        <x:is>
          <x:t xml:space="preserve">Less than salary of 2-3 senior hires she'd otherwise need to build this manually.</x:t>
        </x:is>
      </x:c>
    </x:row>
    <x:row r="26">
      <x:c r="B26" s="18" t="inlineStr">
        <x:is>
          <x:t xml:space="preserve">Comparison baseline</x:t>
        </x:is>
      </x:c>
      <x:c r="C26" s="18" t="inlineStr">
        <x:is>
          <x:t xml:space="preserve">Her TOTAL function transformation budget ($5-20M typical). $1.25M = 6-25% of that.</x:t>
        </x:is>
      </x:c>
    </x:row>
    <x:row r="27">
      <x:c r="B27" s="18" t="inlineStr">
        <x:is>
          <x:t xml:space="preserve">Risk frame</x:t>
        </x:is>
      </x:c>
      <x:c r="C27" s="18" t="inlineStr">
        <x:is>
          <x:t xml:space="preserve">Highest career risk = under-delivering year 1. AbarVa is risk mitigation, not risk addition.</x:t>
        </x:is>
      </x:c>
    </x:row>
    <x:row r="29">
      <x:c r="B29" s="5" t="inlineStr">
        <x:is>
          <x:t xml:space="preserve">4. Surekha-specific Success Criteria (tied to HER win)</x:t>
        </x:is>
      </x:c>
    </x:row>
    <x:row r="30">
      <x:c r="B30" s="8" t="inlineStr">
        <x:is>
          <x:t xml:space="preserve">Criterion</x:t>
        </x:is>
      </x:c>
      <x:c r="C30" s="8" t="inlineStr">
        <x:is>
          <x:t xml:space="preserve">Target</x:t>
        </x:is>
      </x:c>
      <x:c r="D30" s="8" t="inlineStr">
        <x:is>
          <x:t xml:space="preserve">Why</x:t>
        </x:is>
      </x:c>
    </x:row>
    <x:row r="31">
      <x:c r="B31" s="18" t="inlineStr">
        <x:is>
          <x:t xml:space="preserve">100-day plan documented</x:t>
        </x:is>
      </x:c>
      <x:c r="C31" s="18" t="inlineStr">
        <x:is>
          <x:t xml:space="preserve">Day 30</x:t>
        </x:is>
      </x:c>
      <x:c r="D31" s="18" t="inlineStr">
        <x:is>
          <x:t xml:space="preserve">Proves she's moving fast; AbarVa enabled it</x:t>
        </x:is>
      </x:c>
    </x:row>
    <x:row r="32">
      <x:c r="B32" s="18" t="inlineStr">
        <x:is>
          <x:t xml:space="preserve">3 Moves at execution stage</x:t>
        </x:is>
      </x:c>
      <x:c r="C32" s="18" t="inlineStr">
        <x:is>
          <x:t xml:space="preserve">Day 60</x:t>
        </x:is>
      </x:c>
      <x:c r="D32" s="18" t="inlineStr">
        <x:is>
          <x:t xml:space="preserve">Visible early wins for her CEO</x:t>
        </x:is>
      </x:c>
    </x:row>
    <x:row r="33">
      <x:c r="B33" s="18" t="inlineStr">
        <x:is>
          <x:t xml:space="preserve">AI strategy artifact + roadmap</x:t>
        </x:is>
      </x:c>
      <x:c r="C33" s="18" t="inlineStr">
        <x:is>
          <x:t xml:space="preserve">Day 90 — board-ready</x:t>
        </x:is>
      </x:c>
      <x:c r="D33" s="18" t="inlineStr">
        <x:is>
          <x:t xml:space="preserve">Her first quarterly board update</x:t>
        </x:is>
      </x:c>
    </x:row>
    <x:row r="34">
      <x:c r="B34" s="18" t="inlineStr">
        <x:is>
          <x:t xml:space="preserve">Identified value pipeline</x:t>
        </x:is>
      </x:c>
      <x:c r="C34" s="18" t="inlineStr">
        <x:is>
          <x:t xml:space="preserve">$5-10M (or equiv: efficiency, capability, time-to-market)</x:t>
        </x:is>
      </x:c>
      <x:c r="D34" s="18" t="inlineStr">
        <x:is>
          <x:t xml:space="preserve">Justifies year-1 to CFO</x:t>
        </x:is>
      </x:c>
    </x:row>
    <x:row r="35">
      <x:c r="B35" s="18" t="inlineStr">
        <x:is>
          <x:t xml:space="preserve">Operating model documented</x:t>
        </x:is>
      </x:c>
      <x:c r="C35" s="18" t="inlineStr">
        <x:is>
          <x:t xml:space="preserve">Day 90</x:t>
        </x:is>
      </x:c>
      <x:c r="D35" s="18" t="inlineStr">
        <x:is>
          <x:t xml:space="preserve">Defines how her function works going forward</x:t>
        </x:is>
      </x:c>
    </x:row>
    <x:row r="36">
      <x:c r="B36" s="18" t="inlineStr">
        <x:is>
          <x:t xml:space="preserve">External case study</x:t>
        </x:is>
      </x:c>
      <x:c r="C36" s="18" t="inlineStr">
        <x:is>
          <x:t xml:space="preserve">1 published by month 6</x:t>
        </x:is>
      </x:c>
      <x:c r="D36" s="18" t="inlineStr">
        <x:is>
          <x:t xml:space="preserve">Her personal brand investment</x:t>
        </x:is>
      </x:c>
    </x:row>
    <x:row r="37">
      <x:c r="B37" s="18" t="inlineStr">
        <x:is>
          <x:t xml:space="preserve">Active named users</x:t>
        </x:is>
      </x:c>
      <x:c r="C37" s="18" t="inlineStr">
        <x:is>
          <x:t xml:space="preserve">8 of 10 weekly</x:t>
        </x:is>
      </x:c>
      <x:c r="D37" s="18" t="inlineStr">
        <x:is>
          <x:t xml:space="preserve">Adoption = adoption = adoption</x:t>
        </x:is>
      </x:c>
    </x:row>
    <x:row r="38">
      <x:c r="B38" s="18" t="inlineStr">
        <x:is>
          <x:t xml:space="preserve">Decision audit completeness</x:t>
        </x:is>
      </x:c>
      <x:c r="C38" s="18" t="inlineStr">
        <x:is>
          <x:t xml:space="preserve">100% consequential actions evidenced</x:t>
        </x:is>
      </x:c>
      <x:c r="D38" s="18" t="inlineStr">
        <x:is>
          <x:t xml:space="preserve">Protects her politically</x:t>
        </x:is>
      </x:c>
    </x:row>
    <x:row r="40">
      <x:c r="B40" s="5" t="inlineStr">
        <x:is>
          <x:t xml:space="preserve">5. TIMING — Act NOW, not in 3 months</x:t>
        </x:is>
      </x:c>
    </x:row>
    <x:row r="41">
      <x:c r="B41" s="29" t="inlineStr">
        <x:is>
          <x:t xml:space="preserve">Urgency</x:t>
        </x:is>
      </x:c>
      <x:c r="C41" s="18" t="inlineStr">
        <x:is>
          <x:t xml:space="preserve">If you wait, she will commit to Big 4 consulting ($2-5M, 6 months, deck deliverable) — you lose.</x:t>
        </x:is>
      </x:c>
      <x:c r="D41" s="64" t="n"/>
      <x:c r="E41" s="64" t="n"/>
      <x:c r="F41" s="35" t="n"/>
    </x:row>
    <x:row r="42">
      <x:c r="B42" s="29" t="inlineStr">
        <x:is>
          <x:t xml:space="preserve">Or</x:t>
        </x:is>
      </x:c>
      <x:c r="C42" s="18" t="inlineStr">
        <x:is>
          <x:t xml:space="preserve">She'll establish vendor relationships with incumbents — you lose embedding.</x:t>
        </x:is>
      </x:c>
      <x:c r="D42" s="64" t="n"/>
      <x:c r="E42" s="64" t="n"/>
      <x:c r="F42" s="35" t="n"/>
    </x:row>
    <x:row r="43">
      <x:c r="B43" s="29" t="inlineStr">
        <x:is>
          <x:t xml:space="preserve">Or</x:t>
        </x:is>
      </x:c>
      <x:c r="C43" s="18" t="inlineStr">
        <x:is>
          <x:t xml:space="preserve">She'll get pulled to other priorities — you wait another quarter.</x:t>
        </x:is>
      </x:c>
      <x:c r="D43" s="64" t="n"/>
      <x:c r="E43" s="64" t="n"/>
      <x:c r="F43" s="35" t="n"/>
    </x:row>
    <x:row r="44">
      <x:c r="B44" s="29" t="inlineStr">
        <x:is>
          <x:t xml:space="preserve">Sweet spot</x:t>
        </x:is>
      </x:c>
      <x:c r="C44" s="18" t="inlineStr">
        <x:is>
          <x:t xml:space="preserve">BEFORE she's committed her year-1 spend plan. If you land her now, you're embedded in her operating model.</x:t>
        </x:is>
      </x:c>
      <x:c r="D44" s="64" t="n"/>
      <x:c r="E44" s="64" t="n"/>
      <x:c r="F44" s="35" t="n"/>
    </x:row>
    <x:row r="45">
      <x:c r="B45" s="29" t="inlineStr">
        <x:is>
          <x:t xml:space="preserve">How</x:t>
        </x:is>
      </x:c>
      <x:c r="C45" s="18" t="inlineStr">
        <x:is>
          <x:t xml:space="preserve">Reach out THIS WEEK. 'Heard you joined — congrats. I have a 100-day framework for IT/data/innovation leaders that I'd love to walk through. 30 minutes.'</x:t>
        </x:is>
      </x:c>
      <x:c r="D45" s="64" t="n"/>
      <x:c r="E45" s="64" t="n"/>
      <x:c r="F45" s="35" t="n"/>
    </x:row>
    <x:row r="47">
      <x:c r="B47" s="5" t="inlineStr">
        <x:is>
          <x:t xml:space="preserve">6. What AbarVa specifically brings (the unfair advantage)</x:t>
        </x:is>
      </x:c>
    </x:row>
    <x:row r="48">
      <x:c r="B48" s="29" t="inlineStr">
        <x:is>
          <x:t xml:space="preserve">Industry corpus (24 waves)</x:t>
        </x:is>
      </x:c>
      <x:c r="C48" s="18" t="inlineStr">
        <x:is>
          <x:t xml:space="preserve">Use case catalog she'd otherwise need 6 months of workshops to build. Instant playbook.</x:t>
        </x:is>
      </x:c>
      <x:c r="D48" s="64" t="n"/>
      <x:c r="E48" s="64" t="n"/>
      <x:c r="F48" s="35" t="n"/>
    </x:row>
    <x:row r="49">
      <x:c r="B49" s="29" t="inlineStr">
        <x:is>
          <x:t xml:space="preserve">Modules (Intelligence/Moves/Source/Tower)</x:t>
        </x:is>
      </x:c>
      <x:c r="C49" s="18" t="inlineStr">
        <x:is>
          <x:t xml:space="preserve">Pre-built framework that maps to her function (delivery, data, innovation).</x:t>
        </x:is>
      </x:c>
      <x:c r="D49" s="64" t="n"/>
      <x:c r="E49" s="64" t="n"/>
      <x:c r="F49" s="35" t="n"/>
    </x:row>
    <x:row r="50">
      <x:c r="B50" s="29" t="inlineStr">
        <x:is>
          <x:t xml:space="preserve">Context/data plane</x:t>
        </x:is>
      </x:c>
      <x:c r="C50" s="18" t="inlineStr">
        <x:is>
          <x:t xml:space="preserve">Her data stays in her tenant — clean answer for IT security/governance.</x:t>
        </x:is>
      </x:c>
      <x:c r="D50" s="64" t="n"/>
      <x:c r="E50" s="64" t="n"/>
      <x:c r="F50" s="35" t="n"/>
    </x:row>
    <x:row r="51">
      <x:c r="B51" s="29" t="inlineStr">
        <x:is>
          <x:t xml:space="preserve">Move execution</x:t>
        </x:is>
      </x:c>
      <x:c r="C51" s="18" t="inlineStr">
        <x:is>
          <x:t xml:space="preserve">Visible early wins on real programs, not slide-ware.</x:t>
        </x:is>
      </x:c>
      <x:c r="D51" s="64" t="n"/>
      <x:c r="E51" s="64" t="n"/>
      <x:c r="F51" s="35" t="n"/>
    </x:row>
    <x:row r="52">
      <x:c r="B52" s="29" t="inlineStr">
        <x:is>
          <x:t xml:space="preserve">Evidence ledger</x:t>
        </x:is>
      </x:c>
      <x:c r="C52" s="18" t="inlineStr">
        <x:is>
          <x:t xml:space="preserve">Decision audit trail that protects her in board/audit reviews.</x:t>
        </x:is>
      </x:c>
      <x:c r="D52" s="64" t="n"/>
      <x:c r="E52" s="64" t="n"/>
      <x:c r="F52" s="35" t="n"/>
    </x:row>
    <x:row r="53">
      <x:c r="B53" s="29" t="inlineStr">
        <x:is>
          <x:t xml:space="preserve">Sourcing intelligence</x:t>
        </x:is>
      </x:c>
      <x:c r="C53" s="18" t="inlineStr">
        <x:is>
          <x:t xml:space="preserve">Her IT vendor portfolio can be optimized — quick win for CFO conversation.</x:t>
        </x:is>
      </x:c>
      <x:c r="D53" s="64" t="n"/>
      <x:c r="E53" s="64" t="n"/>
      <x:c r="F53" s="35" t="n"/>
    </x:row>
    <x:row r="54">
      <x:c r="B54" s="29" t="inlineStr">
        <x:is>
          <x:t xml:space="preserve">Founder-level engagement</x:t>
        </x:is>
      </x:c>
      <x:c r="C54" s="18" t="inlineStr">
        <x:is>
          <x:t xml:space="preserve">10% included founder time = white-glove for her first quarter (where it matters most).</x:t>
        </x:is>
      </x:c>
      <x:c r="D54" s="64" t="n"/>
      <x:c r="E54" s="64" t="n"/>
      <x:c r="F54" s="35" t="n"/>
    </x:row>
    <x:row r="56">
      <x:c r="B56" s="5" t="inlineStr">
        <x:is>
          <x:t xml:space="preserve">7. Outreach Plan</x:t>
        </x:is>
      </x:c>
    </x:row>
    <x:row r="57">
      <x:c r="B57" s="29" t="inlineStr">
        <x:is>
          <x:t xml:space="preserve">Week 1</x:t>
        </x:is>
      </x:c>
      <x:c r="C57" s="18" t="inlineStr">
        <x:is>
          <x:t xml:space="preserve">LinkedIn message: congrats + offer 30-min 100-day framework walkthrough. Attach a 2-page teaser.</x:t>
        </x:is>
      </x:c>
      <x:c r="D57" s="64" t="n"/>
      <x:c r="E57" s="64" t="n"/>
      <x:c r="F57" s="35" t="n"/>
    </x:row>
    <x:row r="58">
      <x:c r="B58" s="29" t="inlineStr">
        <x:is>
          <x:t xml:space="preserve">Week 2</x:t>
        </x:is>
      </x:c>
      <x:c r="C58" s="18" t="inlineStr">
        <x:is>
          <x:t xml:space="preserve">Discovery call (30 min): listen for her actual mandate, top 3 pressures, board ask, budget posture.</x:t>
        </x:is>
      </x:c>
      <x:c r="D58" s="64" t="n"/>
      <x:c r="E58" s="64" t="n"/>
      <x:c r="F58" s="35" t="n"/>
    </x:row>
    <x:row r="59">
      <x:c r="B59" s="29" t="inlineStr">
        <x:is>
          <x:t xml:space="preserve">Week 3</x:t>
        </x:is>
      </x:c>
      <x:c r="C59" s="18" t="inlineStr">
        <x:is>
          <x:t xml:space="preserve">Customized 1-pager: 'Here's what your first 100 days could look like with AbarVa.'</x:t>
        </x:is>
      </x:c>
      <x:c r="D59" s="64" t="n"/>
      <x:c r="E59" s="64" t="n"/>
      <x:c r="F59" s="35" t="n"/>
    </x:row>
    <x:row r="60">
      <x:c r="B60" s="29" t="inlineStr">
        <x:is>
          <x:t xml:space="preserve">Week 4</x:t>
        </x:is>
      </x:c>
      <x:c r="C60" s="18" t="inlineStr">
        <x:is>
          <x:t xml:space="preserve">Joint working session (90 min): walk through industry corpus + 3 candidate Moves for Morgan Street.</x:t>
        </x:is>
      </x:c>
      <x:c r="D60" s="64" t="n"/>
      <x:c r="E60" s="64" t="n"/>
      <x:c r="F60" s="35" t="n"/>
    </x:row>
    <x:row r="61">
      <x:c r="B61" s="29" t="inlineStr">
        <x:is>
          <x:t xml:space="preserve">Week 5-6</x:t>
        </x:is>
      </x:c>
      <x:c r="C61" s="18" t="inlineStr">
        <x:is>
          <x:t xml:space="preserve">Proposal: pilot SOW with her name on the success criteria.</x:t>
        </x:is>
      </x:c>
      <x:c r="D61" s="64" t="n"/>
      <x:c r="E61" s="64" t="n"/>
      <x:c r="F61" s="35" t="n"/>
    </x:row>
    <x:row r="62">
      <x:c r="B62" s="29" t="inlineStr">
        <x:is>
          <x:t xml:space="preserve">Week 7+</x:t>
        </x:is>
      </x:c>
      <x:c r="C62" s="18" t="inlineStr">
        <x:is>
          <x:t xml:space="preserve">Negotiate + sign + kick off.</x:t>
        </x:is>
      </x:c>
      <x:c r="D62" s="64" t="n"/>
      <x:c r="E62" s="64" t="n"/>
      <x:c r="F62" s="35" t="n"/>
    </x:row>
  </x:sheetData>
  <x:mergeCells>
    <x:mergeCell ref="C52:F52"/>
    <x:mergeCell ref="C48:F48"/>
    <x:mergeCell ref="C61:F61"/>
    <x:mergeCell ref="C17:F17"/>
    <x:mergeCell ref="B47:F47"/>
    <x:mergeCell ref="C8:F8"/>
    <x:mergeCell ref="C7:F7"/>
    <x:mergeCell ref="C19:F19"/>
    <x:mergeCell ref="C57:F57"/>
    <x:mergeCell ref="B56:F56"/>
    <x:mergeCell ref="B21:F21"/>
    <x:mergeCell ref="C18:F18"/>
    <x:mergeCell ref="C53:F53"/>
    <x:mergeCell ref="C49:F49"/>
    <x:mergeCell ref="C6:F6"/>
    <x:mergeCell ref="C62:F62"/>
    <x:mergeCell ref="C15:F15"/>
    <x:mergeCell ref="B14:F14"/>
    <x:mergeCell ref="C42:F42"/>
    <x:mergeCell ref="C58:F58"/>
    <x:mergeCell ref="B29:F29"/>
    <x:mergeCell ref="C45:F45"/>
    <x:mergeCell ref="C16:F16"/>
    <x:mergeCell ref="C54:F54"/>
    <x:mergeCell ref="C41:F41"/>
    <x:mergeCell ref="C10:F10"/>
    <x:mergeCell ref="B40:F40"/>
    <x:mergeCell ref="C50:F50"/>
    <x:mergeCell ref="C44:F44"/>
    <x:mergeCell ref="C9:F9"/>
    <x:mergeCell ref="C43:F43"/>
    <x:mergeCell ref="C12:F12"/>
    <x:mergeCell ref="B5:F5"/>
    <x:mergeCell ref="C59:F59"/>
    <x:mergeCell ref="C11:F11"/>
    <x:mergeCell ref="C51:F51"/>
    <x:mergeCell ref="C60:F60"/>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baseColWidth="8" defaultRowHeight="15"/>
  <x:cols>
    <x:col min="1" max="1" width="2" customWidth="1"/>
    <x:col min="2" max="2" width="38" customWidth="1"/>
    <x:col min="3" max="3" width="75" customWidth="1"/>
    <x:col min="4" max="4" width="30" customWidth="1"/>
    <x:col min="5" max="5" width="20" customWidth="1"/>
    <x:col min="6" max="6" width="20" customWidth="1"/>
  </x:cols>
  <x:sheetData>
    <x:row r="2">
      <x:c r="B2" s="1" t="inlineStr">
        <x:is>
          <x:t xml:space="preserve">Business Case — KK @ Delta (CTO; $3B IT spend; AI-Led Product Development Focus)</x:t>
        </x:is>
      </x:c>
    </x:row>
    <x:row r="3">
      <x:c r="B3" s="2" t="inlineStr">
        <x:is>
          <x:t xml:space="preserve">CTO with $3B IT + 100s of millions in app dev. Burning need: AI-led product development. HONEST read on AbarVa fit + how to play.</x:t>
        </x:is>
      </x:c>
    </x:row>
    <x:row r="5">
      <x:c r="B5" s="5" t="inlineStr">
        <x:is>
          <x:t xml:space="preserve">1. Prospect Snapshot — KK @ Delta</x:t>
        </x:is>
      </x:c>
    </x:row>
    <x:row r="6">
      <x:c r="B6" s="29" t="inlineStr">
        <x:is>
          <x:t xml:space="preserve">Buyer</x:t>
        </x:is>
      </x:c>
      <x:c r="C6" s="18" t="inlineStr">
        <x:is>
          <x:t xml:space="preserve">KK — CTO, owns IT infrastructure</x:t>
        </x:is>
      </x:c>
      <x:c r="D6" s="64" t="n"/>
      <x:c r="E6" s="64" t="n"/>
      <x:c r="F6" s="35" t="n"/>
    </x:row>
    <x:row r="7">
      <x:c r="B7" s="29" t="inlineStr">
        <x:is>
          <x:t xml:space="preserve">Budget</x:t>
        </x:is>
      </x:c>
      <x:c r="C7" s="18" t="inlineStr">
        <x:is>
          <x:t xml:space="preserve">$3B IT spend; $100s of millions in app/product development</x:t>
        </x:is>
      </x:c>
      <x:c r="D7" s="64" t="n"/>
      <x:c r="E7" s="64" t="n"/>
      <x:c r="F7" s="35" t="n"/>
    </x:row>
    <x:row r="8">
      <x:c r="B8" s="29" t="inlineStr">
        <x:is>
          <x:t xml:space="preserve">Modernization context</x:t>
        </x:is>
      </x:c>
      <x:c r="C8" s="18" t="inlineStr">
        <x:is>
          <x:t xml:space="preserve">AWS-related modernization in flight</x:t>
        </x:is>
      </x:c>
      <x:c r="D8" s="64" t="n"/>
      <x:c r="E8" s="64" t="n"/>
      <x:c r="F8" s="35" t="n"/>
    </x:row>
    <x:row r="9">
      <x:c r="B9" s="29" t="inlineStr">
        <x:is>
          <x:t xml:space="preserve">AI ownership</x:t>
        </x:is>
      </x:c>
      <x:c r="C9" s="18" t="inlineStr">
        <x:is>
          <x:t xml:space="preserve">Not in CTO scope traditionally — but AI-LED PRODUCT DEVELOPMENT is high on his agenda</x:t>
        </x:is>
      </x:c>
      <x:c r="D9" s="64" t="n"/>
      <x:c r="E9" s="64" t="n"/>
      <x:c r="F9" s="35" t="n"/>
    </x:row>
    <x:row r="10">
      <x:c r="B10" s="29" t="inlineStr">
        <x:is>
          <x:t xml:space="preserve">Burning need</x:t>
        </x:is>
      </x:c>
      <x:c r="C10" s="18" t="inlineStr">
        <x:is>
          <x:t xml:space="preserve">How to operationalize AI in software delivery at $100s-of-millions scale</x:t>
        </x:is>
      </x:c>
      <x:c r="D10" s="64" t="n"/>
      <x:c r="E10" s="64" t="n"/>
      <x:c r="F10" s="35" t="n"/>
    </x:row>
    <x:row r="11">
      <x:c r="B11" s="29" t="inlineStr">
        <x:is>
          <x:t xml:space="preserve">Other levers</x:t>
        </x:is>
      </x:c>
      <x:c r="C11" s="18" t="inlineStr">
        <x:is>
          <x:t xml:space="preserve">IMS / managed services consolidation; modernization program discipline</x:t>
        </x:is>
      </x:c>
      <x:c r="D11" s="64" t="n"/>
      <x:c r="E11" s="64" t="n"/>
      <x:c r="F11" s="35" t="n"/>
    </x:row>
    <x:row r="13">
      <x:c r="B13" s="5" t="inlineStr">
        <x:is>
          <x:t xml:space="preserve">2. HONEST READ — Where AbarVa fits + where it doesn't</x:t>
        </x:is>
      </x:c>
    </x:row>
    <x:row r="14">
      <x:c r="B14" s="29" t="inlineStr">
        <x:is>
          <x:t xml:space="preserve">Context layer fit</x:t>
        </x:is>
      </x:c>
      <x:c r="C14" s="18" t="inlineStr">
        <x:is>
          <x:t xml:space="preserve">STRONG. Any $3B IT shop has data silos / decision sprawl. AbarVa's broker/context-layer story is appealing.</x:t>
        </x:is>
      </x:c>
      <x:c r="D14" s="64" t="n"/>
      <x:c r="E14" s="64" t="n"/>
      <x:c r="F14" s="35" t="n"/>
    </x:row>
    <x:row r="15">
      <x:c r="B15" s="29" t="inlineStr">
        <x:is>
          <x:t xml:space="preserve">Industry corpus fit</x:t>
        </x:is>
      </x:c>
      <x:c r="C15" s="18" t="inlineStr">
        <x:is>
          <x:t xml:space="preserve">PARTIAL. Corpus today = healthcare/banking/retail BUSINESS workflows. NOT software-delivery patterns. Don't oversell.</x:t>
        </x:is>
      </x:c>
      <x:c r="D15" s="64" t="n"/>
      <x:c r="E15" s="64" t="n"/>
      <x:c r="F15" s="35" t="n"/>
    </x:row>
    <x:row r="16">
      <x:c r="B16" s="29" t="inlineStr">
        <x:is>
          <x:t xml:space="preserve">AI-led product dev fit</x:t>
        </x:is>
      </x:c>
      <x:c r="C16" s="18" t="inlineStr">
        <x:is>
          <x:t xml:space="preserve">AbarVa is NOT a developer productivity tool (Copilot/Cursor/Claude Code own that).</x:t>
        </x:is>
      </x:c>
      <x:c r="D16" s="64" t="n"/>
      <x:c r="E16" s="64" t="n"/>
      <x:c r="F16" s="35" t="n"/>
    </x:row>
    <x:row r="17">
      <x:c r="B17" s="29" t="inlineStr">
        <x:is>
          <x:t xml:space="preserve">Where AbarVa CAN play</x:t>
        </x:is>
      </x:c>
      <x:c r="C17" s="18" t="inlineStr">
        <x:is>
          <x:t xml:space="preserve">Governance + measurement + program management LAYER ABOVE the developer-AI tools. Not the methodology itself.</x:t>
        </x:is>
      </x:c>
      <x:c r="D17" s="64" t="n"/>
      <x:c r="E17" s="64" t="n"/>
      <x:c r="F17" s="35" t="n"/>
    </x:row>
    <x:row r="18">
      <x:c r="B18" s="29" t="inlineStr">
        <x:is>
          <x:t xml:space="preserve">Honest gap</x:t>
        </x:is>
      </x:c>
      <x:c r="C18" s="18" t="inlineStr">
        <x:is>
          <x:t xml:space="preserve">Software-engineering / AI-led-dev patterns aren't in your corpus today. If KK's primary itch is methodology, you don't scratch it directly.</x:t>
        </x:is>
      </x:c>
      <x:c r="D18" s="64" t="n"/>
      <x:c r="E18" s="64" t="n"/>
      <x:c r="F18" s="35" t="n"/>
    </x:row>
    <x:row r="20">
      <x:c r="B20" s="5" t="inlineStr">
        <x:is>
          <x:t xml:space="preserve">3. Three Plays (ranked by honesty + defensibility)</x:t>
        </x:is>
      </x:c>
    </x:row>
    <x:row r="21">
      <x:c r="B21" s="8" t="inlineStr">
        <x:is>
          <x:t xml:space="preserve">Play</x:t>
        </x:is>
      </x:c>
      <x:c r="C21" s="8" t="inlineStr">
        <x:is>
          <x:t xml:space="preserve">Pitch</x:t>
        </x:is>
      </x:c>
      <x:c r="D21" s="8" t="inlineStr">
        <x:is>
          <x:t xml:space="preserve">Risk</x:t>
        </x:is>
      </x:c>
    </x:row>
    <x:row r="22">
      <x:c r="B22" s="18" t="inlineStr">
        <x:is>
          <x:t xml:space="preserve">Play A: Governance/Measurement Layer (RECOMMENDED)</x:t>
        </x:is>
      </x:c>
      <x:c r="C22" s="18" t="inlineStr">
        <x:is>
          <x:t xml:space="preserve">'Copilot/Cursor/Claude Code give individual devs productivity. Bigger problem is at the PROGRAM level — which projects to AI-accelerate, methodology rollout, risk governance, true ROI measurement, vendor sprawl. AbarVa is the operating layer ABOVE the developer-AI tools.'</x:t>
        </x:is>
      </x:c>
      <x:c r="D22" s="18" t="inlineStr">
        <x:is>
          <x:t xml:space="preserve">Most defensible. Positions AbarVa where it actually plays.</x:t>
        </x:is>
      </x:c>
    </x:row>
    <x:row r="23">
      <x:c r="B23" s="18" t="inlineStr">
        <x:is>
          <x:t xml:space="preserve">Play B: Methodology Rollout Program OS</x:t>
        </x:is>
      </x:c>
      <x:c r="C23" s="18" t="inlineStr">
        <x:is>
          <x:t xml:space="preserve">'AI-led product development isn't a tool — it's a transformation program. New methodology, measurement, vendor portfolio, training, governance. AbarVa is the Move execution OS that turns methodology into measured outcomes across your $3B IT estate.'</x:t>
        </x:is>
      </x:c>
      <x:c r="D23" s="18" t="inlineStr">
        <x:is>
          <x:t xml:space="preserve">Lighter on what AbarVa specifically provides; heavier on program-management value.</x:t>
        </x:is>
      </x:c>
    </x:row>
    <x:row r="24">
      <x:c r="B24" s="18" t="inlineStr">
        <x:is>
          <x:t xml:space="preserve">Play C: Source-Module Wedge</x:t>
        </x:is>
      </x:c>
      <x:c r="C24" s="18" t="inlineStr">
        <x:is>
          <x:t xml:space="preserve">'You spend $3B in IT. Your AI dev tooling alone will be $20-50M annually. AbarVa Source gives you vendor portfolio intelligence to make those choices, measure those contracts, rationalize the spend.'</x:t>
        </x:is>
      </x:c>
      <x:c r="D24" s="18" t="inlineStr">
        <x:is>
          <x:t xml:space="preserve">Smallest deal but most defensible. Source-only at $50k/mo.</x:t>
        </x:is>
      </x:c>
    </x:row>
    <x:row r="26">
      <x:c r="B26" s="5" t="inlineStr">
        <x:is>
          <x:t xml:space="preserve">4. The Strategic Decision for AbarVa — Build a 'Software Delivery' Corpus Wave?</x:t>
        </x:is>
      </x:c>
    </x:row>
    <x:row r="27">
      <x:c r="B27" s="29" t="inlineStr">
        <x:is>
          <x:t xml:space="preserve">Why consider it</x:t>
        </x:is>
      </x:c>
      <x:c r="C27" s="18" t="inlineStr">
        <x:is>
          <x:t xml:space="preserve">Every large enterprise CTO faces this. 5-10 similar prospects. CTO TAM is bigger than just CDAO TAM.</x:t>
        </x:is>
      </x:c>
      <x:c r="D27" s="64" t="n"/>
      <x:c r="E27" s="64" t="n"/>
      <x:c r="F27" s="35" t="n"/>
    </x:row>
    <x:row r="28">
      <x:c r="B28" s="29" t="inlineStr">
        <x:is>
          <x:t xml:space="preserve">Investment</x:t>
        </x:is>
      </x:c>
      <x:c r="C28" s="18" t="inlineStr">
        <x:is>
          <x:t xml:space="preserve">~6-12 weeks to research + structure + author a software-delivery / AI-led-dev corpus wave.</x:t>
        </x:is>
      </x:c>
      <x:c r="D28" s="64" t="n"/>
      <x:c r="E28" s="64" t="n"/>
      <x:c r="F28" s="35" t="n"/>
    </x:row>
    <x:row r="29">
      <x:c r="B29" s="29" t="inlineStr">
        <x:is>
          <x:t xml:space="preserve">Strategic value</x:t>
        </x:is>
      </x:c>
      <x:c r="C29" s="18" t="inlineStr">
        <x:is>
          <x:t xml:space="preserve">Unlocks CTO-buyer segment. Differentiates AbarVa from generic AI workflow platforms.</x:t>
        </x:is>
      </x:c>
      <x:c r="D29" s="64" t="n"/>
      <x:c r="E29" s="64" t="n"/>
      <x:c r="F29" s="35" t="n"/>
    </x:row>
    <x:row r="30">
      <x:c r="B30" s="29" t="inlineStr">
        <x:is>
          <x:t xml:space="preserve">Risk if you DON'T</x:t>
        </x:is>
      </x:c>
      <x:c r="C30" s="18" t="inlineStr">
        <x:is>
          <x:t xml:space="preserve">Lose KK + similar deals because you can't credibly speak to their primary pain.</x:t>
        </x:is>
      </x:c>
      <x:c r="D30" s="64" t="n"/>
      <x:c r="E30" s="64" t="n"/>
      <x:c r="F30" s="35" t="n"/>
    </x:row>
    <x:row r="31">
      <x:c r="B31" s="29" t="inlineStr">
        <x:is>
          <x:t xml:space="preserve">Decision</x:t>
        </x:is>
      </x:c>
      <x:c r="C31" s="18" t="inlineStr">
        <x:is>
          <x:t xml:space="preserve">[OPEN] If pursuing KK-class deals, this is worth funding. If KK is one-off, skip.</x:t>
        </x:is>
      </x:c>
      <x:c r="D31" s="64" t="n"/>
      <x:c r="E31" s="64" t="n"/>
      <x:c r="F31" s="35" t="n"/>
    </x:row>
    <x:row r="32">
      <x:c r="B32" s="29" t="inlineStr">
        <x:is>
          <x:t xml:space="preserve">Watch-out</x:t>
        </x:is>
      </x:c>
      <x:c r="C32" s="18" t="inlineStr">
        <x:is>
          <x:t xml:space="preserve">Don't pretend the corpus is there when it isn't. Lose credibility once = lose forever.</x:t>
        </x:is>
      </x:c>
      <x:c r="D32" s="64" t="n"/>
      <x:c r="E32" s="64" t="n"/>
      <x:c r="F32" s="35" t="n"/>
    </x:row>
    <x:row r="34">
      <x:c r="B34" s="5" t="inlineStr">
        <x:is>
          <x:t xml:space="preserve">5. KK-Specific Value Levers (HONEST)</x:t>
        </x:is>
      </x:c>
    </x:row>
    <x:row r="35">
      <x:c r="B35" s="8" t="inlineStr">
        <x:is>
          <x:t xml:space="preserve">Lever</x:t>
        </x:is>
      </x:c>
      <x:c r="C35" s="8" t="inlineStr">
        <x:is>
          <x:t xml:space="preserve">Order-of-magnitude</x:t>
        </x:is>
      </x:c>
      <x:c r="D35" s="8" t="inlineStr">
        <x:is>
          <x:t xml:space="preserve">AbarVa enables how</x:t>
        </x:is>
      </x:c>
      <x:c r="E35" s="8" t="inlineStr">
        <x:is>
          <x:t xml:space="preserve">Confidence</x:t>
        </x:is>
      </x:c>
    </x:row>
    <x:row r="36">
      <x:c r="B36" s="18" t="inlineStr">
        <x:is>
          <x:t xml:space="preserve">AWS modernization program acceleration</x:t>
        </x:is>
      </x:c>
      <x:c r="C36" s="18" t="inlineStr">
        <x:is>
          <x:t xml:space="preserve">20-30% timeline reduction = $10-50M opportunity cost</x:t>
        </x:is>
      </x:c>
      <x:c r="D36" s="18" t="inlineStr">
        <x:is>
          <x:t xml:space="preserve">Moves = program execution OS</x:t>
        </x:is>
      </x:c>
      <x:c r="E36" s="18" t="inlineStr">
        <x:is>
          <x:t xml:space="preserve">HIGH</x:t>
        </x:is>
      </x:c>
    </x:row>
    <x:row r="37">
      <x:c r="B37" s="18" t="inlineStr">
        <x:is>
          <x:t xml:space="preserve">IMS / vendor consolidation</x:t>
        </x:is>
      </x:c>
      <x:c r="C37" s="18" t="inlineStr">
        <x:is>
          <x:t xml:space="preserve">5-10% on large IMS contracts = $5-10M</x:t>
        </x:is>
      </x:c>
      <x:c r="D37" s="18" t="inlineStr">
        <x:is>
          <x:t xml:space="preserve">Source = vendor intelligence</x:t>
        </x:is>
      </x:c>
      <x:c r="E37" s="18" t="inlineStr">
        <x:is>
          <x:t xml:space="preserve">HIGH</x:t>
        </x:is>
      </x:c>
    </x:row>
    <x:row r="38">
      <x:c r="B38" s="18" t="inlineStr">
        <x:is>
          <x:t xml:space="preserve">AI dev tool vendor management</x:t>
        </x:is>
      </x:c>
      <x:c r="C38" s="18" t="inlineStr">
        <x:is>
          <x:t xml:space="preserve">Rationalize $20-50M AI dev tooling spend</x:t>
        </x:is>
      </x:c>
      <x:c r="D38" s="18" t="inlineStr">
        <x:is>
          <x:t xml:space="preserve">Source module + decision audit</x:t>
        </x:is>
      </x:c>
      <x:c r="E38" s="18" t="inlineStr">
        <x:is>
          <x:t xml:space="preserve">MEDIUM-HIGH</x:t>
        </x:is>
      </x:c>
    </x:row>
    <x:row r="39">
      <x:c r="B39" s="18" t="inlineStr">
        <x:is>
          <x:t xml:space="preserve">AI-led product dev measurement/governance</x:t>
        </x:is>
      </x:c>
      <x:c r="C39" s="18" t="inlineStr">
        <x:is>
          <x:t xml:space="preserve">Avoid blown investment, document ROI</x:t>
        </x:is>
      </x:c>
      <x:c r="D39" s="18" t="inlineStr">
        <x:is>
          <x:t xml:space="preserve">Tower + evidence ledger</x:t>
        </x:is>
      </x:c>
      <x:c r="E39" s="18" t="inlineStr">
        <x:is>
          <x:t xml:space="preserve">MEDIUM (depends on corpus investment)</x:t>
        </x:is>
      </x:c>
    </x:row>
    <x:row r="40">
      <x:c r="B40" s="18" t="inlineStr">
        <x:is>
          <x:t xml:space="preserve">Decision audit for AI in production code</x:t>
        </x:is>
      </x:c>
      <x:c r="C40" s="18" t="inlineStr">
        <x:is>
          <x:t xml:space="preserve">Avoid security/IP/compliance issues</x:t>
        </x:is>
      </x:c>
      <x:c r="D40" s="18" t="inlineStr">
        <x:is>
          <x:t xml:space="preserve">Evidence ledger + AI Liability framework</x:t>
        </x:is>
      </x:c>
      <x:c r="E40" s="18" t="inlineStr">
        <x:is>
          <x:t xml:space="preserve">HIGH</x:t>
        </x:is>
      </x:c>
    </x:row>
    <x:row r="41">
      <x:c r="B41" s="18" t="inlineStr">
        <x:is>
          <x:t xml:space="preserve">Methodology rollout as managed program</x:t>
        </x:is>
      </x:c>
      <x:c r="C41" s="18" t="inlineStr">
        <x:is>
          <x:t xml:space="preserve">Faster, measurable transformation</x:t>
        </x:is>
      </x:c>
      <x:c r="D41" s="18" t="inlineStr">
        <x:is>
          <x:t xml:space="preserve">Moves + Tower</x:t>
        </x:is>
      </x:c>
      <x:c r="E41" s="18" t="inlineStr">
        <x:is>
          <x:t xml:space="preserve">MEDIUM</x:t>
        </x:is>
      </x:c>
    </x:row>
    <x:row r="43">
      <x:c r="B43" s="5" t="inlineStr">
        <x:is>
          <x:t xml:space="preserve">6. Stretch-Lane Pilot SOW (Two Lanes)</x:t>
        </x:is>
      </x:c>
    </x:row>
    <x:row r="44">
      <x:c r="B44" s="8" t="inlineStr">
        <x:is>
          <x:t xml:space="preserve">Lane</x:t>
        </x:is>
      </x:c>
      <x:c r="C44" s="8" t="inlineStr">
        <x:is>
          <x:t xml:space="preserve">Scope</x:t>
        </x:is>
      </x:c>
      <x:c r="D44" s="8" t="inlineStr">
        <x:is>
          <x:t xml:space="preserve">Priority</x:t>
        </x:is>
      </x:c>
    </x:row>
    <x:row r="45">
      <x:c r="B45" s="18" t="inlineStr">
        <x:is>
          <x:t xml:space="preserve">Lane A (CTO core, P0)</x:t>
        </x:is>
      </x:c>
      <x:c r="C45" s="18" t="inlineStr">
        <x:is>
          <x:t xml:space="preserve">Modernization program execution + Source module for IMS contracts. 2 Moves at execution by day 60. $5-10M identified value pipeline.</x:t>
        </x:is>
      </x:c>
      <x:c r="D45" s="18" t="inlineStr">
        <x:is>
          <x:t xml:space="preserve">P0 — must deliver</x:t>
        </x:is>
      </x:c>
    </x:row>
    <x:row r="46">
      <x:c r="B46" s="18" t="inlineStr">
        <x:is>
          <x:t xml:space="preserve">Lane B (AI-led dev measurement, P1)</x:t>
        </x:is>
      </x:c>
      <x:c r="C46" s="18" t="inlineStr">
        <x:is>
          <x:t xml:space="preserve">1 Move scoped on 'AI development program governance/measurement.' Pilot the AI Liability framework + evidence ledger on actual dev work. Roadmap drafted for full methodology rollout.</x:t>
        </x:is>
      </x:c>
      <x:c r="D46" s="18" t="inlineStr">
        <x:is>
          <x:t xml:space="preserve">P1 — stretch / explore</x:t>
        </x:is>
      </x:c>
    </x:row>
    <x:row r="47">
      <x:c r="B47" s="18" t="inlineStr">
        <x:is>
          <x:t xml:space="preserve">Lane C (Future, if corpus invested)</x:t>
        </x:is>
      </x:c>
      <x:c r="C47" s="18" t="inlineStr">
        <x:is>
          <x:t xml:space="preserve">Once software-delivery corpus wave is authored, expand Lane B into a full methodology + governance + measurement Move portfolio.</x:t>
        </x:is>
      </x:c>
      <x:c r="D47" s="18" t="inlineStr">
        <x:is>
          <x:t xml:space="preserve">Future — depends on corpus decision</x:t>
        </x:is>
      </x:c>
    </x:row>
    <x:row r="49">
      <x:c r="B49" s="5" t="inlineStr">
        <x:is>
          <x:t xml:space="preserve">7. What to Say When KK Pushes — 'But you don't solve our methodology problem'</x:t>
        </x:is>
      </x:c>
    </x:row>
    <x:row r="50">
      <x:c r="B50" s="29" t="inlineStr">
        <x:is>
          <x:t xml:space="preserve">Acknowledge honestly</x:t>
        </x:is>
      </x:c>
      <x:c r="C50" s="18" t="inlineStr">
        <x:is>
          <x:t xml:space="preserve">'You're right. Methodology = GitHub Copilot's / Anthropic Claude Code's / your consulting partner's problem. We solve the layer ABOVE — knowing what to do with all that, measuring it, governing it.'</x:t>
        </x:is>
      </x:c>
      <x:c r="D50" s="64" t="n"/>
      <x:c r="E50" s="64" t="n"/>
      <x:c r="F50" s="35" t="n"/>
    </x:row>
    <x:row r="51">
      <x:c r="B51" s="29" t="inlineStr">
        <x:is>
          <x:t xml:space="preserve">Pivot to value</x:t>
        </x:is>
      </x:c>
      <x:c r="C51" s="18" t="inlineStr">
        <x:is>
          <x:t xml:space="preserve">'You can have the best methodology in the world. If you can't measure ROI across 1000 developers and 50 projects, you can't justify the next $50M investment. AbarVa is that measurement + governance layer.'</x:t>
        </x:is>
      </x:c>
      <x:c r="D51" s="64" t="n"/>
      <x:c r="E51" s="64" t="n"/>
      <x:c r="F51" s="35" t="n"/>
    </x:row>
    <x:row r="52">
      <x:c r="B52" s="29" t="inlineStr">
        <x:is>
          <x:t xml:space="preserve">Offer Lane B as test</x:t>
        </x:is>
      </x:c>
      <x:c r="C52" s="18" t="inlineStr">
        <x:is>
          <x:t xml:space="preserve">'Let's pilot the measurement/governance framework on a real AI-dev program. If it works, we scale. If it doesn't, you've learned at $300k.'</x:t>
        </x:is>
      </x:c>
      <x:c r="D52" s="64" t="n"/>
      <x:c r="E52" s="64" t="n"/>
      <x:c r="F52" s="35" t="n"/>
    </x:row>
    <x:row r="53">
      <x:c r="B53" s="29" t="inlineStr">
        <x:is>
          <x:t xml:space="preserve">Don't oversell</x:t>
        </x:is>
      </x:c>
      <x:c r="C53" s="18" t="inlineStr">
        <x:is>
          <x:t xml:space="preserve">If KK's primary itch is methodology itself and Lane B doesn't move him, walk. Don't promise corpus you don't have. Disappointment 6 months in kills renewal AND reference.</x:t>
        </x:is>
      </x:c>
      <x:c r="D53" s="64" t="n"/>
      <x:c r="E53" s="64" t="n"/>
      <x:c r="F53" s="35" t="n"/>
    </x:row>
  </x:sheetData>
  <x:mergeCells>
    <x:mergeCell ref="C52:F52"/>
    <x:mergeCell ref="C17:F17"/>
    <x:mergeCell ref="C8:F8"/>
    <x:mergeCell ref="C7:F7"/>
    <x:mergeCell ref="C32:F32"/>
    <x:mergeCell ref="C28:F28"/>
    <x:mergeCell ref="C18:F18"/>
    <x:mergeCell ref="B43:F43"/>
    <x:mergeCell ref="C53:F53"/>
    <x:mergeCell ref="C6:F6"/>
    <x:mergeCell ref="C30:F30"/>
    <x:mergeCell ref="C15:F15"/>
    <x:mergeCell ref="C14:F14"/>
    <x:mergeCell ref="B13:F13"/>
    <x:mergeCell ref="B34:F34"/>
    <x:mergeCell ref="C29:F29"/>
    <x:mergeCell ref="C16:F16"/>
    <x:mergeCell ref="C10:F10"/>
    <x:mergeCell ref="C50:F50"/>
    <x:mergeCell ref="B49:F49"/>
    <x:mergeCell ref="C9:F9"/>
    <x:mergeCell ref="C31:F31"/>
    <x:mergeCell ref="B20:F20"/>
    <x:mergeCell ref="B5:F5"/>
    <x:mergeCell ref="C11:F11"/>
    <x:mergeCell ref="C51:F51"/>
    <x:mergeCell ref="C27:F27"/>
    <x:mergeCell ref="B26:F26"/>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baseColWidth="8" defaultRowHeight="15"/>
  <x:cols>
    <x:col min="1" max="1" width="2" customWidth="1"/>
    <x:col min="2" max="2" width="16" customWidth="1"/>
    <x:col min="3" max="3" width="42" customWidth="1"/>
    <x:col min="4" max="4" width="50" customWidth="1"/>
    <x:col min="5" max="5" width="28" customWidth="1"/>
    <x:col min="6" max="6" width="10" customWidth="1"/>
  </x:cols>
  <x:sheetData>
    <x:row r="2">
      <x:c r="B2" s="1" t="inlineStr">
        <x:is>
          <x:t xml:space="preserve">Security Pack — F500 Vendor Questionnaire Pre-Fill</x:t>
        </x:is>
      </x:c>
    </x:row>
    <x:row r="3">
      <x:c r="B3" s="2" t="inlineStr">
        <x:is>
          <x:t xml:space="preserve">Your canonical answers. Update once, reuse across every deal.</x:t>
        </x:is>
      </x:c>
    </x:row>
    <x:row r="5">
      <x:c r="B5" s="8" t="inlineStr">
        <x:is>
          <x:t xml:space="preserve">Domain</x:t>
        </x:is>
      </x:c>
      <x:c r="C5" s="8" t="inlineStr">
        <x:is>
          <x:t xml:space="preserve">Question</x:t>
        </x:is>
      </x:c>
      <x:c r="D5" s="8" t="inlineStr">
        <x:is>
          <x:t xml:space="preserve">Answer</x:t>
        </x:is>
      </x:c>
      <x:c r="E5" s="8" t="inlineStr">
        <x:is>
          <x:t xml:space="preserve">Evidence/Reference</x:t>
        </x:is>
      </x:c>
      <x:c r="F5" s="8" t="inlineStr">
        <x:is>
          <x:t xml:space="preserve">Status</x:t>
        </x:is>
      </x:c>
    </x:row>
    <x:row r="6">
      <x:c r="B6" s="29" t="inlineStr">
        <x:is>
          <x:t xml:space="preserve">Corporate</x:t>
        </x:is>
      </x:c>
      <x:c r="C6" s="18" t="inlineStr">
        <x:is>
          <x:t xml:space="preserve">Legal entity name and jurisdiction</x:t>
        </x:is>
      </x:c>
      <x:c r="D6" s="18" t="inlineStr">
        <x:is>
          <x:t xml:space="preserve">AbarVa Inc., Delaware C-Corporation</x:t>
        </x:is>
      </x:c>
      <x:c r="E6" s="18" t="inlineStr">
        <x:is>
          <x:t xml:space="preserve">Certificate of Incorporation</x:t>
        </x:is>
      </x:c>
      <x:c r="F6" s="18" t="inlineStr">
        <x:is>
          <x:t xml:space="preserve">TODO</x:t>
        </x:is>
      </x:c>
    </x:row>
    <x:row r="7">
      <x:c r="B7" s="29" t="inlineStr">
        <x:is>
          <x:t xml:space="preserve">Corporate</x:t>
        </x:is>
      </x:c>
      <x:c r="C7" s="18" t="inlineStr">
        <x:is>
          <x:t xml:space="preserve">Year founded</x:t>
        </x:is>
      </x:c>
      <x:c r="D7" s="18" t="inlineStr">
        <x:is>
          <x:t xml:space="preserve">2026</x:t>
        </x:is>
      </x:c>
      <x:c r="E7" s="18" t="inlineStr">
        <x:is>
          <x:t xml:space="preserve">Certificate of Incorporation</x:t>
        </x:is>
      </x:c>
      <x:c r="F7" s="18" t="inlineStr">
        <x:is>
          <x:t xml:space="preserve">TODO</x:t>
        </x:is>
      </x:c>
    </x:row>
    <x:row r="8">
      <x:c r="B8" s="29" t="inlineStr">
        <x:is>
          <x:t xml:space="preserve">Corporate</x:t>
        </x:is>
      </x:c>
      <x:c r="C8" s="18" t="inlineStr">
        <x:is>
          <x:t xml:space="preserve">Number of employees</x:t>
        </x:is>
      </x:c>
      <x:c r="D8" s="18" t="inlineStr">
        <x:is>
          <x:t xml:space="preserve">1 founder (scaling planned post-pilot)</x:t>
        </x:is>
      </x:c>
      <x:c r="E8" s="18" t="inlineStr">
        <x:is>
          <x:t xml:space="preserve">Internal</x:t>
        </x:is>
      </x:c>
      <x:c r="F8" s="18" t="inlineStr">
        <x:is>
          <x:t xml:space="preserve">Done</x:t>
        </x:is>
      </x:c>
    </x:row>
    <x:row r="9">
      <x:c r="B9" s="29" t="inlineStr">
        <x:is>
          <x:t xml:space="preserve">Corporate</x:t>
        </x:is>
      </x:c>
      <x:c r="C9" s="18" t="inlineStr">
        <x:is>
          <x:t xml:space="preserve">D&amp;B / DUNS number</x:t>
        </x:is>
      </x:c>
      <x:c r="D9" s="18" t="inlineStr">
        <x:is>
          <x:t xml:space="preserve">TBD — apply post-incorporation</x:t>
        </x:is>
      </x:c>
      <x:c r="E9" s="18" t="inlineStr">
        <x:is>
          <x:t xml:space="preserve">Dun &amp; Bradstreet</x:t>
        </x:is>
      </x:c>
      <x:c r="F9" s="18" t="inlineStr">
        <x:is>
          <x:t xml:space="preserve">TODO</x:t>
        </x:is>
      </x:c>
    </x:row>
    <x:row r="10">
      <x:c r="B10" s="29" t="inlineStr">
        <x:is>
          <x:t xml:space="preserve">Insurance</x:t>
        </x:is>
      </x:c>
      <x:c r="C10" s="18" t="inlineStr">
        <x:is>
          <x:t xml:space="preserve">General liability coverage</x:t>
        </x:is>
      </x:c>
      <x:c r="D10" s="18" t="inlineStr">
        <x:is>
          <x:t xml:space="preserve">$2-5M (to be bound pre-signing)</x:t>
        </x:is>
      </x:c>
      <x:c r="E10" s="18" t="inlineStr">
        <x:is>
          <x:t xml:space="preserve">COI from Vouch/Founder Shield</x:t>
        </x:is>
      </x:c>
      <x:c r="F10" s="18" t="inlineStr">
        <x:is>
          <x:t xml:space="preserve">TODO</x:t>
        </x:is>
      </x:c>
    </x:row>
    <x:row r="11">
      <x:c r="B11" s="29" t="inlineStr">
        <x:is>
          <x:t xml:space="preserve">Insurance</x:t>
        </x:is>
      </x:c>
      <x:c r="C11" s="18" t="inlineStr">
        <x:is>
          <x:t xml:space="preserve">Cyber liability coverage</x:t>
        </x:is>
      </x:c>
      <x:c r="D11" s="18" t="inlineStr">
        <x:is>
          <x:t xml:space="preserve">$2-5M (to be bound pre-signing)</x:t>
        </x:is>
      </x:c>
      <x:c r="E11" s="18" t="inlineStr">
        <x:is>
          <x:t xml:space="preserve">COI from Vouch/Founder Shield</x:t>
        </x:is>
      </x:c>
      <x:c r="F11" s="18" t="inlineStr">
        <x:is>
          <x:t xml:space="preserve">TODO</x:t>
        </x:is>
      </x:c>
    </x:row>
    <x:row r="12">
      <x:c r="B12" s="29" t="inlineStr">
        <x:is>
          <x:t xml:space="preserve">Insurance</x:t>
        </x:is>
      </x:c>
      <x:c r="C12" s="18" t="inlineStr">
        <x:is>
          <x:t xml:space="preserve">Professional liability / E&amp;O</x:t>
        </x:is>
      </x:c>
      <x:c r="D12" s="18" t="inlineStr">
        <x:is>
          <x:t xml:space="preserve">$2-5M (to be bound pre-signing)</x:t>
        </x:is>
      </x:c>
      <x:c r="E12" s="18" t="inlineStr">
        <x:is>
          <x:t xml:space="preserve">COI from Vouch/Founder Shield</x:t>
        </x:is>
      </x:c>
      <x:c r="F12" s="18" t="inlineStr">
        <x:is>
          <x:t xml:space="preserve">TODO</x:t>
        </x:is>
      </x:c>
    </x:row>
    <x:row r="13">
      <x:c r="B13" s="29" t="inlineStr">
        <x:is>
          <x:t xml:space="preserve">Compliance</x:t>
        </x:is>
      </x:c>
      <x:c r="C13" s="18" t="inlineStr">
        <x:is>
          <x:t xml:space="preserve">SOC 2 Type 1</x:t>
        </x:is>
      </x:c>
      <x:c r="D13" s="18" t="inlineStr">
        <x:is>
          <x:t xml:space="preserve">In progress via Vanta/Drata, target [date]</x:t>
        </x:is>
      </x:c>
      <x:c r="E13" s="18" t="inlineStr">
        <x:is>
          <x:t xml:space="preserve">Auditor letter</x:t>
        </x:is>
      </x:c>
      <x:c r="F13" s="18" t="inlineStr">
        <x:is>
          <x:t xml:space="preserve">TODO</x:t>
        </x:is>
      </x:c>
    </x:row>
    <x:row r="14">
      <x:c r="B14" s="29" t="inlineStr">
        <x:is>
          <x:t xml:space="preserve">Compliance</x:t>
        </x:is>
      </x:c>
      <x:c r="C14" s="18" t="inlineStr">
        <x:is>
          <x:t xml:space="preserve">SOC 2 Type 2</x:t>
        </x:is>
      </x:c>
      <x:c r="D14" s="18" t="inlineStr">
        <x:is>
          <x:t xml:space="preserve">Roadmap: observation period starting [date]</x:t>
        </x:is>
      </x:c>
      <x:c r="E14" s="18" t="inlineStr">
        <x:is>
          <x:t xml:space="preserve">Roadmap doc</x:t>
        </x:is>
      </x:c>
      <x:c r="F14" s="18" t="inlineStr">
        <x:is>
          <x:t xml:space="preserve">TODO</x:t>
        </x:is>
      </x:c>
    </x:row>
    <x:row r="15">
      <x:c r="B15" s="29" t="inlineStr">
        <x:is>
          <x:t xml:space="preserve">Compliance</x:t>
        </x:is>
      </x:c>
      <x:c r="C15" s="18" t="inlineStr">
        <x:is>
          <x:t xml:space="preserve">ISO 27001</x:t>
        </x:is>
      </x:c>
      <x:c r="D15" s="18" t="inlineStr">
        <x:is>
          <x:t xml:space="preserve">Not currently certified</x:t>
        </x:is>
      </x:c>
      <x:c r="E15" s="18" t="inlineStr">
        <x:is>
          <x:t xml:space="preserve">—</x:t>
        </x:is>
      </x:c>
      <x:c r="F15" s="18" t="inlineStr">
        <x:is>
          <x:t xml:space="preserve">Done</x:t>
        </x:is>
      </x:c>
    </x:row>
    <x:row r="16">
      <x:c r="B16" s="29" t="inlineStr">
        <x:is>
          <x:t xml:space="preserve">Compliance</x:t>
        </x:is>
      </x:c>
      <x:c r="C16" s="18" t="inlineStr">
        <x:is>
          <x:t xml:space="preserve">HIPAA / BAA capable</x:t>
        </x:is>
      </x:c>
      <x:c r="D16" s="18" t="inlineStr">
        <x:is>
          <x:t xml:space="preserve">Available on request via PHI/PII addendum + BAA</x:t>
        </x:is>
      </x:c>
      <x:c r="E16" s="18" t="inlineStr">
        <x:is>
          <x:t xml:space="preserve">BAA template</x:t>
        </x:is>
      </x:c>
      <x:c r="F16" s="18" t="inlineStr">
        <x:is>
          <x:t xml:space="preserve">TODO</x:t>
        </x:is>
      </x:c>
    </x:row>
    <x:row r="17">
      <x:c r="B17" s="29" t="inlineStr">
        <x:is>
          <x:t xml:space="preserve">Compliance</x:t>
        </x:is>
      </x:c>
      <x:c r="C17" s="18" t="inlineStr">
        <x:is>
          <x:t xml:space="preserve">GDPR DPA available</x:t>
        </x:is>
      </x:c>
      <x:c r="D17" s="18" t="inlineStr">
        <x:is>
          <x:t xml:space="preserve">Yes, IAPP-based template</x:t>
        </x:is>
      </x:c>
      <x:c r="E17" s="18" t="inlineStr">
        <x:is>
          <x:t xml:space="preserve">DPA template</x:t>
        </x:is>
      </x:c>
      <x:c r="F17" s="18" t="inlineStr">
        <x:is>
          <x:t xml:space="preserve">TODO</x:t>
        </x:is>
      </x:c>
    </x:row>
    <x:row r="18">
      <x:c r="B18" s="29" t="inlineStr">
        <x:is>
          <x:t xml:space="preserve">Compliance</x:t>
        </x:is>
      </x:c>
      <x:c r="C18" s="18" t="inlineStr">
        <x:is>
          <x:t xml:space="preserve">Subprocessor list published</x:t>
        </x:is>
      </x:c>
      <x:c r="D18" s="18" t="inlineStr">
        <x:is>
          <x:t xml:space="preserve">abarva.com/subprocessors</x:t>
        </x:is>
      </x:c>
      <x:c r="E18" s="18" t="inlineStr">
        <x:is>
          <x:t xml:space="preserve">Web page</x:t>
        </x:is>
      </x:c>
      <x:c r="F18" s="18" t="inlineStr">
        <x:is>
          <x:t xml:space="preserve">TODO</x:t>
        </x:is>
      </x:c>
    </x:row>
    <x:row r="19">
      <x:c r="B19" s="29" t="inlineStr">
        <x:is>
          <x:t xml:space="preserve">Architecture</x:t>
        </x:is>
      </x:c>
      <x:c r="C19" s="18" t="inlineStr">
        <x:is>
          <x:t xml:space="preserve">Multi-tenant or single-tenant data isolation?</x:t>
        </x:is>
      </x:c>
      <x:c r="D19" s="18" t="inlineStr">
        <x:is>
          <x:t xml:space="preserve">Hybrid: multi-tenant control plane (Vercel) + per-client single-tenant data plane (client Azure subscription)</x:t>
        </x:is>
      </x:c>
      <x:c r="E19" s="18" t="inlineStr">
        <x:is>
          <x:t xml:space="preserve">Architecture ADR</x:t>
        </x:is>
      </x:c>
      <x:c r="F19" s="18" t="inlineStr">
        <x:is>
          <x:t xml:space="preserve">TODO</x:t>
        </x:is>
      </x:c>
    </x:row>
    <x:row r="20">
      <x:c r="B20" s="29" t="inlineStr">
        <x:is>
          <x:t xml:space="preserve">Architecture</x:t>
        </x:is>
      </x:c>
      <x:c r="C20" s="18" t="inlineStr">
        <x:is>
          <x:t xml:space="preserve">Where does customer data reside?</x:t>
        </x:is>
      </x:c>
      <x:c r="D20" s="18" t="inlineStr">
        <x:is>
          <x:t xml:space="preserve">In customer's Azure tenant (region of customer choice). Data never leaves customer tenant.</x:t>
        </x:is>
      </x:c>
      <x:c r="E20" s="18" t="inlineStr">
        <x:is>
          <x:t xml:space="preserve">Architecture diagram</x:t>
        </x:is>
      </x:c>
      <x:c r="F20" s="18" t="inlineStr">
        <x:is>
          <x:t xml:space="preserve">TODO</x:t>
        </x:is>
      </x:c>
    </x:row>
    <x:row r="21">
      <x:c r="B21" s="29" t="inlineStr">
        <x:is>
          <x:t xml:space="preserve">Architecture</x:t>
        </x:is>
      </x:c>
      <x:c r="C21" s="18" t="inlineStr">
        <x:is>
          <x:t xml:space="preserve">Encryption at rest</x:t>
        </x:is>
      </x:c>
      <x:c r="D21" s="18" t="inlineStr">
        <x:is>
          <x:t xml:space="preserve">AES-256 via Azure platform encryption + optional CMK</x:t>
        </x:is>
      </x:c>
      <x:c r="E21" s="18" t="inlineStr">
        <x:is>
          <x:t xml:space="preserve">Azure docs</x:t>
        </x:is>
      </x:c>
      <x:c r="F21" s="18" t="inlineStr">
        <x:is>
          <x:t xml:space="preserve">Done</x:t>
        </x:is>
      </x:c>
    </x:row>
    <x:row r="22">
      <x:c r="B22" s="29" t="inlineStr">
        <x:is>
          <x:t xml:space="preserve">Architecture</x:t>
        </x:is>
      </x:c>
      <x:c r="C22" s="18" t="inlineStr">
        <x:is>
          <x:t xml:space="preserve">Encryption in transit</x:t>
        </x:is>
      </x:c>
      <x:c r="D22" s="18" t="inlineStr">
        <x:is>
          <x:t xml:space="preserve">TLS 1.2+ end-to-end</x:t>
        </x:is>
      </x:c>
      <x:c r="E22" s="18" t="inlineStr">
        <x:is>
          <x:t xml:space="preserve">Vercel + Azure defaults</x:t>
        </x:is>
      </x:c>
      <x:c r="F22" s="18" t="inlineStr">
        <x:is>
          <x:t xml:space="preserve">Done</x:t>
        </x:is>
      </x:c>
    </x:row>
    <x:row r="23">
      <x:c r="B23" s="29" t="inlineStr">
        <x:is>
          <x:t xml:space="preserve">Architecture</x:t>
        </x:is>
      </x:c>
      <x:c r="C23" s="18" t="inlineStr">
        <x:is>
          <x:t xml:space="preserve">Customer-managed keys (CMK / BYOK)</x:t>
        </x:is>
      </x:c>
      <x:c r="D23" s="18" t="inlineStr">
        <x:is>
          <x:t xml:space="preserve">Available via Azure Key Vault on request</x:t>
        </x:is>
      </x:c>
      <x:c r="E23" s="18" t="inlineStr">
        <x:is>
          <x:t xml:space="preserve">Implementation plan</x:t>
        </x:is>
      </x:c>
      <x:c r="F23" s="18" t="inlineStr">
        <x:is>
          <x:t xml:space="preserve">TODO</x:t>
        </x:is>
      </x:c>
    </x:row>
    <x:row r="24">
      <x:c r="B24" s="29" t="inlineStr">
        <x:is>
          <x:t xml:space="preserve">Access</x:t>
        </x:is>
      </x:c>
      <x:c r="C24" s="18" t="inlineStr">
        <x:is>
          <x:t xml:space="preserve">SSO support (SAML / OIDC)</x:t>
        </x:is>
      </x:c>
      <x:c r="D24" s="18" t="inlineStr">
        <x:is>
          <x:t xml:space="preserve">Yes via Clerk Organizations — supports Entra ID, Okta, Ping, Google Workspace</x:t>
        </x:is>
      </x:c>
      <x:c r="E24" s="18" t="inlineStr">
        <x:is>
          <x:t xml:space="preserve">Clerk docs</x:t>
        </x:is>
      </x:c>
      <x:c r="F24" s="18" t="inlineStr">
        <x:is>
          <x:t xml:space="preserve">TODO</x:t>
        </x:is>
      </x:c>
    </x:row>
    <x:row r="25">
      <x:c r="B25" s="29" t="inlineStr">
        <x:is>
          <x:t xml:space="preserve">Access</x:t>
        </x:is>
      </x:c>
      <x:c r="C25" s="18" t="inlineStr">
        <x:is>
          <x:t xml:space="preserve">SCIM provisioning</x:t>
        </x:is>
      </x:c>
      <x:c r="D25" s="18" t="inlineStr">
        <x:is>
          <x:t xml:space="preserve">Yes via Clerk</x:t>
        </x:is>
      </x:c>
      <x:c r="E25" s="18" t="inlineStr">
        <x:is>
          <x:t xml:space="preserve">Clerk docs</x:t>
        </x:is>
      </x:c>
      <x:c r="F25" s="18" t="inlineStr">
        <x:is>
          <x:t xml:space="preserve">TODO</x:t>
        </x:is>
      </x:c>
    </x:row>
    <x:row r="26">
      <x:c r="B26" s="29" t="inlineStr">
        <x:is>
          <x:t xml:space="preserve">Access</x:t>
        </x:is>
      </x:c>
      <x:c r="C26" s="18" t="inlineStr">
        <x:is>
          <x:t xml:space="preserve">MFA enforcement</x:t>
        </x:is>
      </x:c>
      <x:c r="D26" s="18" t="inlineStr">
        <x:is>
          <x:t xml:space="preserve">Required for all users via Clerk</x:t>
        </x:is>
      </x:c>
      <x:c r="E26" s="18" t="inlineStr">
        <x:is>
          <x:t xml:space="preserve">Clerk policy</x:t>
        </x:is>
      </x:c>
      <x:c r="F26" s="18" t="inlineStr">
        <x:is>
          <x:t xml:space="preserve">TODO</x:t>
        </x:is>
      </x:c>
    </x:row>
    <x:row r="27">
      <x:c r="B27" s="29" t="inlineStr">
        <x:is>
          <x:t xml:space="preserve">Access</x:t>
        </x:is>
      </x:c>
      <x:c r="C27" s="18" t="inlineStr">
        <x:is>
          <x:t xml:space="preserve">RBAC granularity</x:t>
        </x:is>
      </x:c>
      <x:c r="D27" s="18" t="inlineStr">
        <x:is>
          <x:t xml:space="preserve">Role-based (admin, maestro, contributor, viewer) + per-user RLS on data plane</x:t>
        </x:is>
      </x:c>
      <x:c r="E27" s="18" t="inlineStr">
        <x:is>
          <x:t xml:space="preserve">Roles matrix</x:t>
        </x:is>
      </x:c>
      <x:c r="F27" s="18" t="inlineStr">
        <x:is>
          <x:t xml:space="preserve">TODO</x:t>
        </x:is>
      </x:c>
    </x:row>
    <x:row r="28">
      <x:c r="B28" s="29" t="inlineStr">
        <x:is>
          <x:t xml:space="preserve">Operations</x:t>
        </x:is>
      </x:c>
      <x:c r="C28" s="18" t="inlineStr">
        <x:is>
          <x:t xml:space="preserve">Uptime SLA offered</x:t>
        </x:is>
      </x:c>
      <x:c r="D28" s="18" t="inlineStr">
        <x:is>
          <x:t xml:space="preserve">99.5% monthly, credits up to 25% of monthly fee</x:t>
        </x:is>
      </x:c>
      <x:c r="E28" s="18" t="inlineStr">
        <x:is>
          <x:t xml:space="preserve">MSA section</x:t>
        </x:is>
      </x:c>
      <x:c r="F28" s="18" t="inlineStr">
        <x:is>
          <x:t xml:space="preserve">TODO</x:t>
        </x:is>
      </x:c>
    </x:row>
    <x:row r="29">
      <x:c r="B29" s="29" t="inlineStr">
        <x:is>
          <x:t xml:space="preserve">Operations</x:t>
        </x:is>
      </x:c>
      <x:c r="C29" s="18" t="inlineStr">
        <x:is>
          <x:t xml:space="preserve">RPO / RTO</x:t>
        </x:is>
      </x:c>
      <x:c r="D29" s="18" t="inlineStr">
        <x:is>
          <x:t xml:space="preserve">RPO 1 hour / RTO 4 hours</x:t>
        </x:is>
      </x:c>
      <x:c r="E29" s="18" t="inlineStr">
        <x:is>
          <x:t xml:space="preserve">DR runbook</x:t>
        </x:is>
      </x:c>
      <x:c r="F29" s="18" t="inlineStr">
        <x:is>
          <x:t xml:space="preserve">TODO</x:t>
        </x:is>
      </x:c>
    </x:row>
    <x:row r="30">
      <x:c r="B30" s="29" t="inlineStr">
        <x:is>
          <x:t xml:space="preserve">Operations</x:t>
        </x:is>
      </x:c>
      <x:c r="C30" s="18" t="inlineStr">
        <x:is>
          <x:t xml:space="preserve">Backup frequency and retention</x:t>
        </x:is>
      </x:c>
      <x:c r="D30" s="18" t="inlineStr">
        <x:is>
          <x:t xml:space="preserve">Daily snapshots, 30-day retention; weekly snapshots, 12-month retention</x:t>
        </x:is>
      </x:c>
      <x:c r="E30" s="18" t="inlineStr">
        <x:is>
          <x:t xml:space="preserve">Backup policy</x:t>
        </x:is>
      </x:c>
      <x:c r="F30" s="18" t="inlineStr">
        <x:is>
          <x:t xml:space="preserve">TODO</x:t>
        </x:is>
      </x:c>
    </x:row>
    <x:row r="31">
      <x:c r="B31" s="29" t="inlineStr">
        <x:is>
          <x:t xml:space="preserve">Operations</x:t>
        </x:is>
      </x:c>
      <x:c r="C31" s="18" t="inlineStr">
        <x:is>
          <x:t xml:space="preserve">Incident response SLA</x:t>
        </x:is>
      </x:c>
      <x:c r="D31" s="18" t="inlineStr">
        <x:is>
          <x:t xml:space="preserve">P1 1h response / 4h target restore; P2 next business day</x:t>
        </x:is>
      </x:c>
      <x:c r="E31" s="18" t="inlineStr">
        <x:is>
          <x:t xml:space="preserve">IR plan</x:t>
        </x:is>
      </x:c>
      <x:c r="F31" s="18" t="inlineStr">
        <x:is>
          <x:t xml:space="preserve">TODO</x:t>
        </x:is>
      </x:c>
    </x:row>
    <x:row r="32">
      <x:c r="B32" s="29" t="inlineStr">
        <x:is>
          <x:t xml:space="preserve">Operations</x:t>
        </x:is>
      </x:c>
      <x:c r="C32" s="18" t="inlineStr">
        <x:is>
          <x:t xml:space="preserve">Breach notification SLA</x:t>
        </x:is>
      </x:c>
      <x:c r="D32" s="18" t="inlineStr">
        <x:is>
          <x:t xml:space="preserve">72 hours from confirmed breach</x:t>
        </x:is>
      </x:c>
      <x:c r="E32" s="18" t="inlineStr">
        <x:is>
          <x:t xml:space="preserve">IR plan</x:t>
        </x:is>
      </x:c>
      <x:c r="F32" s="18" t="inlineStr">
        <x:is>
          <x:t xml:space="preserve">TODO</x:t>
        </x:is>
      </x:c>
    </x:row>
    <x:row r="33">
      <x:c r="B33" s="29" t="inlineStr">
        <x:is>
          <x:t xml:space="preserve">Operations</x:t>
        </x:is>
      </x:c>
      <x:c r="C33" s="18" t="inlineStr">
        <x:is>
          <x:t xml:space="preserve">Status page</x:t>
        </x:is>
      </x:c>
      <x:c r="D33" s="18" t="inlineStr">
        <x:is>
          <x:t xml:space="preserve">status.abarva.com (statuspage.io)</x:t>
        </x:is>
      </x:c>
      <x:c r="E33" s="18" t="inlineStr">
        <x:is>
          <x:t xml:space="preserve">Status page</x:t>
        </x:is>
      </x:c>
      <x:c r="F33" s="18" t="inlineStr">
        <x:is>
          <x:t xml:space="preserve">TODO</x:t>
        </x:is>
      </x:c>
    </x:row>
    <x:row r="34">
      <x:c r="B34" s="29" t="inlineStr">
        <x:is>
          <x:t xml:space="preserve">Operations</x:t>
        </x:is>
      </x:c>
      <x:c r="C34" s="18" t="inlineStr">
        <x:is>
          <x:t xml:space="preserve">Audit log retention</x:t>
        </x:is>
      </x:c>
      <x:c r="D34" s="18" t="inlineStr">
        <x:is>
          <x:t xml:space="preserve">12-24 months in Azure Immutable Blob Storage</x:t>
        </x:is>
      </x:c>
      <x:c r="E34" s="18" t="inlineStr">
        <x:is>
          <x:t xml:space="preserve">Audit log policy</x:t>
        </x:is>
      </x:c>
      <x:c r="F34" s="18" t="inlineStr">
        <x:is>
          <x:t xml:space="preserve">TODO</x:t>
        </x:is>
      </x:c>
    </x:row>
    <x:row r="35">
      <x:c r="B35" s="29" t="inlineStr">
        <x:is>
          <x:t xml:space="preserve">Security testing</x:t>
        </x:is>
      </x:c>
      <x:c r="C35" s="18" t="inlineStr">
        <x:is>
          <x:t xml:space="preserve">External penetration test cadence</x:t>
        </x:is>
      </x:c>
      <x:c r="D35" s="18" t="inlineStr">
        <x:is>
          <x:t xml:space="preserve">Annual via Cobalt/Bishop Fox; first test scheduled [date]</x:t>
        </x:is>
      </x:c>
      <x:c r="E35" s="18" t="inlineStr">
        <x:is>
          <x:t xml:space="preserve">Pen test report</x:t>
        </x:is>
      </x:c>
      <x:c r="F35" s="18" t="inlineStr">
        <x:is>
          <x:t xml:space="preserve">TODO</x:t>
        </x:is>
      </x:c>
    </x:row>
    <x:row r="36">
      <x:c r="B36" s="29" t="inlineStr">
        <x:is>
          <x:t xml:space="preserve">Security testing</x:t>
        </x:is>
      </x:c>
      <x:c r="C36" s="18" t="inlineStr">
        <x:is>
          <x:t xml:space="preserve">Internal vulnerability scanning</x:t>
        </x:is>
      </x:c>
      <x:c r="D36" s="18" t="inlineStr">
        <x:is>
          <x:t xml:space="preserve">Continuous via Vanta/Drata monitoring</x:t>
        </x:is>
      </x:c>
      <x:c r="E36" s="18" t="inlineStr">
        <x:is>
          <x:t xml:space="preserve">Vanta dashboard</x:t>
        </x:is>
      </x:c>
      <x:c r="F36" s="18" t="inlineStr">
        <x:is>
          <x:t xml:space="preserve">TODO</x:t>
        </x:is>
      </x:c>
    </x:row>
    <x:row r="37">
      <x:c r="B37" s="29" t="inlineStr">
        <x:is>
          <x:t xml:space="preserve">Personnel</x:t>
        </x:is>
      </x:c>
      <x:c r="C37" s="18" t="inlineStr">
        <x:is>
          <x:t xml:space="preserve">Background checks on personnel</x:t>
        </x:is>
      </x:c>
      <x:c r="D37" s="18" t="inlineStr">
        <x:is>
          <x:t xml:space="preserve">All personnel undergo standard background checks (Checkr)</x:t>
        </x:is>
      </x:c>
      <x:c r="E37" s="18" t="inlineStr">
        <x:is>
          <x:t xml:space="preserve">Checkr policy</x:t>
        </x:is>
      </x:c>
      <x:c r="F37" s="18" t="inlineStr">
        <x:is>
          <x:t xml:space="preserve">TODO</x:t>
        </x:is>
      </x:c>
    </x:row>
    <x:row r="38">
      <x:c r="B38" s="29" t="inlineStr">
        <x:is>
          <x:t xml:space="preserve">Personnel</x:t>
        </x:is>
      </x:c>
      <x:c r="C38" s="18" t="inlineStr">
        <x:is>
          <x:t xml:space="preserve">Security awareness training</x:t>
        </x:is>
      </x:c>
      <x:c r="D38" s="18" t="inlineStr">
        <x:is>
          <x:t xml:space="preserve">Annual via Vanta/Drata training module</x:t>
        </x:is>
      </x:c>
      <x:c r="E38" s="18" t="inlineStr">
        <x:is>
          <x:t xml:space="preserve">Training records</x:t>
        </x:is>
      </x:c>
      <x:c r="F38" s="18" t="inlineStr">
        <x:is>
          <x:t xml:space="preserve">TODO</x:t>
        </x:is>
      </x:c>
    </x:row>
    <x:row r="39">
      <x:c r="B39" s="29" t="inlineStr">
        <x:is>
          <x:t xml:space="preserve">Data</x:t>
        </x:is>
      </x:c>
      <x:c r="C39" s="18" t="inlineStr">
        <x:is>
          <x:t xml:space="preserve">Data return on termination</x:t>
        </x:is>
      </x:c>
      <x:c r="D39" s="18" t="inlineStr">
        <x:is>
          <x:t xml:space="preserve">Yes, within 30 days; written certification of deletion</x:t>
        </x:is>
      </x:c>
      <x:c r="E39" s="18" t="inlineStr">
        <x:is>
          <x:t xml:space="preserve">Termination runbook</x:t>
        </x:is>
      </x:c>
      <x:c r="F39" s="18" t="inlineStr">
        <x:is>
          <x:t xml:space="preserve">TODO</x:t>
        </x:is>
      </x:c>
    </x:row>
    <x:row r="40">
      <x:c r="B40" s="29" t="inlineStr">
        <x:is>
          <x:t xml:space="preserve">Data</x:t>
        </x:is>
      </x:c>
      <x:c r="C40" s="18" t="inlineStr">
        <x:is>
          <x:t xml:space="preserve">PHI/PII handling</x:t>
        </x:is>
      </x:c>
      <x:c r="D40" s="18" t="inlineStr">
        <x:is>
          <x:t xml:space="preserve">Pre-ingest scanner (Presidio); quarantine on detection; no PHI without prior BAA</x:t>
        </x:is>
      </x:c>
      <x:c r="E40" s="18" t="inlineStr">
        <x:is>
          <x:t xml:space="preserve">Scanner config</x:t>
        </x:is>
      </x:c>
      <x:c r="F40" s="18" t="inlineStr">
        <x:is>
          <x:t xml:space="preserve">TODO</x:t>
        </x:is>
      </x:c>
    </x:row>
    <x:row r="41">
      <x:c r="B41" s="29" t="inlineStr">
        <x:is>
          <x:t xml:space="preserve">AI / LLM</x:t>
        </x:is>
      </x:c>
      <x:c r="C41" s="18" t="inlineStr">
        <x:is>
          <x:t xml:space="preserve">Sub-processors used for AI inference</x:t>
        </x:is>
      </x:c>
      <x:c r="D41" s="18" t="inlineStr">
        <x:is>
          <x:t xml:space="preserve">Anthropic Claude, OpenAI (model details on request)</x:t>
        </x:is>
      </x:c>
      <x:c r="E41" s="18" t="inlineStr">
        <x:is>
          <x:t xml:space="preserve">Subprocessor page</x:t>
        </x:is>
      </x:c>
      <x:c r="F41" s="18" t="inlineStr">
        <x:is>
          <x:t xml:space="preserve">Done</x:t>
        </x:is>
      </x:c>
    </x:row>
    <x:row r="42">
      <x:c r="B42" s="29" t="inlineStr">
        <x:is>
          <x:t xml:space="preserve">AI / LLM</x:t>
        </x:is>
      </x:c>
      <x:c r="C42" s="18" t="inlineStr">
        <x:is>
          <x:t xml:space="preserve">Customer data used for model training</x:t>
        </x:is>
      </x:c>
      <x:c r="D42" s="18" t="inlineStr">
        <x:is>
          <x:t xml:space="preserve">Never. Zero data retention with all AI providers.</x:t>
        </x:is>
      </x:c>
      <x:c r="E42" s="18" t="inlineStr">
        <x:is>
          <x:t xml:space="preserve">Provider DPA + AI policy</x:t>
        </x:is>
      </x:c>
      <x:c r="F42" s="18" t="inlineStr">
        <x:is>
          <x:t xml:space="preserve">TODO</x:t>
        </x:is>
      </x:c>
    </x:row>
    <x:row r="43">
      <x:c r="B43" s="29" t="inlineStr">
        <x:is>
          <x:t xml:space="preserve">AI / LLM</x:t>
        </x:is>
      </x:c>
      <x:c r="C43" s="18" t="inlineStr">
        <x:is>
          <x:t xml:space="preserve">Prompt and output logging</x:t>
        </x:is>
      </x:c>
      <x:c r="D43" s="18" t="inlineStr">
        <x:is>
          <x:t xml:space="preserve">Logged in customer's data plane only; never sent to AbarVa control plane</x:t>
        </x:is>
      </x:c>
      <x:c r="E43" s="18" t="inlineStr">
        <x:is>
          <x:t xml:space="preserve">Logging architecture</x:t>
        </x:is>
      </x:c>
      <x:c r="F43" s="18" t="inlineStr">
        <x:is>
          <x:t xml:space="preserve">TODO</x:t>
        </x:is>
      </x:c>
    </x:row>
  </x:sheetData>
  <x:conditionalFormatting sqref="F6:F93">
    <x:cfRule type="cellIs" dxfId="6" priority="1" operator="equal">
      <x:formula>"TODO"</x:formula>
    </x:cfRule>
    <x:cfRule type="cellIs" dxfId="7" priority="2" operator="equal">
      <x:formula>"Done"</x:formula>
    </x:cfRule>
    <x:cfRule type="cellIs" dxfId="9" priority="3" operator="equal">
      <x:formula>"N/A"</x:formula>
    </x:cfRule>
  </x:conditionalFormatting>
  <x:dataValidations count="1">
    <x:dataValidation type="list" allowBlank="0" showDropDown="0" showInputMessage="0" showErrorMessage="0" sqref="F6:F93">
      <x:formula1>"TODO,Done,N/A"</x:formula1>
    </x:dataValidation>
  </x:dataValidation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baseColWidth="8" defaultRowHeight="15"/>
  <x:cols>
    <x:col min="1" max="1" width="2" customWidth="1"/>
    <x:col min="2" max="2" width="6" customWidth="1"/>
    <x:col min="3" max="3" width="22" customWidth="1"/>
    <x:col min="4" max="4" width="38" customWidth="1"/>
    <x:col min="5" max="5" width="42" customWidth="1"/>
    <x:col min="6" max="6" width="38" customWidth="1"/>
    <x:col min="7" max="7" width="38" customWidth="1"/>
  </x:cols>
  <x:sheetData>
    <x:row r="2">
      <x:c r="B2" s="1" t="inlineStr">
        <x:is>
          <x:t xml:space="preserve">Contract Redline Brief — 8 Non-Negotiables</x:t>
        </x:is>
      </x:c>
    </x:row>
    <x:row r="3">
      <x:c r="B3" s="2" t="inlineStr">
        <x:is>
          <x:t xml:space="preserve">Apply to every client MSA. Hold the line on top 3 (Liability, IP, MFN). Walk if needed.</x:t>
        </x:is>
      </x:c>
    </x:row>
    <x:row r="5">
      <x:c r="B5" s="8" t="inlineStr">
        <x:is>
          <x:t xml:space="preserve">#</x:t>
        </x:is>
      </x:c>
      <x:c r="C5" s="8" t="inlineStr">
        <x:is>
          <x:t xml:space="preserve">Clause</x:t>
        </x:is>
      </x:c>
      <x:c r="D5" s="8" t="inlineStr">
        <x:is>
          <x:t xml:space="preserve">Client default position</x:t>
        </x:is>
      </x:c>
      <x:c r="E5" s="8" t="inlineStr">
        <x:is>
          <x:t xml:space="preserve">Your must-change</x:t>
        </x:is>
      </x:c>
      <x:c r="F5" s="8" t="inlineStr">
        <x:is>
          <x:t xml:space="preserve">Fallback position</x:t>
        </x:is>
      </x:c>
      <x:c r="G5" s="8" t="inlineStr">
        <x:is>
          <x:t xml:space="preserve">Why it matters</x:t>
        </x:is>
      </x:c>
    </x:row>
    <x:row r="6">
      <x:c r="B6" s="8" t="inlineStr">
        <x:is>
          <x:t xml:space="preserve">1</x:t>
        </x:is>
      </x:c>
      <x:c r="C6" s="18" t="inlineStr">
        <x:is>
          <x:t xml:space="preserve">Liability cap</x:t>
        </x:is>
      </x:c>
      <x:c r="D6" s="18" t="inlineStr">
        <x:is>
          <x:t xml:space="preserve">Unlimited, or 'greater of $5M or fees paid'</x:t>
        </x:is>
      </x:c>
      <x:c r="E6" s="18" t="inlineStr">
        <x:is>
          <x:t xml:space="preserve">Cap at 12 months of fees paid in trailing period. Mutual.</x:t>
        </x:is>
      </x:c>
      <x:c r="F6" s="18" t="inlineStr">
        <x:is>
          <x:t xml:space="preserve">18-24 months. Anything &gt;2x ARR is dangerous.</x:t>
        </x:is>
      </x:c>
      <x:c r="G6" s="18" t="inlineStr">
        <x:is>
          <x:t xml:space="preserve">$900k ACV unlimited = bet-the-company on every bug.</x:t>
        </x:is>
      </x:c>
    </x:row>
    <x:row r="7">
      <x:c r="B7" s="8" t="inlineStr">
        <x:is>
          <x:t xml:space="preserve">2</x:t>
        </x:is>
      </x:c>
      <x:c r="C7" s="18" t="inlineStr">
        <x:is>
          <x:t xml:space="preserve">Indemnity scope</x:t>
        </x:is>
      </x:c>
      <x:c r="D7" s="18" t="inlineStr">
        <x:is>
          <x:t xml:space="preserve">Vendor indemnifies for 'any and all claims arising from services'</x:t>
        </x:is>
      </x:c>
      <x:c r="E7" s="18" t="inlineStr">
        <x:is>
          <x:t xml:space="preserve">Only: (a) third-party IP infringement by product, (b) gross negligence/willful misconduct, (c) breach of confidentiality. Mutual.</x:t>
        </x:is>
      </x:c>
      <x:c r="F7" s="18" t="inlineStr">
        <x:is>
          <x:t xml:space="preserve">Add data breach caused by your negligence, capped at liability cap.</x:t>
        </x:is>
      </x:c>
      <x:c r="G7" s="18" t="inlineStr">
        <x:is>
          <x:t xml:space="preserve">Broad indemnity = you owe their legal fees for anything a third party sues them over.</x:t>
        </x:is>
      </x:c>
    </x:row>
    <x:row r="8">
      <x:c r="B8" s="8" t="inlineStr">
        <x:is>
          <x:t xml:space="preserve">3</x:t>
        </x:is>
      </x:c>
      <x:c r="C8" s="18" t="inlineStr">
        <x:is>
          <x:t xml:space="preserve">IP ownership</x:t>
        </x:is>
      </x:c>
      <x:c r="D8" s="18" t="inlineStr">
        <x:is>
          <x:t xml:space="preserve">All work product, deliverables, derivatives, and improvements belong to Client</x:t>
        </x:is>
      </x:c>
      <x:c r="E8" s="18" t="inlineStr">
        <x:is>
          <x:t xml:space="preserve">AbarVa retains all IP in platform including improvements/learnings. Client owns only (a) their data, (b) their configs/content.</x:t>
        </x:is>
      </x:c>
      <x:c r="F8" s="18" t="inlineStr">
        <x:is>
          <x:t xml:space="preserve">Carve perpetual royalty-free license to them for anything custom; you still own it.</x:t>
        </x:is>
      </x:c>
      <x:c r="G8" s="18" t="inlineStr">
        <x:is>
          <x:t xml:space="preserve">This clause alone can kill the company. Forks = death.</x:t>
        </x:is>
      </x:c>
    </x:row>
    <x:row r="9">
      <x:c r="B9" s="8" t="inlineStr">
        <x:is>
          <x:t xml:space="preserve">4</x:t>
        </x:is>
      </x:c>
      <x:c r="C9" s="18" t="inlineStr">
        <x:is>
          <x:t xml:space="preserve">Most-favored-nation</x:t>
        </x:is>
      </x:c>
      <x:c r="D9" s="18" t="inlineStr">
        <x:is>
          <x:t xml:space="preserve">'Vendor warrants pricing is no higher than offered to similarly-situated customers'</x:t>
        </x:is>
      </x:c>
      <x:c r="E9" s="18" t="inlineStr">
        <x:is>
          <x:t xml:space="preserve">Strike entirely.</x:t>
        </x:is>
      </x:c>
      <x:c r="F9" s="18" t="inlineStr">
        <x:is>
          <x:t xml:space="preserve">Limit to: same product, same scope, same volume, same term — never comparable.</x:t>
        </x:is>
      </x:c>
      <x:c r="G9" s="18" t="inlineStr">
        <x:is>
          <x:t xml:space="preserve">Locks pricing forever. Future discount = retroactive refund.</x:t>
        </x:is>
      </x:c>
    </x:row>
    <x:row r="10">
      <x:c r="B10" s="8" t="inlineStr">
        <x:is>
          <x:t xml:space="preserve">5</x:t>
        </x:is>
      </x:c>
      <x:c r="C10" s="18" t="inlineStr">
        <x:is>
          <x:t xml:space="preserve">Termination for convenience</x:t>
        </x:is>
      </x:c>
      <x:c r="D10" s="18" t="inlineStr">
        <x:is>
          <x:t xml:space="preserve">Client may terminate any time with 30 days notice</x:t>
        </x:is>
      </x:c>
      <x:c r="E10" s="18" t="inlineStr">
        <x:is>
          <x:t xml:space="preserve">Pilot: no T4C (both committed). Year contract: 90-day notice; refund prepaid unused; no refund on setup fees.</x:t>
        </x:is>
      </x:c>
      <x:c r="F10" s="18" t="inlineStr">
        <x:is>
          <x:t xml:space="preserve">T4C after month 6 with 3-month kill fee.</x:t>
        </x:is>
      </x:c>
      <x:c r="G10" s="18" t="inlineStr">
        <x:is>
          <x:t xml:space="preserve">Without this, they extract value and walk. You've sunk implementation cost.</x:t>
        </x:is>
      </x:c>
    </x:row>
    <x:row r="11">
      <x:c r="B11" s="8" t="inlineStr">
        <x:is>
          <x:t xml:space="preserve">6</x:t>
        </x:is>
      </x:c>
      <x:c r="C11" s="18" t="inlineStr">
        <x:is>
          <x:t xml:space="preserve">Service levels &amp; credits</x:t>
        </x:is>
      </x:c>
      <x:c r="D11" s="18" t="inlineStr">
        <x:is>
          <x:t xml:space="preserve">99.9% uptime, escalating credits to 100% of monthly fee, breach = termination</x:t>
        </x:is>
      </x:c>
      <x:c r="E11" s="18" t="inlineStr">
        <x:is>
          <x:t xml:space="preserve">99.5% monthly. Exclusions for maintenance/force majeure/third-party. Credit cap 25%. Breach not a termination trigger unless 3 consecutive months.</x:t>
        </x:is>
      </x:c>
      <x:c r="F11" s="18" t="inlineStr">
        <x:is>
          <x:t xml:space="preserve">99.7% with cap at 50%.</x:t>
        </x:is>
      </x:c>
      <x:c r="G11" s="18" t="inlineStr">
        <x:is>
          <x:t xml:space="preserve">Solo founder can't deliver 99.99%. Don't promise it.</x:t>
        </x:is>
      </x:c>
    </x:row>
    <x:row r="12">
      <x:c r="B12" s="8" t="inlineStr">
        <x:is>
          <x:t xml:space="preserve">7</x:t>
        </x:is>
      </x:c>
      <x:c r="C12" s="18" t="inlineStr">
        <x:is>
          <x:t xml:space="preserve">Audit rights</x:t>
        </x:is>
      </x:c>
      <x:c r="D12" s="18" t="inlineStr">
        <x:is>
          <x:t xml:space="preserve">Client may audit Vendor books/systems/processes at any time on 5 days notice</x:t>
        </x:is>
      </x:c>
      <x:c r="E12" s="18" t="inlineStr">
        <x:is>
          <x:t xml:space="preserve">Once per year, mutually scheduled, scope limited to security/contract compliance, at requesting party cost, via mutually-agreed third party under NDA.</x:t>
        </x:is>
      </x:c>
      <x:c r="F12" s="18" t="inlineStr">
        <x:is>
          <x:t xml:space="preserve">Twice per year max.</x:t>
        </x:is>
      </x:c>
      <x:c r="G12" s="18" t="inlineStr">
        <x:is>
          <x:t xml:space="preserve">Without limits, audit fishing eats weeks of founder time.</x:t>
        </x:is>
      </x:c>
    </x:row>
    <x:row r="13">
      <x:c r="B13" s="8" t="inlineStr">
        <x:is>
          <x:t xml:space="preserve">8</x:t>
        </x:is>
      </x:c>
      <x:c r="C13" s="18" t="inlineStr">
        <x:is>
          <x:t xml:space="preserve">Assignment / change of control</x:t>
        </x:is>
      </x:c>
      <x:c r="D13" s="18" t="inlineStr">
        <x:is>
          <x:t xml:space="preserve">Vendor may not assign without Client consent</x:t>
        </x:is>
      </x:c>
      <x:c r="E13" s="18" t="inlineStr">
        <x:is>
          <x:t xml:space="preserve">Either party may assign in change of control, merger, or sale of substantially all assets, without consent.</x:t>
        </x:is>
      </x:c>
      <x:c r="F13" s="18" t="inlineStr">
        <x:is>
          <x:t xml:space="preserve">Consent not unreasonably withheld + deemed-granted if no response in 30 days.</x:t>
        </x:is>
      </x:c>
      <x:c r="G13" s="18" t="inlineStr">
        <x:is>
          <x:t xml:space="preserve">Without this carveout, every acquirer needs every customer sign-off. Kills exit.</x:t>
        </x:is>
      </x:c>
    </x:row>
    <x:row r="16">
      <x:c r="B16" s="5" t="inlineStr">
        <x:is>
          <x:t xml:space="preserve">Sleeper Clauses — also watch for</x:t>
        </x:is>
      </x:c>
    </x:row>
    <x:row r="17">
      <x:c r="B17" s="16" t="inlineStr">
        <x:is>
          <x:t xml:space="preserve">☐</x:t>
        </x:is>
      </x:c>
      <x:c r="C17" s="4" t="inlineStr">
        <x:is>
          <x:t xml:space="preserve">'Vendor shall comply with all Client policies, as updated from time to time' — refuse 'updated'; bind only to policies listed at signing</x:t>
        </x:is>
      </x:c>
    </x:row>
    <x:row r="18">
      <x:c r="B18" s="16" t="inlineStr">
        <x:is>
          <x:t xml:space="preserve">☐</x:t>
        </x:is>
      </x:c>
      <x:c r="C18" s="4" t="inlineStr">
        <x:is>
          <x:t xml:space="preserve">'Time is of the essence' — strike (makes every deadline a breach trigger)</x:t>
        </x:is>
      </x:c>
    </x:row>
    <x:row r="19">
      <x:c r="B19" s="16" t="inlineStr">
        <x:is>
          <x:t xml:space="preserve">☐</x:t>
        </x:is>
      </x:c>
      <x:c r="C19" s="4" t="inlineStr">
        <x:is>
          <x:t xml:space="preserve">'Vendor's personnel shall be subject to Client's approval' — limit to 'reasonable cause' or strike</x:t>
        </x:is>
      </x:c>
    </x:row>
    <x:row r="20">
      <x:c r="B20" s="16" t="inlineStr">
        <x:is>
          <x:t xml:space="preserve">☐</x:t>
        </x:is>
      </x:c>
      <x:c r="C20" s="4" t="inlineStr">
        <x:is>
          <x:t xml:space="preserve">Background check OK; resist drug testing as solo founder</x:t>
        </x:is>
      </x:c>
    </x:row>
    <x:row r="21">
      <x:c r="B21" s="16" t="inlineStr">
        <x:is>
          <x:t xml:space="preserve">☐</x:t>
        </x:is>
      </x:c>
      <x:c r="C21" s="4" t="inlineStr">
        <x:is>
          <x:t xml:space="preserve">Insurance amounts $10M+ — push back, match your binder ($2-5M), bump at year-2 if needed</x:t>
        </x:is>
      </x:c>
    </x:row>
    <x:row r="22">
      <x:c r="B22" s="16" t="inlineStr">
        <x:is>
          <x:t xml:space="preserve">☐</x:t>
        </x:is>
      </x:c>
      <x:c r="C22" s="4" t="inlineStr">
        <x:is>
          <x:t xml:space="preserve">'Vendor shall not work with competitors' — refuse; or limit to one named competitor for term</x:t>
        </x:is>
      </x:c>
    </x:row>
    <x:row r="23">
      <x:c r="B23" s="16" t="inlineStr">
        <x:is>
          <x:t xml:space="preserve">☐</x:t>
        </x:is>
      </x:c>
      <x:c r="C23" s="4" t="inlineStr">
        <x:is>
          <x:t xml:space="preserve">Source code escrow — accept; specify Iron Mountain; release triggers limited to bankruptcy/cessation</x:t>
        </x:is>
      </x:c>
    </x:row>
    <x:row r="24">
      <x:c r="B24" s="16" t="inlineStr">
        <x:is>
          <x:t xml:space="preserve">☐</x:t>
        </x:is>
      </x:c>
      <x:c r="C24" s="4" t="inlineStr">
        <x:is>
          <x:t xml:space="preserve">Right to inject security tools into your systems — refuse; security must stay in your control</x:t>
        </x:is>
      </x:c>
    </x:row>
    <x:row r="25">
      <x:c r="B25" s="16" t="inlineStr">
        <x:is>
          <x:t xml:space="preserve">☐</x:t>
        </x:is>
      </x:c>
      <x:c r="C25" s="4" t="inlineStr">
        <x:is>
          <x:t xml:space="preserve">Liquidated damages (pre-set penalties) — strike; use SLA credits instead</x:t>
        </x:is>
      </x:c>
    </x:row>
    <x:row r="26">
      <x:c r="B26" s="16" t="inlineStr">
        <x:is>
          <x:t xml:space="preserve">☐</x:t>
        </x:is>
      </x:c>
      <x:c r="C26" s="4" t="inlineStr">
        <x:is>
          <x:t xml:space="preserve">'Services will meet Client business requirements' (subjective) — change to 'materially conform to documented specs'</x:t>
        </x:is>
      </x:c>
    </x:row>
    <x:row r="27">
      <x:c r="B27" s="16" t="inlineStr">
        <x:is>
          <x:t xml:space="preserve">☐</x:t>
        </x:is>
      </x:c>
      <x:c r="C27" s="4" t="inlineStr">
        <x:is>
          <x:t xml:space="preserve">Data location/sovereignty for international clients — pre-think: 'Data resides in [region] Azure; cross-region not supported without addendum'</x:t>
        </x:is>
      </x:c>
    </x:row>
    <x:row r="30">
      <x:c r="B30" s="5" t="inlineStr">
        <x:is>
          <x:t xml:space="preserve">NDA-Specific Redlines (usually arrives first)</x:t>
        </x:is>
      </x:c>
    </x:row>
    <x:row r="31">
      <x:c r="B31" s="16" t="inlineStr">
        <x:is>
          <x:t xml:space="preserve">☐</x:t>
        </x:is>
      </x:c>
      <x:c r="C31" s="4" t="inlineStr">
        <x:is>
          <x:t xml:space="preserve">Strike any IP-assignment clause ('IP created during evaluation belongs to Client')</x:t>
        </x:is>
      </x:c>
    </x:row>
    <x:row r="32">
      <x:c r="B32" s="16" t="inlineStr">
        <x:is>
          <x:t xml:space="preserve">☐</x:t>
        </x:is>
      </x:c>
      <x:c r="C32" s="4" t="inlineStr">
        <x:is>
          <x:t xml:space="preserve">Strike or narrow non-solicit of customers (blocks you from competitors)</x:t>
        </x:is>
      </x:c>
    </x:row>
    <x:row r="33">
      <x:c r="B33" s="16" t="inlineStr">
        <x:is>
          <x:t xml:space="preserve">☐</x:t>
        </x:is>
      </x:c>
      <x:c r="C33" s="4" t="inlineStr">
        <x:is>
          <x:t xml:space="preserve">Add publicity carveout: 'Vendor may include Client in customer list and use logo with prior written consent'</x:t>
        </x:is>
      </x:c>
    </x:row>
    <x:row r="34">
      <x:c r="B34" s="16" t="inlineStr">
        <x:is>
          <x:t xml:space="preserve">☐</x:t>
        </x:is>
      </x:c>
      <x:c r="C34" s="4" t="inlineStr">
        <x:is>
          <x:t xml:space="preserve">Cap term at 2-3 years (not 5+)</x:t>
        </x:is>
      </x:c>
    </x:row>
    <x:row r="35">
      <x:c r="B35" s="16" t="inlineStr">
        <x:is>
          <x:t xml:space="preserve">☐</x:t>
        </x:is>
      </x:c>
      <x:c r="C35" s="4" t="inlineStr">
        <x:is>
          <x:t xml:space="preserve">Insist on residual knowledge clause (protects what you remember in your head)</x:t>
        </x:is>
      </x:c>
    </x:row>
  </x:sheetData>
  <x:mergeCells>
    <x:mergeCell ref="B16:G16"/>
    <x:mergeCell ref="C35:G35"/>
    <x:mergeCell ref="C21:G21"/>
    <x:mergeCell ref="C20:G20"/>
    <x:mergeCell ref="C34:G34"/>
    <x:mergeCell ref="C32:G32"/>
    <x:mergeCell ref="C24:G24"/>
    <x:mergeCell ref="B30:G30"/>
    <x:mergeCell ref="C33:G33"/>
    <x:mergeCell ref="C25:G25"/>
    <x:mergeCell ref="C27:G27"/>
    <x:mergeCell ref="C19:G19"/>
    <x:mergeCell ref="C31:G31"/>
    <x:mergeCell ref="C23:G23"/>
    <x:mergeCell ref="C22:G22"/>
    <x:mergeCell ref="C18:G18"/>
    <x:mergeCell ref="C17:G17"/>
    <x:mergeCell ref="C26:G26"/>
  </x:mergeCell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baseColWidth="8" defaultRowHeight="15"/>
  <x:cols>
    <x:col min="1" max="1" width="2" customWidth="1"/>
    <x:col min="2" max="2" width="5" customWidth="1"/>
    <x:col min="3" max="3" width="50" customWidth="1"/>
    <x:col min="4" max="4" width="12" customWidth="1"/>
    <x:col min="5" max="5" width="10" customWidth="1"/>
    <x:col min="6" max="6" width="8" customWidth="1"/>
    <x:col min="7" max="7" width="60" customWidth="1"/>
    <x:col min="8" max="8" width="10" customWidth="1"/>
    <x:col min="9" max="9" width="12" customWidth="1"/>
  </x:cols>
  <x:sheetData>
    <x:row r="2">
      <x:c r="B2" s="1" t="inlineStr">
        <x:is>
          <x:t xml:space="preserve">Risk Register</x:t>
        </x:is>
      </x:c>
    </x:row>
    <x:row r="3">
      <x:c r="B3" s="2" t="inlineStr">
        <x:is>
          <x:t xml:space="preserve">Likelihood × Impact (1=Low, 5=High). Score = L × I. Sort descending to triage.</x:t>
        </x:is>
      </x:c>
    </x:row>
    <x:row r="5">
      <x:c r="B5" s="8" t="inlineStr">
        <x:is>
          <x:t xml:space="preserve">#</x:t>
        </x:is>
      </x:c>
      <x:c r="C5" s="8" t="inlineStr">
        <x:is>
          <x:t xml:space="preserve">Risk</x:t>
        </x:is>
      </x:c>
      <x:c r="D5" s="8" t="inlineStr">
        <x:is>
          <x:t xml:space="preserve">Likelihood (1-5)</x:t>
        </x:is>
      </x:c>
      <x:c r="E5" s="8" t="inlineStr">
        <x:is>
          <x:t xml:space="preserve">Impact (1-5)</x:t>
        </x:is>
      </x:c>
      <x:c r="F5" s="8" t="inlineStr">
        <x:is>
          <x:t xml:space="preserve">Score</x:t>
        </x:is>
      </x:c>
      <x:c r="G5" s="8" t="inlineStr">
        <x:is>
          <x:t xml:space="preserve">Mitigation</x:t>
        </x:is>
      </x:c>
      <x:c r="H5" s="8" t="inlineStr">
        <x:is>
          <x:t xml:space="preserve">Owner</x:t>
        </x:is>
      </x:c>
      <x:c r="I5" s="8" t="inlineStr">
        <x:is>
          <x:t xml:space="preserve">Status</x:t>
        </x:is>
      </x:c>
    </x:row>
    <x:row r="6">
      <x:c r="B6" s="9" t="n">
        <x:v>1</x:v>
      </x:c>
      <x:c r="C6" s="18" t="inlineStr">
        <x:is>
          <x:t xml:space="preserve">Client demands unlimited liability — refuses to budge</x:t>
        </x:is>
      </x:c>
      <x:c r="D6" s="9" t="n">
        <x:v>4</x:v>
      </x:c>
      <x:c r="E6" s="9" t="n">
        <x:v>5</x:v>
      </x:c>
      <x:c r="F6" s="30" t="n">
        <x:f>D6*E6</x:f>
        <x:v>20</x:v>
      </x:c>
      <x:c r="G6" s="18" t="inlineStr">
        <x:is>
          <x:t xml:space="preserve">Walk if pushed past 2x ACV cap; have lawyer pre-script position</x:t>
        </x:is>
      </x:c>
      <x:c r="H6" s="18" t="inlineStr">
        <x:is>
          <x:t xml:space="preserve">Anand</x:t>
        </x:is>
      </x:c>
      <x:c r="I6" s="18" t="inlineStr">
        <x:is>
          <x:t xml:space="preserve">Open</x:t>
        </x:is>
      </x:c>
    </x:row>
    <x:row r="7">
      <x:c r="B7" s="9" t="n">
        <x:v>2</x:v>
      </x:c>
      <x:c r="C7" s="18" t="inlineStr">
        <x:is>
          <x:t xml:space="preserve">Client IP clause assigns improvements to them</x:t>
        </x:is>
      </x:c>
      <x:c r="D7" s="9" t="n">
        <x:v>4</x:v>
      </x:c>
      <x:c r="E7" s="9" t="n">
        <x:v>5</x:v>
      </x:c>
      <x:c r="F7" s="30" t="n">
        <x:f>D7*E7</x:f>
        <x:v>20</x:v>
      </x:c>
      <x:c r="G7" s="18" t="inlineStr">
        <x:is>
          <x:t xml:space="preserve">Hard-stop redline; carve perpetual license instead</x:t>
        </x:is>
      </x:c>
      <x:c r="H7" s="18" t="inlineStr">
        <x:is>
          <x:t xml:space="preserve">Anand</x:t>
        </x:is>
      </x:c>
      <x:c r="I7" s="18" t="inlineStr">
        <x:is>
          <x:t xml:space="preserve">Open</x:t>
        </x:is>
      </x:c>
    </x:row>
    <x:row r="8">
      <x:c r="B8" s="9" t="n">
        <x:v>3</x:v>
      </x:c>
      <x:c r="C8" s="18" t="inlineStr">
        <x:is>
          <x:t xml:space="preserve">Net 60/90 payment terms starve cash</x:t>
        </x:is>
      </x:c>
      <x:c r="D8" s="9" t="n">
        <x:v>5</x:v>
      </x:c>
      <x:c r="E8" s="9" t="n">
        <x:v>4</x:v>
      </x:c>
      <x:c r="F8" s="30" t="n">
        <x:f>D8*E8</x:f>
        <x:v>20</x:v>
      </x:c>
      <x:c r="G8" s="18" t="inlineStr">
        <x:is>
          <x:t xml:space="preserve">Insist on Net 30 or annual pre-pay; offer 7.5% discount for pre-pay</x:t>
        </x:is>
      </x:c>
      <x:c r="H8" s="18" t="inlineStr">
        <x:is>
          <x:t xml:space="preserve">Anand</x:t>
        </x:is>
      </x:c>
      <x:c r="I8" s="18" t="inlineStr">
        <x:is>
          <x:t xml:space="preserve">Open</x:t>
        </x:is>
      </x:c>
    </x:row>
    <x:row r="9">
      <x:c r="B9" s="9" t="n">
        <x:v>4</x:v>
      </x:c>
      <x:c r="C9" s="18" t="inlineStr">
        <x:is>
          <x:t xml:space="preserve">Solo founder = key-person risk in their security review</x:t>
        </x:is>
      </x:c>
      <x:c r="D9" s="9" t="n">
        <x:v>5</x:v>
      </x:c>
      <x:c r="E9" s="9" t="n">
        <x:v>3</x:v>
      </x:c>
      <x:c r="F9" s="30" t="n">
        <x:f>D9*E9</x:f>
        <x:v>15</x:v>
      </x:c>
      <x:c r="G9" s="18" t="inlineStr">
        <x:is>
          <x:t xml:space="preserve">Address in SOW with documented runbooks; commit to hire by month 6</x:t>
        </x:is>
      </x:c>
      <x:c r="H9" s="18" t="inlineStr">
        <x:is>
          <x:t xml:space="preserve">Anand</x:t>
        </x:is>
      </x:c>
      <x:c r="I9" s="18" t="inlineStr">
        <x:is>
          <x:t xml:space="preserve">Open</x:t>
        </x:is>
      </x:c>
    </x:row>
    <x:row r="10">
      <x:c r="B10" s="9" t="n">
        <x:v>5</x:v>
      </x:c>
      <x:c r="C10" s="18" t="inlineStr">
        <x:is>
          <x:t xml:space="preserve">Token consumption blows past cap, eats margin</x:t>
        </x:is>
      </x:c>
      <x:c r="D10" s="9" t="n">
        <x:v>4</x:v>
      </x:c>
      <x:c r="E10" s="9" t="n">
        <x:v>4</x:v>
      </x:c>
      <x:c r="F10" s="30" t="n">
        <x:f>D10*E10</x:f>
        <x:v>16</x:v>
      </x:c>
      <x:c r="G10" s="18" t="inlineStr">
        <x:is>
          <x:t xml:space="preserve">Hard cap in code; weekly meter shared with client; overage at cost+20%</x:t>
        </x:is>
      </x:c>
      <x:c r="H10" s="18" t="inlineStr">
        <x:is>
          <x:t xml:space="preserve">Anand</x:t>
        </x:is>
      </x:c>
      <x:c r="I10" s="18" t="inlineStr">
        <x:is>
          <x:t xml:space="preserve">Open</x:t>
        </x:is>
      </x:c>
    </x:row>
    <x:row r="11">
      <x:c r="B11" s="9" t="n">
        <x:v>6</x:v>
      </x:c>
      <x:c r="C11" s="18" t="inlineStr">
        <x:is>
          <x:t xml:space="preserve">Accidental PHI upload by client user — no BAA in place</x:t>
        </x:is>
      </x:c>
      <x:c r="D11" s="9" t="n">
        <x:v>3</x:v>
      </x:c>
      <x:c r="E11" s="9" t="n">
        <x:v>5</x:v>
      </x:c>
      <x:c r="F11" s="30" t="n">
        <x:f>D11*E11</x:f>
        <x:v>15</x:v>
      </x:c>
      <x:c r="G11" s="18" t="inlineStr">
        <x:is>
          <x:t xml:space="preserve">Presidio pre-ingest scanner + quarantine + AUP language in SOW</x:t>
        </x:is>
      </x:c>
      <x:c r="H11" s="18" t="inlineStr">
        <x:is>
          <x:t xml:space="preserve">Anand</x:t>
        </x:is>
      </x:c>
      <x:c r="I11" s="18" t="inlineStr">
        <x:is>
          <x:t xml:space="preserve">Open</x:t>
        </x:is>
      </x:c>
    </x:row>
    <x:row r="12">
      <x:c r="B12" s="9" t="n">
        <x:v>7</x:v>
      </x:c>
      <x:c r="C12" s="18" t="inlineStr">
        <x:is>
          <x:t xml:space="preserve">SOC 2 not done by pilot signing</x:t>
        </x:is>
      </x:c>
      <x:c r="D12" s="9" t="n">
        <x:v>4</x:v>
      </x:c>
      <x:c r="E12" s="9" t="n">
        <x:v>3</x:v>
      </x:c>
      <x:c r="F12" s="30" t="n">
        <x:f>D12*E12</x:f>
        <x:v>12</x:v>
      </x:c>
      <x:c r="G12" s="18" t="inlineStr">
        <x:is>
          <x:t xml:space="preserve">Type 1 'in progress with Vanta, target [date]' usually sufficient</x:t>
        </x:is>
      </x:c>
      <x:c r="H12" s="18" t="inlineStr">
        <x:is>
          <x:t xml:space="preserve">Anand</x:t>
        </x:is>
      </x:c>
      <x:c r="I12" s="18" t="inlineStr">
        <x:is>
          <x:t xml:space="preserve">Open</x:t>
        </x:is>
      </x:c>
    </x:row>
    <x:row r="13">
      <x:c r="B13" s="9" t="n">
        <x:v>8</x:v>
      </x:c>
      <x:c r="C13" s="18" t="inlineStr">
        <x:is>
          <x:t xml:space="preserve">Pen test scheduling slips into pilot window</x:t>
        </x:is>
      </x:c>
      <x:c r="D13" s="9" t="n">
        <x:v>4</x:v>
      </x:c>
      <x:c r="E13" s="9" t="n">
        <x:v>3</x:v>
      </x:c>
      <x:c r="F13" s="30" t="n">
        <x:f>D13*E13</x:f>
        <x:v>12</x:v>
      </x:c>
      <x:c r="G13" s="18" t="inlineStr">
        <x:is>
          <x:t xml:space="preserve">Book Cobalt 4 weeks out; share report under NDA mid-pilot if needed</x:t>
        </x:is>
      </x:c>
      <x:c r="H13" s="18" t="inlineStr">
        <x:is>
          <x:t xml:space="preserve">Anand</x:t>
        </x:is>
      </x:c>
      <x:c r="I13" s="18" t="inlineStr">
        <x:is>
          <x:t xml:space="preserve">Open</x:t>
        </x:is>
      </x:c>
    </x:row>
    <x:row r="14">
      <x:c r="B14" s="9" t="n">
        <x:v>9</x:v>
      </x:c>
      <x:c r="C14" s="18" t="inlineStr">
        <x:is>
          <x:t xml:space="preserve">SSO integration with client Entra ID hits unknown edge case</x:t>
        </x:is>
      </x:c>
      <x:c r="D14" s="9" t="n">
        <x:v>3</x:v>
      </x:c>
      <x:c r="E14" s="9" t="n">
        <x:v>4</x:v>
      </x:c>
      <x:c r="F14" s="30" t="n">
        <x:f>D14*E14</x:f>
        <x:v>12</x:v>
      </x:c>
      <x:c r="G14" s="18" t="inlineStr">
        <x:is>
          <x:t xml:space="preserve">Clerk B2B handles 95%; budget 2-day spike before kickoff for testing</x:t>
        </x:is>
      </x:c>
      <x:c r="H14" s="18" t="inlineStr">
        <x:is>
          <x:t xml:space="preserve">Anand</x:t>
        </x:is>
      </x:c>
      <x:c r="I14" s="18" t="inlineStr">
        <x:is>
          <x:t xml:space="preserve">Open</x:t>
        </x:is>
      </x:c>
    </x:row>
    <x:row r="15">
      <x:c r="B15" s="9" t="n">
        <x:v>10</x:v>
      </x:c>
      <x:c r="C15" s="18" t="inlineStr">
        <x:is>
          <x:t xml:space="preserve">Client demands custom feature fork during pilot</x:t>
        </x:is>
      </x:c>
      <x:c r="D15" s="9" t="n">
        <x:v>5</x:v>
      </x:c>
      <x:c r="E15" s="9" t="n">
        <x:v>4</x:v>
      </x:c>
      <x:c r="F15" s="30" t="n">
        <x:f>D15*E15</x:f>
        <x:v>20</x:v>
      </x:c>
      <x:c r="G15" s="18" t="inlineStr">
        <x:is>
          <x:t xml:space="preserve">SOW language: AbarVa owns roadmap; custom = change order at $400/hr or roadmap inclusion</x:t>
        </x:is>
      </x:c>
      <x:c r="H15" s="18" t="inlineStr">
        <x:is>
          <x:t xml:space="preserve">Anand</x:t>
        </x:is>
      </x:c>
      <x:c r="I15" s="18" t="inlineStr">
        <x:is>
          <x:t xml:space="preserve">Open</x:t>
        </x:is>
      </x:c>
    </x:row>
    <x:row r="16">
      <x:c r="B16" s="9" t="n">
        <x:v>11</x:v>
      </x:c>
      <x:c r="C16" s="18" t="inlineStr">
        <x:is>
          <x:t xml:space="preserve">Insurance underwriting delayed past signing date</x:t>
        </x:is>
      </x:c>
      <x:c r="D16" s="9" t="n">
        <x:v>3</x:v>
      </x:c>
      <x:c r="E16" s="9" t="n">
        <x:v>4</x:v>
      </x:c>
      <x:c r="F16" s="30" t="n">
        <x:f>D16*E16</x:f>
        <x:v>12</x:v>
      </x:c>
      <x:c r="G16" s="18" t="inlineStr">
        <x:is>
          <x:t xml:space="preserve">Quote in Week 1; bind 2 weeks before; have COI ready</x:t>
        </x:is>
      </x:c>
      <x:c r="H16" s="18" t="inlineStr">
        <x:is>
          <x:t xml:space="preserve">Anand</x:t>
        </x:is>
      </x:c>
      <x:c r="I16" s="18" t="inlineStr">
        <x:is>
          <x:t xml:space="preserve">Open</x:t>
        </x:is>
      </x:c>
    </x:row>
    <x:row r="17">
      <x:c r="B17" s="9" t="n">
        <x:v>12</x:v>
      </x:c>
      <x:c r="C17" s="18" t="inlineStr">
        <x:is>
          <x:t xml:space="preserve">Lawyer fees blow past $10k budget on first deal</x:t>
        </x:is>
      </x:c>
      <x:c r="D17" s="9" t="n">
        <x:v>3</x:v>
      </x:c>
      <x:c r="E17" s="9" t="n">
        <x:v>2</x:v>
      </x:c>
      <x:c r="F17" s="30" t="n">
        <x:f>D17*E17</x:f>
        <x:v>6</x:v>
      </x:c>
      <x:c r="G17" s="18" t="inlineStr">
        <x:is>
          <x:t xml:space="preserve">Cap engagement at fixed fee; redline brief reduces back-and-forth</x:t>
        </x:is>
      </x:c>
      <x:c r="H17" s="18" t="inlineStr">
        <x:is>
          <x:t xml:space="preserve">Anand</x:t>
        </x:is>
      </x:c>
      <x:c r="I17" s="18" t="inlineStr">
        <x:is>
          <x:t xml:space="preserve">Open</x:t>
        </x:is>
      </x:c>
    </x:row>
    <x:row r="18">
      <x:c r="B18" s="9" t="n">
        <x:v>13</x:v>
      </x:c>
      <x:c r="C18" s="18" t="inlineStr">
        <x:is>
          <x:t xml:space="preserve">Pilot success criteria are vague — month-3 conversion stalls</x:t>
        </x:is>
      </x:c>
      <x:c r="D18" s="9" t="n">
        <x:v>4</x:v>
      </x:c>
      <x:c r="E18" s="9" t="n">
        <x:v>5</x:v>
      </x:c>
      <x:c r="F18" s="30" t="n">
        <x:f>D18*E18</x:f>
        <x:v>20</x:v>
      </x:c>
      <x:c r="G18" s="18" t="inlineStr">
        <x:is>
          <x:t xml:space="preserve">Lock criteria pre-signing; auto-convert unless opt-out with cause</x:t>
        </x:is>
      </x:c>
      <x:c r="H18" s="18" t="inlineStr">
        <x:is>
          <x:t xml:space="preserve">Anand</x:t>
        </x:is>
      </x:c>
      <x:c r="I18" s="18" t="inlineStr">
        <x:is>
          <x:t xml:space="preserve">Open</x:t>
        </x:is>
      </x:c>
    </x:row>
    <x:row r="19">
      <x:c r="B19" s="9" t="n">
        <x:v>14</x:v>
      </x:c>
      <x:c r="C19" s="18" t="inlineStr">
        <x:is>
          <x:t xml:space="preserve">Founder time consumed by operations, no time for product</x:t>
        </x:is>
      </x:c>
      <x:c r="D19" s="9" t="n">
        <x:v>5</x:v>
      </x:c>
      <x:c r="E19" s="9" t="n">
        <x:v>4</x:v>
      </x:c>
      <x:c r="F19" s="30" t="n">
        <x:f>D19*E19</x:f>
        <x:v>20</x:v>
      </x:c>
      <x:c r="G19" s="18" t="inlineStr">
        <x:is>
          <x:t xml:space="preserve">Build admin/ops surface for self-service; weekly cadence not daily</x:t>
        </x:is>
      </x:c>
      <x:c r="H19" s="18" t="inlineStr">
        <x:is>
          <x:t xml:space="preserve">Anand</x:t>
        </x:is>
      </x:c>
      <x:c r="I19" s="18" t="inlineStr">
        <x:is>
          <x:t xml:space="preserve">Open</x:t>
        </x:is>
      </x:c>
    </x:row>
    <x:row r="20">
      <x:c r="B20" s="9" t="n">
        <x:v>15</x:v>
      </x:c>
      <x:c r="C20" s="18" t="inlineStr">
        <x:is>
          <x:t xml:space="preserve">Client requires CMK/BYOK on day 1</x:t>
        </x:is>
      </x:c>
      <x:c r="D20" s="9" t="n">
        <x:v>2</x:v>
      </x:c>
      <x:c r="E20" s="9" t="n">
        <x:v>3</x:v>
      </x:c>
      <x:c r="F20" s="30" t="n">
        <x:f>D20*E20</x:f>
        <x:v>6</x:v>
      </x:c>
      <x:c r="G20" s="18" t="inlineStr">
        <x:is>
          <x:t xml:space="preserve">Azure Key Vault path documented; build only if asked</x:t>
        </x:is>
      </x:c>
      <x:c r="H20" s="18" t="inlineStr">
        <x:is>
          <x:t xml:space="preserve">Anand</x:t>
        </x:is>
      </x:c>
      <x:c r="I20" s="18" t="inlineStr">
        <x:is>
          <x:t xml:space="preserve">Open</x:t>
        </x:is>
      </x:c>
    </x:row>
  </x:sheetData>
  <x:conditionalFormatting sqref="F6:F70">
    <x:cfRule type="cellIs" dxfId="10" priority="1" operator="greaterThanOrEqual">
      <x:formula>15</x:formula>
    </x:cfRule>
    <x:cfRule type="cellIs" dxfId="11" priority="2" operator="between">
      <x:formula>8</x:formula>
      <x:formula>14</x:formula>
    </x:cfRule>
    <x:cfRule type="cellIs" dxfId="12" priority="3" operator="lessThanOrEqual">
      <x:formula>7</x:formula>
    </x:cfRule>
  </x:conditionalFormatting>
  <x:dataValidations count="1">
    <x:dataValidation type="list" allowBlank="0" showDropDown="0" showInputMessage="0" showErrorMessage="0" sqref="I6:I70">
      <x:formula1>"Open,Mitigated,Accepted,Closed"</x:formula1>
    </x:dataValidation>
  </x:dataValidations>
  <x:pageMargins left="0.7" right="0.7" top="0.75" bottom="0.75" header="0.3" footer="0.3"/>
</x:worksheet>
</file>