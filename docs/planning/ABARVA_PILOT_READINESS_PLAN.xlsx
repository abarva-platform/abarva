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README" sheetId="1" state="visible" r:id="rId1"/>
    <sheet name="Dashboard" sheetId="2" state="visible" r:id="rId2"/>
    <sheet name="Plan" sheetId="3" state="visible" r:id="rId3"/>
    <sheet name="PHS Pilot Backlog" sheetId="4" state="visible" r:id="rId4"/>
    <sheet name="Codex Queue" sheetId="5" state="visible" r:id="rId5"/>
    <sheet name="Governance" sheetId="6" state="visible" r:id="rId6"/>
    <sheet name="Pricing" sheetId="7" state="visible" r:id="rId7"/>
    <sheet name="Cost Model" sheetId="8" state="visible" r:id="rId8"/>
    <sheet name="BC - PHS" sheetId="9" state="visible" r:id="rId9"/>
    <sheet name="BC - Surekha" sheetId="10" state="visible" r:id="rId10"/>
    <sheet name="BC - Delta" sheetId="11" state="visible" r:id="rId11"/>
    <sheet name="Security Pack" sheetId="12" state="visible" r:id="rId12"/>
    <sheet name="Redline Brief" sheetId="13" state="visible" r:id="rId13"/>
    <sheet name="Risks" sheetId="14" state="visible" r:id="rId14"/>
    <sheet name="Env Model Exec" sheetId="15" state="visible" r:id="rId15"/>
    <sheet name="Env Execution Plan" sheetId="16" state="visible" r:id="rId16"/>
    <sheet name="Client Env Factory" sheetId="17" state="visible" r:id="rId17"/>
    <sheet name="Repo CI Gates" sheetId="18" state="visible" r:id="rId18"/>
    <sheet name="Start After Backlog" sheetId="19" state="visible" r:id="rId19"/>
  </sheets>
  <definedNames/>
</workbook>
</file>

<file path=xl/styles.xml><?xml version="1.0" encoding="utf-8"?>
<styleSheet xmlns="http://schemas.openxmlformats.org/spreadsheetml/2006/main">
  <numFmts count="7">
    <numFmt numFmtId="164" formatCode="0.0%"/>
    <numFmt numFmtId="165" formatCode="$#,##0"/>
    <numFmt numFmtId="166" formatCode="$#,##0.00"/>
    <numFmt numFmtId="167" formatCode="$#,##0;($#,##0);-"/>
    <numFmt numFmtId="168" formatCode="0.0&quot;x&quot;"/>
    <numFmt numFmtId="169" formatCode="&quot;$&quot;#,##0;(&quot;$&quot;#,##0);&quot;-&quot;"/>
    <numFmt numFmtId="170" formatCode="&quot;$&quot;#,##0"/>
  </numFmts>
  <fonts count="41">
    <font>
      <name val="Calibri"/>
      <color theme="1"/>
      <sz val="11"/>
    </font>
    <font>
      <name val="Arial"/>
      <b val="1"/>
      <color rgb="FF111827"/>
      <sz val="18"/>
    </font>
    <font>
      <name val="Arial"/>
      <i val="1"/>
      <color rgb="FF6B7280"/>
      <sz val="10"/>
    </font>
    <font>
      <name val="Arial"/>
      <b val="1"/>
      <sz val="10"/>
    </font>
    <font>
      <name val="Arial"/>
      <sz val="10"/>
    </font>
    <font>
      <name val="Arial"/>
      <b val="1"/>
      <color rgb="FFFFFFFF"/>
      <sz val="11"/>
    </font>
    <font>
      <name val="Arial"/>
      <b val="1"/>
      <sz val="11"/>
    </font>
    <font>
      <name val="Arial"/>
      <b val="1"/>
      <color rgb="FFFFFFFF"/>
      <sz val="10"/>
    </font>
    <font>
      <name val="Arial"/>
      <sz val="12"/>
    </font>
    <font>
      <name val="Arial"/>
      <b val="1"/>
      <color rgb="FF0000FF"/>
      <sz val="10"/>
    </font>
    <font>
      <name val="Arial"/>
      <color rgb="FF000000"/>
      <sz val="10"/>
    </font>
    <font>
      <name val="Arial"/>
      <b val="1"/>
      <color rgb="FF065F46"/>
      <sz val="10"/>
    </font>
    <font>
      <name val="Arial"/>
      <color rgb="FF065F46"/>
      <sz val="10"/>
    </font>
    <font>
      <name val="Arial"/>
      <b val="1"/>
      <color rgb="FF1E3A8A"/>
      <sz val="10"/>
    </font>
    <font>
      <name val="Arial"/>
      <color rgb="FF1E3A8A"/>
      <sz val="10"/>
    </font>
    <font>
      <name val="Arial"/>
      <b val="1"/>
      <color rgb="FF78350F"/>
      <sz val="10"/>
    </font>
    <font>
      <name val="Arial"/>
      <color rgb="FF78350F"/>
      <sz val="10"/>
    </font>
    <font>
      <name val="Arial"/>
      <b val="1"/>
      <color rgb="FF7F1D1D"/>
      <sz val="10"/>
    </font>
    <font>
      <name val="Arial"/>
      <color rgb="FF7F1D1D"/>
      <sz val="10"/>
    </font>
    <font>
      <name val="Arial"/>
      <b val="1"/>
      <color rgb="FF7C2D12"/>
      <sz val="10"/>
    </font>
    <font>
      <name val="Arial"/>
      <color rgb="FF7C2D12"/>
      <sz val="10"/>
    </font>
    <font>
      <name val="Arial"/>
      <b val="1"/>
      <color rgb="FF111827"/>
      <sz val="13"/>
    </font>
    <font>
      <name val="Arial"/>
      <b val="1"/>
      <color rgb="FFFFFFFF"/>
      <sz val="14"/>
    </font>
    <font>
      <name val="Arial"/>
      <b val="1"/>
      <color rgb="FFDC2626"/>
      <sz val="12"/>
    </font>
    <font>
      <name val="Arial"/>
      <b val="1"/>
      <color rgb="FF1E3A8A"/>
      <sz val="12"/>
    </font>
    <font>
      <name val="Arial"/>
      <b val="1"/>
      <color rgb="FF65A30D"/>
      <sz val="12"/>
    </font>
    <font>
      <name val="Arial"/>
      <b val="1"/>
      <color rgb="FFDC2626"/>
      <sz val="10"/>
    </font>
    <font>
      <name val="Arial"/>
      <b val="1"/>
      <color rgb="FFFFFFFF"/>
      <sz val="13"/>
    </font>
    <font>
      <name val="Arial"/>
      <b val="1"/>
      <color rgb="FF374151"/>
      <sz val="10"/>
    </font>
    <font>
      <name val="Menlo"/>
      <sz val="9"/>
    </font>
    <font>
      <name val="Arial"/>
      <b val="1"/>
      <color rgb="FFFFFFFF"/>
      <sz val="11"/>
    </font>
    <font>
      <name val="Arial"/>
      <i val="1"/>
      <color rgb="FF666666"/>
      <sz val="9"/>
    </font>
    <font>
      <name val="Arial"/>
      <b val="1"/>
      <color rgb="FF0000FF"/>
      <sz val="10"/>
    </font>
    <font>
      <name val="Arial"/>
      <color rgb="FF000000"/>
      <sz val="10"/>
    </font>
    <font>
      <name val="Calibri"/>
      <b val="1"/>
      <color rgb="FFFFFFFF"/>
      <sz val="18"/>
    </font>
    <font>
      <name val="Calibri"/>
      <i val="1"/>
      <color rgb="FF1F2937"/>
      <sz val="11"/>
    </font>
    <font>
      <name val="Calibri"/>
      <b val="1"/>
      <color rgb="FFFFFFFF"/>
      <sz val="11"/>
    </font>
    <font>
      <name val="Calibri"/>
      <color rgb="FF111827"/>
      <sz val="10"/>
    </font>
    <font>
      <b val="1"/>
      <color rgb="000F172A"/>
      <sz val="16"/>
    </font>
    <font>
      <i val="1"/>
      <color rgb="00475569"/>
    </font>
    <font>
      <b val="1"/>
      <color rgb="00FFFFFF"/>
    </font>
  </fonts>
  <fills count="31">
    <fill>
      <patternFill/>
    </fill>
    <fill>
      <patternFill patternType="gray125"/>
    </fill>
    <fill>
      <patternFill patternType="solid">
        <fgColor rgb="FF1F2937"/>
      </patternFill>
    </fill>
    <fill>
      <patternFill patternType="solid">
        <fgColor rgb="FFE5E7EB"/>
      </patternFill>
    </fill>
    <fill>
      <patternFill patternType="solid">
        <fgColor rgb="FFDC2626"/>
      </patternFill>
    </fill>
    <fill>
      <patternFill patternType="solid">
        <fgColor rgb="FFEA580C"/>
      </patternFill>
    </fill>
    <fill>
      <patternFill patternType="solid">
        <fgColor rgb="FFCA8A04"/>
      </patternFill>
    </fill>
    <fill>
      <patternFill patternType="solid">
        <fgColor rgb="FF65A30D"/>
      </patternFill>
    </fill>
    <fill>
      <patternFill patternType="solid">
        <fgColor rgb="FFFFFFCC"/>
      </patternFill>
    </fill>
    <fill>
      <patternFill patternType="solid">
        <fgColor rgb="FF86EFAC"/>
      </patternFill>
    </fill>
    <fill>
      <patternFill patternType="solid">
        <fgColor rgb="FFF3F4F6"/>
      </patternFill>
    </fill>
    <fill>
      <patternFill patternType="solid">
        <fgColor rgb="FF93C5FD"/>
      </patternFill>
    </fill>
    <fill>
      <patternFill patternType="solid">
        <fgColor rgb="FFFDE68A"/>
      </patternFill>
    </fill>
    <fill>
      <patternFill patternType="solid">
        <fgColor rgb="FFFCA5A5"/>
      </patternFill>
    </fill>
    <fill>
      <patternFill patternType="solid">
        <fgColor rgb="FFFDBA74"/>
      </patternFill>
    </fill>
    <fill>
      <patternFill patternType="solid">
        <fgColor rgb="FFFEF9C3"/>
      </patternFill>
    </fill>
    <fill>
      <patternFill patternType="solid">
        <fgColor rgb="FFD1FAE5"/>
      </patternFill>
    </fill>
    <fill>
      <patternFill patternType="solid">
        <fgColor rgb="FFFEF3C7"/>
      </patternFill>
    </fill>
    <fill>
      <patternFill patternType="solid">
        <fgColor rgb="FFBFDBFE"/>
      </patternFill>
    </fill>
    <fill>
      <patternFill patternType="solid">
        <fgColor rgb="FFFED7AA"/>
      </patternFill>
    </fill>
    <fill>
      <patternFill patternType="solid">
        <fgColor rgb="FF1E3A8A"/>
      </patternFill>
    </fill>
    <fill>
      <patternFill patternType="solid">
        <fgColor rgb="FFF9FAFB"/>
      </patternFill>
    </fill>
    <fill>
      <patternFill patternType="solid">
        <fgColor rgb="FF0F172A"/>
      </patternFill>
    </fill>
    <fill>
      <patternFill patternType="solid">
        <fgColor rgb="FF0F172A"/>
      </patternFill>
    </fill>
    <fill>
      <patternFill patternType="solid">
        <fgColor rgb="FFFFF2CC"/>
      </patternFill>
    </fill>
    <fill>
      <patternFill patternType="solid">
        <fgColor rgb="FF1F2937"/>
      </patternFill>
    </fill>
    <fill>
      <patternFill patternType="solid">
        <fgColor rgb="FFFFFFCC"/>
      </patternFill>
    </fill>
    <fill>
      <patternFill patternType="solid">
        <fgColor rgb="FF07111F"/>
      </patternFill>
    </fill>
    <fill>
      <patternFill patternType="solid">
        <fgColor rgb="FFEAF4FF"/>
      </patternFill>
    </fill>
    <fill>
      <patternFill patternType="solid">
        <fgColor rgb="FF12213B"/>
      </patternFill>
    </fill>
    <fill>
      <patternFill patternType="solid">
        <fgColor rgb="000F172A"/>
      </patternFill>
    </fill>
  </fills>
  <borders count="24">
    <border/>
    <border>
      <left style="thin">
        <color rgb="FFD1D5DB"/>
      </left>
      <right style="thin">
        <color rgb="FFD1D5DB"/>
      </right>
      <top style="thin">
        <color rgb="FFD1D5DB"/>
      </top>
      <bottom style="thin">
        <color rgb="FFD1D5DB"/>
      </bottom>
    </border>
    <border>
      <top style="thin">
        <color rgb="FFD1D5DB"/>
      </top>
    </border>
    <border>
      <right style="thin">
        <color rgb="FFD1D5DB"/>
      </right>
      <top style="thin">
        <color rgb="FFD1D5DB"/>
      </top>
    </border>
    <border>
      <right style="thin">
        <color rgb="FFD1D5DB"/>
      </right>
      <top style="thin">
        <color rgb="FFD1D5DB"/>
      </top>
      <bottom style="thin">
        <color rgb="FFD1D5DB"/>
      </bottom>
    </border>
    <border/>
    <border>
      <top style="thin">
        <color rgb="FFD1D5DB"/>
      </top>
      <bottom style="thin">
        <color rgb="FFD1D5DB"/>
      </bottom>
    </border>
    <border>
      <left style="thin">
        <color rgb="FFD1D5DB"/>
      </left>
    </border>
    <border>
      <right style="thin">
        <color rgb="FFD1D5DB"/>
      </right>
    </border>
    <border>
      <left style="thin">
        <color rgb="FFD1D5DB"/>
      </left>
      <bottom style="thin">
        <color rgb="FFD1D5DB"/>
      </bottom>
    </border>
    <border>
      <bottom style="thin">
        <color rgb="FFD1D5DB"/>
      </bottom>
    </border>
    <border>
      <right style="thin">
        <color rgb="FFD1D5DB"/>
      </right>
      <bottom style="thin">
        <color rgb="FFD1D5DB"/>
      </bottom>
    </border>
    <border>
      <left style="thin">
        <color rgb="FFCBD5E1"/>
      </left>
      <top style="thin">
        <color rgb="FFCBD5E1"/>
      </top>
      <bottom style="thin">
        <color rgb="FFCBD5E1"/>
      </bottom>
    </border>
    <border>
      <top style="thin">
        <color rgb="FFCBD5E1"/>
      </top>
      <bottom style="thin">
        <color rgb="FFCBD5E1"/>
      </bottom>
    </border>
    <border>
      <right style="thin">
        <color rgb="FFCBD5E1"/>
      </right>
      <top style="thin">
        <color rgb="FFCBD5E1"/>
      </top>
      <bottom style="thin">
        <color rgb="FFCBD5E1"/>
      </bottom>
    </border>
    <border>
      <left style="thin">
        <color rgb="FFE5E7EB"/>
      </left>
      <top style="thin">
        <color rgb="FFE5E7EB"/>
      </top>
    </border>
    <border>
      <top style="thin">
        <color rgb="FFE5E7EB"/>
      </top>
    </border>
    <border>
      <right style="thin">
        <color rgb="FFE5E7EB"/>
      </right>
      <top style="thin">
        <color rgb="FFE5E7EB"/>
      </top>
    </border>
    <border>
      <left style="thin">
        <color rgb="FFE5E7EB"/>
      </left>
    </border>
    <border>
      <right style="thin">
        <color rgb="FFE5E7EB"/>
      </right>
    </border>
    <border>
      <left style="thin">
        <color rgb="FFE5E7EB"/>
      </left>
      <bottom style="thin">
        <color rgb="FFE5E7EB"/>
      </bottom>
    </border>
    <border>
      <bottom style="thin">
        <color rgb="FFE5E7EB"/>
      </bottom>
    </border>
    <border>
      <right style="thin">
        <color rgb="FFE5E7EB"/>
      </right>
      <bottom style="thin">
        <color rgb="FFE5E7EB"/>
      </bottom>
    </border>
    <border>
      <left style="thin">
        <color rgb="00CBD5E1"/>
      </left>
      <right style="thin">
        <color rgb="00CBD5E1"/>
      </right>
      <top style="thin">
        <color rgb="00CBD5E1"/>
      </top>
      <bottom style="thin">
        <color rgb="00CBD5E1"/>
      </bottom>
    </border>
  </borders>
  <cellStyleXfs count="1">
    <xf numFmtId="0" fontId="0" fillId="0" borderId="5"/>
  </cellStyleXfs>
  <cellXfs count="17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6" fillId="3" borderId="0" pivotButton="0" quotePrefix="0" xfId="0"/>
    <xf numFmtId="0" fontId="4" fillId="0" borderId="1" pivotButton="0" quotePrefix="0" xfId="0"/>
    <xf numFmtId="0" fontId="6" fillId="0" borderId="1" pivotButton="0" quotePrefix="0" xfId="0"/>
    <xf numFmtId="0" fontId="5" fillId="2" borderId="1" applyAlignment="1" pivotButton="0" quotePrefix="0" xfId="0">
      <alignment horizontal="center" vertical="center"/>
    </xf>
    <xf numFmtId="0" fontId="4" fillId="0" borderId="1" applyAlignment="1" pivotButton="0" quotePrefix="0" xfId="0">
      <alignment horizontal="center" vertical="center"/>
    </xf>
    <xf numFmtId="164" fontId="4" fillId="0" borderId="1" applyAlignment="1" pivotButton="0" quotePrefix="0" xfId="0">
      <alignment horizontal="center" vertical="center"/>
    </xf>
    <xf numFmtId="164" fontId="6" fillId="0" borderId="1" pivotButton="0" quotePrefix="0" xfId="0"/>
    <xf numFmtId="0" fontId="7" fillId="4" borderId="0" applyAlignment="1" pivotButton="0" quotePrefix="0" xfId="0">
      <alignment horizontal="center" vertical="center"/>
    </xf>
    <xf numFmtId="0" fontId="7" fillId="5" borderId="0" applyAlignment="1" pivotButton="0" quotePrefix="0" xfId="0">
      <alignment horizontal="center" vertical="center"/>
    </xf>
    <xf numFmtId="0" fontId="7" fillId="6" borderId="0" applyAlignment="1" pivotButton="0" quotePrefix="0" xfId="0">
      <alignment horizontal="center" vertical="center"/>
    </xf>
    <xf numFmtId="0" fontId="7" fillId="7" borderId="0" applyAlignment="1" pivotButton="0" quotePrefix="0" xfId="0">
      <alignment horizontal="center" vertical="center"/>
    </xf>
    <xf numFmtId="0" fontId="8" fillId="0" borderId="0" applyAlignment="1" pivotButton="0" quotePrefix="0" xfId="0">
      <alignment horizontal="center" vertical="center"/>
    </xf>
    <xf numFmtId="0" fontId="4" fillId="0" borderId="0" pivotButton="0" quotePrefix="0" xfId="0"/>
    <xf numFmtId="0" fontId="4" fillId="0" borderId="1" applyAlignment="1" pivotButton="0" quotePrefix="0" xfId="0">
      <alignment vertical="top" wrapText="1"/>
    </xf>
    <xf numFmtId="165" fontId="9" fillId="8" borderId="1" applyAlignment="1" pivotButton="0" quotePrefix="0" xfId="0">
      <alignment horizontal="right"/>
    </xf>
    <xf numFmtId="0" fontId="2" fillId="0" borderId="1" pivotButton="0" quotePrefix="0" xfId="0"/>
    <xf numFmtId="3" fontId="9" fillId="8" borderId="1" applyAlignment="1" pivotButton="0" quotePrefix="0" xfId="0">
      <alignment horizontal="right"/>
    </xf>
    <xf numFmtId="166" fontId="9" fillId="8" borderId="1" applyAlignment="1" pivotButton="0" quotePrefix="0" xfId="0">
      <alignment horizontal="right"/>
    </xf>
    <xf numFmtId="164" fontId="9" fillId="8" borderId="1" applyAlignment="1" pivotButton="0" quotePrefix="0" xfId="0">
      <alignment horizontal="right"/>
    </xf>
    <xf numFmtId="165" fontId="10" fillId="0" borderId="1" applyAlignment="1" pivotButton="0" quotePrefix="0" xfId="0">
      <alignment horizontal="right"/>
    </xf>
    <xf numFmtId="164" fontId="10" fillId="0" borderId="1" applyAlignment="1" pivotButton="0" quotePrefix="0" xfId="0">
      <alignment horizontal="right"/>
    </xf>
    <xf numFmtId="0" fontId="3" fillId="0" borderId="1" pivotButton="0" quotePrefix="0" xfId="0"/>
    <xf numFmtId="165" fontId="6" fillId="0" borderId="1" applyAlignment="1" pivotButton="0" quotePrefix="0" xfId="0">
      <alignment horizontal="right"/>
    </xf>
    <xf numFmtId="3" fontId="10" fillId="0" borderId="1" applyAlignment="1" pivotButton="0" quotePrefix="0" xfId="0">
      <alignment horizontal="right"/>
    </xf>
    <xf numFmtId="0" fontId="3" fillId="0" borderId="1" applyAlignment="1" pivotButton="0" quotePrefix="0" xfId="0">
      <alignment vertical="top" wrapText="1"/>
    </xf>
    <xf numFmtId="0" fontId="3" fillId="0" borderId="1" applyAlignment="1" pivotButton="0" quotePrefix="0" xfId="0">
      <alignment horizontal="center" vertical="center"/>
    </xf>
    <xf numFmtId="0" fontId="7" fillId="4" borderId="1" applyAlignment="1" pivotButton="0" quotePrefix="0" xfId="0">
      <alignment horizontal="center" vertical="center"/>
    </xf>
    <xf numFmtId="0" fontId="7" fillId="5" borderId="1" applyAlignment="1" pivotButton="0" quotePrefix="0" xfId="0">
      <alignment horizontal="center" vertical="center"/>
    </xf>
    <xf numFmtId="0" fontId="2" fillId="0" borderId="1" applyAlignment="1" pivotButton="0" quotePrefix="0" xfId="0">
      <alignment vertical="top" wrapText="1"/>
    </xf>
    <xf numFmtId="0" fontId="0" fillId="0" borderId="1" pivotButton="0" quotePrefix="0" xfId="0"/>
    <xf numFmtId="0" fontId="0" fillId="0" borderId="4" pivotButton="0" quotePrefix="0" xfId="0"/>
    <xf numFmtId="0" fontId="4" fillId="0" borderId="5" pivotButton="0" quotePrefix="0" xfId="0"/>
    <xf numFmtId="0" fontId="6" fillId="3" borderId="5" pivotButton="0" quotePrefix="0" xfId="0"/>
    <xf numFmtId="0" fontId="11" fillId="9" borderId="1" applyAlignment="1" pivotButton="0" quotePrefix="0" xfId="0">
      <alignment horizontal="center" vertical="center"/>
    </xf>
    <xf numFmtId="0" fontId="13" fillId="11" borderId="1" applyAlignment="1" pivotButton="0" quotePrefix="0" xfId="0">
      <alignment horizontal="center" vertical="center"/>
    </xf>
    <xf numFmtId="0" fontId="15" fillId="12" borderId="1" applyAlignment="1" pivotButton="0" quotePrefix="0" xfId="0">
      <alignment horizontal="center" vertical="center"/>
    </xf>
    <xf numFmtId="0" fontId="19" fillId="14" borderId="1" applyAlignment="1" pivotButton="0" quotePrefix="0" xfId="0">
      <alignment horizontal="center" vertical="center"/>
    </xf>
    <xf numFmtId="0" fontId="17" fillId="13" borderId="1" applyAlignment="1" pivotButton="0" quotePrefix="0" xfId="0">
      <alignment horizontal="center" vertical="center"/>
    </xf>
    <xf numFmtId="0" fontId="12" fillId="9" borderId="1" applyAlignment="1" pivotButton="0" quotePrefix="0" xfId="0">
      <alignment vertical="top" wrapText="1"/>
    </xf>
    <xf numFmtId="0" fontId="4" fillId="10" borderId="1" applyAlignment="1" pivotButton="0" quotePrefix="0" xfId="0">
      <alignment horizontal="center" vertical="center"/>
    </xf>
    <xf numFmtId="0" fontId="14" fillId="11" borderId="1" applyAlignment="1" pivotButton="0" quotePrefix="0" xfId="0">
      <alignment vertical="top" wrapText="1"/>
    </xf>
    <xf numFmtId="0" fontId="7" fillId="7" borderId="1" applyAlignment="1" pivotButton="0" quotePrefix="0" xfId="0">
      <alignment horizontal="center" vertical="center"/>
    </xf>
    <xf numFmtId="0" fontId="16" fillId="12" borderId="1" applyAlignment="1" pivotButton="0" quotePrefix="0" xfId="0">
      <alignment vertical="top" wrapText="1"/>
    </xf>
    <xf numFmtId="0" fontId="18" fillId="13" borderId="1" applyAlignment="1" pivotButton="0" quotePrefix="0" xfId="0">
      <alignment vertical="top" wrapText="1"/>
    </xf>
    <xf numFmtId="0" fontId="7" fillId="6" borderId="1" applyAlignment="1" pivotButton="0" quotePrefix="0" xfId="0">
      <alignment horizontal="center" vertical="center"/>
    </xf>
    <xf numFmtId="0" fontId="20" fillId="14" borderId="1" applyAlignment="1" pivotButton="0" quotePrefix="0" xfId="0">
      <alignment vertical="top" wrapText="1"/>
    </xf>
    <xf numFmtId="0" fontId="3" fillId="15" borderId="1" applyAlignment="1" pivotButton="0" quotePrefix="0" xfId="0">
      <alignment vertical="top" wrapText="1"/>
    </xf>
    <xf numFmtId="0" fontId="4" fillId="15" borderId="1" applyAlignment="1" pivotButton="0" quotePrefix="0" xfId="0">
      <alignment vertical="top" wrapText="1"/>
    </xf>
    <xf numFmtId="3" fontId="9" fillId="8" borderId="1" applyAlignment="1" pivotButton="0" quotePrefix="0" xfId="0">
      <alignment horizontal="right" vertical="top"/>
    </xf>
    <xf numFmtId="166" fontId="9" fillId="8" borderId="1" applyAlignment="1" pivotButton="0" quotePrefix="0" xfId="0">
      <alignment horizontal="right" vertical="top"/>
    </xf>
    <xf numFmtId="165" fontId="9" fillId="8" borderId="1" applyAlignment="1" pivotButton="0" quotePrefix="0" xfId="0">
      <alignment horizontal="right" vertical="top"/>
    </xf>
    <xf numFmtId="164" fontId="9" fillId="8" borderId="1" applyAlignment="1" pivotButton="0" quotePrefix="0" xfId="0">
      <alignment horizontal="right" vertical="top"/>
    </xf>
    <xf numFmtId="167" fontId="10" fillId="0" borderId="1" applyAlignment="1" pivotButton="0" quotePrefix="0" xfId="0">
      <alignment horizontal="right" vertical="top"/>
    </xf>
    <xf numFmtId="0" fontId="0" fillId="3" borderId="0" pivotButton="0" quotePrefix="0" xfId="0"/>
    <xf numFmtId="167" fontId="6" fillId="3" borderId="1" applyAlignment="1" pivotButton="0" quotePrefix="0" xfId="0">
      <alignment horizontal="right" vertical="top"/>
    </xf>
    <xf numFmtId="167" fontId="6" fillId="0" borderId="1" applyAlignment="1" pivotButton="0" quotePrefix="0" xfId="0">
      <alignment horizontal="right" vertical="top"/>
    </xf>
    <xf numFmtId="0" fontId="2" fillId="0" borderId="0" applyAlignment="1" pivotButton="0" quotePrefix="0" xfId="0">
      <alignment vertical="top" wrapText="1"/>
    </xf>
    <xf numFmtId="164" fontId="6" fillId="0" borderId="1" applyAlignment="1" pivotButton="0" quotePrefix="0" xfId="0">
      <alignment horizontal="right" vertical="top"/>
    </xf>
    <xf numFmtId="0" fontId="9" fillId="8" borderId="1" applyAlignment="1" pivotButton="0" quotePrefix="0" xfId="0">
      <alignment vertical="top" wrapText="1"/>
    </xf>
    <xf numFmtId="0" fontId="0" fillId="0" borderId="6" pivotButton="0" quotePrefix="0" xfId="0"/>
    <xf numFmtId="165" fontId="9" fillId="8" borderId="1" applyAlignment="1" pivotButton="0" quotePrefix="0" xfId="0">
      <alignment vertical="top" wrapText="1"/>
    </xf>
    <xf numFmtId="3" fontId="9" fillId="8" borderId="1" applyAlignment="1" pivotButton="0" quotePrefix="0" xfId="0">
      <alignment vertical="top" wrapText="1"/>
    </xf>
    <xf numFmtId="165" fontId="10" fillId="0" borderId="1" applyAlignment="1" pivotButton="0" quotePrefix="0" xfId="0">
      <alignment horizontal="right" vertical="top"/>
    </xf>
    <xf numFmtId="168" fontId="6" fillId="16" borderId="1" applyAlignment="1" pivotButton="0" quotePrefix="0" xfId="0">
      <alignment horizontal="right" vertical="top"/>
    </xf>
    <xf numFmtId="0" fontId="21" fillId="17" borderId="5" applyAlignment="1" pivotButton="0" quotePrefix="0" xfId="0">
      <alignment horizontal="center" vertical="center"/>
    </xf>
    <xf numFmtId="0" fontId="2" fillId="0" borderId="5" pivotButton="0" quotePrefix="0" xfId="0"/>
    <xf numFmtId="0" fontId="22" fillId="4" borderId="1" applyAlignment="1" pivotButton="0" quotePrefix="0" xfId="0">
      <alignment horizontal="center" vertical="center"/>
    </xf>
    <xf numFmtId="0" fontId="6" fillId="0" borderId="1" applyAlignment="1" pivotButton="0" quotePrefix="0" xfId="0">
      <alignment vertical="top" wrapText="1"/>
    </xf>
    <xf numFmtId="0" fontId="22" fillId="5" borderId="1" applyAlignment="1" pivotButton="0" quotePrefix="0" xfId="0">
      <alignment horizontal="center" vertical="center"/>
    </xf>
    <xf numFmtId="0" fontId="22" fillId="6" borderId="1" applyAlignment="1" pivotButton="0" quotePrefix="0" xfId="0">
      <alignment horizontal="center" vertical="center"/>
    </xf>
    <xf numFmtId="0" fontId="23" fillId="0" borderId="5" pivotButton="0" quotePrefix="0" xfId="0"/>
    <xf numFmtId="0" fontId="8" fillId="0" borderId="5" applyAlignment="1" pivotButton="0" quotePrefix="0" xfId="0">
      <alignment horizontal="center" vertical="center"/>
    </xf>
    <xf numFmtId="0" fontId="24" fillId="0" borderId="5" pivotButton="0" quotePrefix="0" xfId="0"/>
    <xf numFmtId="0" fontId="4" fillId="0" borderId="5" applyAlignment="1" pivotButton="0" quotePrefix="0" xfId="0">
      <alignment vertical="top" wrapText="1"/>
    </xf>
    <xf numFmtId="0" fontId="22" fillId="7" borderId="1" applyAlignment="1" pivotButton="0" quotePrefix="0" xfId="0">
      <alignment horizontal="center" vertical="center"/>
    </xf>
    <xf numFmtId="0" fontId="25" fillId="0" borderId="5" pivotButton="0" quotePrefix="0" xfId="0"/>
    <xf numFmtId="0" fontId="27" fillId="4" borderId="5" applyAlignment="1" pivotButton="0" quotePrefix="0" xfId="0">
      <alignment horizontal="center" vertical="center"/>
    </xf>
    <xf numFmtId="0" fontId="13" fillId="18" borderId="1" applyAlignment="1" pivotButton="0" quotePrefix="0" xfId="0">
      <alignment horizontal="center" vertical="center"/>
    </xf>
    <xf numFmtId="0" fontId="19" fillId="19" borderId="1" applyAlignment="1" pivotButton="0" quotePrefix="0" xfId="0">
      <alignment horizontal="center" vertical="center"/>
    </xf>
    <xf numFmtId="0" fontId="28" fillId="3" borderId="1" applyAlignment="1" pivotButton="0" quotePrefix="0" xfId="0">
      <alignment horizontal="center" vertical="center"/>
    </xf>
    <xf numFmtId="0" fontId="5" fillId="20" borderId="0" applyAlignment="1" pivotButton="0" quotePrefix="0" xfId="0">
      <alignment horizontal="center" vertical="center"/>
    </xf>
    <xf numFmtId="0" fontId="29" fillId="21" borderId="1" applyAlignment="1" pivotButton="0" quotePrefix="0" xfId="0">
      <alignment vertical="top" wrapText="1"/>
    </xf>
    <xf numFmtId="0" fontId="0" fillId="0" borderId="2" pivotButton="0" quotePrefix="0" xfId="0"/>
    <xf numFmtId="0" fontId="0" fillId="0" borderId="3" pivotButton="0" quotePrefix="0" xfId="0"/>
    <xf numFmtId="0" fontId="0" fillId="0" borderId="7" pivotButton="0" quotePrefix="0" xfId="0"/>
    <xf numFmtId="0" fontId="0" fillId="0" borderId="8" pivotButton="0" quotePrefix="0" xfId="0"/>
    <xf numFmtId="0" fontId="0" fillId="0" borderId="9" pivotButton="0" quotePrefix="0" xfId="0"/>
    <xf numFmtId="0" fontId="0" fillId="0" borderId="10" pivotButton="0" quotePrefix="0" xfId="0"/>
    <xf numFmtId="0" fontId="0" fillId="0" borderId="11" pivotButton="0" quotePrefix="0" xfId="0"/>
    <xf numFmtId="0" fontId="5" fillId="4" borderId="0" applyAlignment="1" pivotButton="0" quotePrefix="0" xfId="0">
      <alignment horizontal="center" vertical="center"/>
    </xf>
    <xf numFmtId="0" fontId="5" fillId="22" borderId="1" applyAlignment="1" pivotButton="0" quotePrefix="0" xfId="0">
      <alignment horizontal="center" vertical="center"/>
    </xf>
    <xf numFmtId="0" fontId="0" fillId="0" borderId="0" applyAlignment="1" pivotButton="0" quotePrefix="0" xfId="0">
      <alignment wrapText="1"/>
    </xf>
    <xf numFmtId="0" fontId="5" fillId="23" borderId="1" applyAlignment="1" pivotButton="0" quotePrefix="0" xfId="0">
      <alignment horizontal="center" vertical="center"/>
    </xf>
    <xf numFmtId="0" fontId="0" fillId="0" borderId="5" pivotButton="0" quotePrefix="0" xfId="0"/>
    <xf numFmtId="0" fontId="1" fillId="0" borderId="5" pivotButton="0" quotePrefix="0" xfId="0"/>
    <xf numFmtId="0" fontId="5" fillId="4" borderId="5" applyAlignment="1" pivotButton="0" quotePrefix="0" xfId="0">
      <alignment horizontal="center" vertical="center"/>
    </xf>
    <xf numFmtId="0" fontId="5" fillId="20" borderId="5" applyAlignment="1" pivotButton="0" quotePrefix="0" xfId="0">
      <alignment horizontal="center" vertical="center"/>
    </xf>
    <xf numFmtId="0" fontId="2" fillId="0" borderId="5" applyAlignment="1" pivotButton="0" quotePrefix="0" xfId="0">
      <alignment vertical="top" wrapText="1"/>
    </xf>
    <xf numFmtId="0" fontId="0" fillId="24" borderId="0" pivotButton="0" quotePrefix="0" xfId="0"/>
    <xf numFmtId="0" fontId="4" fillId="24" borderId="1" applyAlignment="1" pivotButton="0" quotePrefix="0" xfId="0">
      <alignment horizontal="center" vertical="center"/>
    </xf>
    <xf numFmtId="0" fontId="4" fillId="24" borderId="1" applyAlignment="1" pivotButton="0" quotePrefix="0" xfId="0">
      <alignment vertical="top" wrapText="1"/>
    </xf>
    <xf numFmtId="0" fontId="0" fillId="0" borderId="0" applyAlignment="1" pivotButton="0" quotePrefix="0" xfId="0">
      <alignment vertical="top" wrapText="1"/>
    </xf>
    <xf numFmtId="0" fontId="0" fillId="0" borderId="5" applyAlignment="1" pivotButton="0" quotePrefix="0" xfId="0">
      <alignment vertical="top" wrapText="1"/>
    </xf>
    <xf numFmtId="0" fontId="30" fillId="25" borderId="5" pivotButton="0" quotePrefix="0" xfId="0"/>
    <xf numFmtId="0" fontId="31" fillId="0" borderId="5" pivotButton="0" quotePrefix="0" xfId="0"/>
    <xf numFmtId="169" fontId="32" fillId="26" borderId="0" pivotButton="0" quotePrefix="0" xfId="0"/>
    <xf numFmtId="0" fontId="31" fillId="0" borderId="0" pivotButton="0" quotePrefix="0" xfId="0"/>
    <xf numFmtId="169" fontId="33" fillId="0" borderId="0" pivotButton="0" quotePrefix="0" xfId="0"/>
    <xf numFmtId="169" fontId="3" fillId="0" borderId="0" pivotButton="0" quotePrefix="0" xfId="0"/>
    <xf numFmtId="170" fontId="32" fillId="26" borderId="0" pivotButton="0" quotePrefix="0" xfId="0"/>
    <xf numFmtId="168" fontId="3" fillId="0" borderId="0" pivotButton="0" quotePrefix="0" xfId="0"/>
    <xf numFmtId="0" fontId="31" fillId="0" borderId="5" applyAlignment="1" pivotButton="0" quotePrefix="0" xfId="0">
      <alignment vertical="top" wrapText="1"/>
    </xf>
    <xf numFmtId="0" fontId="4" fillId="0" borderId="0" applyAlignment="1" pivotButton="0" quotePrefix="0" xfId="0">
      <alignment wrapText="1"/>
    </xf>
    <xf numFmtId="0" fontId="3" fillId="0" borderId="5" pivotButton="0" quotePrefix="0" xfId="0"/>
    <xf numFmtId="0" fontId="0" fillId="27" borderId="0" pivotButton="0" quotePrefix="0" xfId="0"/>
    <xf numFmtId="0" fontId="34" fillId="27" borderId="0" pivotButton="0" quotePrefix="0" xfId="0"/>
    <xf numFmtId="0" fontId="34" fillId="27" borderId="0" applyAlignment="1" pivotButton="0" quotePrefix="0" xfId="0">
      <alignment vertical="center"/>
    </xf>
    <xf numFmtId="0" fontId="0" fillId="28" borderId="0" pivotButton="0" quotePrefix="0" xfId="0"/>
    <xf numFmtId="0" fontId="35" fillId="28" borderId="0" pivotButton="0" quotePrefix="0" xfId="0"/>
    <xf numFmtId="0" fontId="35" fillId="28" borderId="0" applyAlignment="1" pivotButton="0" quotePrefix="0" xfId="0">
      <alignment wrapText="1"/>
    </xf>
    <xf numFmtId="0" fontId="0" fillId="29" borderId="0" pivotButton="0" quotePrefix="0" xfId="0"/>
    <xf numFmtId="0" fontId="36" fillId="29" borderId="0" pivotButton="0" quotePrefix="0" xfId="0"/>
    <xf numFmtId="0" fontId="36" fillId="29" borderId="12" pivotButton="0" quotePrefix="0" xfId="0"/>
    <xf numFmtId="0" fontId="36" fillId="29" borderId="13" pivotButton="0" quotePrefix="0" xfId="0"/>
    <xf numFmtId="0" fontId="36" fillId="29" borderId="14" pivotButton="0" quotePrefix="0" xfId="0"/>
    <xf numFmtId="0" fontId="36" fillId="29" borderId="12" applyAlignment="1" pivotButton="0" quotePrefix="0" xfId="0">
      <alignment wrapText="1"/>
    </xf>
    <xf numFmtId="0" fontId="36" fillId="29" borderId="13" applyAlignment="1" pivotButton="0" quotePrefix="0" xfId="0">
      <alignment wrapText="1"/>
    </xf>
    <xf numFmtId="0" fontId="36" fillId="29" borderId="14" applyAlignment="1" pivotButton="0" quotePrefix="0" xfId="0">
      <alignment wrapText="1"/>
    </xf>
    <xf numFmtId="0" fontId="36" fillId="29" borderId="12" applyAlignment="1" pivotButton="0" quotePrefix="0" xfId="0">
      <alignment horizontal="center" wrapText="1"/>
    </xf>
    <xf numFmtId="0" fontId="36" fillId="29" borderId="13" applyAlignment="1" pivotButton="0" quotePrefix="0" xfId="0">
      <alignment horizontal="center" wrapText="1"/>
    </xf>
    <xf numFmtId="0" fontId="36" fillId="29" borderId="14" applyAlignment="1" pivotButton="0" quotePrefix="0" xfId="0">
      <alignment horizontal="center" wrapText="1"/>
    </xf>
    <xf numFmtId="0" fontId="36" fillId="29" borderId="12" applyAlignment="1" pivotButton="0" quotePrefix="0" xfId="0">
      <alignment horizontal="center" vertical="center" wrapText="1"/>
    </xf>
    <xf numFmtId="0" fontId="36" fillId="29" borderId="13" applyAlignment="1" pivotButton="0" quotePrefix="0" xfId="0">
      <alignment horizontal="center" vertical="center" wrapText="1"/>
    </xf>
    <xf numFmtId="0" fontId="36" fillId="29" borderId="14" applyAlignment="1" pivotButton="0" quotePrefix="0" xfId="0">
      <alignment horizontal="center" vertical="center" wrapText="1"/>
    </xf>
    <xf numFmtId="0" fontId="37" fillId="0" borderId="0" pivotButton="0" quotePrefix="0" xfId="0"/>
    <xf numFmtId="0" fontId="37" fillId="0" borderId="15" pivotButton="0" quotePrefix="0" xfId="0"/>
    <xf numFmtId="0" fontId="37" fillId="0" borderId="16" pivotButton="0" quotePrefix="0" xfId="0"/>
    <xf numFmtId="0" fontId="37" fillId="0" borderId="17" pivotButton="0" quotePrefix="0" xfId="0"/>
    <xf numFmtId="0" fontId="37" fillId="0" borderId="18" pivotButton="0" quotePrefix="0" xfId="0"/>
    <xf numFmtId="0" fontId="37" fillId="0" borderId="0" pivotButton="0" quotePrefix="0" xfId="0"/>
    <xf numFmtId="0" fontId="37" fillId="0" borderId="19" pivotButton="0" quotePrefix="0" xfId="0"/>
    <xf numFmtId="0" fontId="37" fillId="0" borderId="20" pivotButton="0" quotePrefix="0" xfId="0"/>
    <xf numFmtId="0" fontId="37" fillId="0" borderId="21" pivotButton="0" quotePrefix="0" xfId="0"/>
    <xf numFmtId="0" fontId="37" fillId="0" borderId="22" pivotButton="0" quotePrefix="0" xfId="0"/>
    <xf numFmtId="0" fontId="37" fillId="0" borderId="15" applyAlignment="1" pivotButton="0" quotePrefix="0" xfId="0">
      <alignment wrapText="1"/>
    </xf>
    <xf numFmtId="0" fontId="37" fillId="0" borderId="16" applyAlignment="1" pivotButton="0" quotePrefix="0" xfId="0">
      <alignment wrapText="1"/>
    </xf>
    <xf numFmtId="0" fontId="37" fillId="0" borderId="17" applyAlignment="1" pivotButton="0" quotePrefix="0" xfId="0">
      <alignment wrapText="1"/>
    </xf>
    <xf numFmtId="0" fontId="37" fillId="0" borderId="18" applyAlignment="1" pivotButton="0" quotePrefix="0" xfId="0">
      <alignment wrapText="1"/>
    </xf>
    <xf numFmtId="0" fontId="37" fillId="0" borderId="0" applyAlignment="1" pivotButton="0" quotePrefix="0" xfId="0">
      <alignment wrapText="1"/>
    </xf>
    <xf numFmtId="0" fontId="37" fillId="0" borderId="19" applyAlignment="1" pivotButton="0" quotePrefix="0" xfId="0">
      <alignment wrapText="1"/>
    </xf>
    <xf numFmtId="0" fontId="37" fillId="0" borderId="20" applyAlignment="1" pivotButton="0" quotePrefix="0" xfId="0">
      <alignment wrapText="1"/>
    </xf>
    <xf numFmtId="0" fontId="37" fillId="0" borderId="21" applyAlignment="1" pivotButton="0" quotePrefix="0" xfId="0">
      <alignment wrapText="1"/>
    </xf>
    <xf numFmtId="0" fontId="37" fillId="0" borderId="22" applyAlignment="1" pivotButton="0" quotePrefix="0" xfId="0">
      <alignment wrapText="1"/>
    </xf>
    <xf numFmtId="0" fontId="37" fillId="0" borderId="15" applyAlignment="1" pivotButton="0" quotePrefix="0" xfId="0">
      <alignment vertical="top" wrapText="1"/>
    </xf>
    <xf numFmtId="0" fontId="37" fillId="0" borderId="16" applyAlignment="1" pivotButton="0" quotePrefix="0" xfId="0">
      <alignment vertical="top" wrapText="1"/>
    </xf>
    <xf numFmtId="0" fontId="37" fillId="0" borderId="17" applyAlignment="1" pivotButton="0" quotePrefix="0" xfId="0">
      <alignment vertical="top" wrapText="1"/>
    </xf>
    <xf numFmtId="0" fontId="37" fillId="0" borderId="18" applyAlignment="1" pivotButton="0" quotePrefix="0" xfId="0">
      <alignment vertical="top" wrapText="1"/>
    </xf>
    <xf numFmtId="0" fontId="37" fillId="0" borderId="0" applyAlignment="1" pivotButton="0" quotePrefix="0" xfId="0">
      <alignment vertical="top" wrapText="1"/>
    </xf>
    <xf numFmtId="0" fontId="37" fillId="0" borderId="19" applyAlignment="1" pivotButton="0" quotePrefix="0" xfId="0">
      <alignment vertical="top" wrapText="1"/>
    </xf>
    <xf numFmtId="0" fontId="37" fillId="0" borderId="20" applyAlignment="1" pivotButton="0" quotePrefix="0" xfId="0">
      <alignment vertical="top" wrapText="1"/>
    </xf>
    <xf numFmtId="0" fontId="37" fillId="0" borderId="21" applyAlignment="1" pivotButton="0" quotePrefix="0" xfId="0">
      <alignment vertical="top" wrapText="1"/>
    </xf>
    <xf numFmtId="0" fontId="37" fillId="0" borderId="22" applyAlignment="1" pivotButton="0" quotePrefix="0" xfId="0">
      <alignment vertical="top" wrapText="1"/>
    </xf>
    <xf numFmtId="0" fontId="0" fillId="0" borderId="0" applyAlignment="1" pivotButton="0" quotePrefix="0" xfId="0">
      <alignment vertical="center"/>
    </xf>
    <xf numFmtId="0" fontId="35" fillId="28" borderId="0" applyAlignment="1" pivotButton="0" quotePrefix="0" xfId="0">
      <alignment vertical="center" wrapText="1"/>
    </xf>
    <xf numFmtId="0" fontId="34" fillId="27" borderId="5" applyAlignment="1" pivotButton="0" quotePrefix="0" xfId="0">
      <alignment vertical="center"/>
    </xf>
    <xf numFmtId="0" fontId="35" fillId="28" borderId="5" applyAlignment="1" pivotButton="0" quotePrefix="0" xfId="0">
      <alignment vertical="center" wrapText="1"/>
    </xf>
    <xf numFmtId="0" fontId="38" fillId="0" borderId="5" pivotButton="0" quotePrefix="0" xfId="0"/>
    <xf numFmtId="0" fontId="39" fillId="0" borderId="5" pivotButton="0" quotePrefix="0" xfId="0"/>
    <xf numFmtId="0" fontId="40" fillId="30" borderId="23" applyAlignment="1" pivotButton="0" quotePrefix="0" xfId="0">
      <alignment vertical="top" wrapText="1"/>
    </xf>
    <xf numFmtId="0" fontId="0" fillId="0" borderId="23" applyAlignment="1" pivotButton="0" quotePrefix="0" xfId="0">
      <alignment vertical="top" wrapText="1"/>
    </xf>
  </cellXfs>
  <cellStyles count="1">
    <cellStyle name="Normal" xfId="0"/>
  </cellStyles>
  <dxfs count="50">
    <dxf>
      <font>
        <name val="Arial"/>
        <b val="1"/>
        <color rgb="00FFFFFF"/>
        <sz val="10"/>
      </font>
      <fill>
        <patternFill>
          <bgColor rgb="00DC2626"/>
        </patternFill>
      </fill>
    </dxf>
    <dxf>
      <font>
        <name val="Arial"/>
        <b val="1"/>
        <color rgb="00FFFFFF"/>
        <sz val="10"/>
      </font>
      <fill>
        <patternFill>
          <bgColor rgb="00EA580C"/>
        </patternFill>
      </fill>
    </dxf>
    <dxf>
      <font>
        <name val="Arial"/>
        <b val="1"/>
        <color rgb="00FFFFFF"/>
        <sz val="10"/>
      </font>
      <fill>
        <patternFill>
          <bgColor rgb="00CA8A04"/>
        </patternFill>
      </fill>
    </dxf>
    <dxf>
      <font>
        <name val="Arial"/>
        <b val="1"/>
        <color rgb="00FFFFFF"/>
        <sz val="10"/>
      </font>
      <fill>
        <patternFill>
          <bgColor rgb="0065A30D"/>
        </patternFill>
      </fill>
    </dxf>
    <dxf>
      <fill>
        <patternFill>
          <bgColor rgb="00F3F4F6"/>
        </patternFill>
      </fill>
    </dxf>
    <dxf>
      <fill>
        <patternFill>
          <bgColor rgb="00FEF3C7"/>
        </patternFill>
      </fill>
    </dxf>
    <dxf>
      <fill>
        <patternFill>
          <bgColor rgb="00FECACA"/>
        </patternFill>
      </fill>
    </dxf>
    <dxf>
      <fill>
        <patternFill>
          <bgColor rgb="00D1FAE5"/>
        </patternFill>
      </fill>
    </dxf>
    <dxf>
      <font>
        <name val="Arial"/>
        <color rgb="009CA3AF"/>
        <sz val="10"/>
      </font>
      <fill>
        <patternFill>
          <bgColor rgb="00F3F4F6"/>
        </patternFill>
      </fill>
    </dxf>
    <dxf>
      <fill>
        <patternFill>
          <bgColor rgb="00E5E7EB"/>
        </patternFill>
      </fill>
    </dxf>
    <dxf>
      <font>
        <name val="Arial"/>
        <b val="1"/>
        <color rgb="00991B1B"/>
        <sz val="10"/>
      </font>
      <fill>
        <patternFill>
          <bgColor rgb="00FECACA"/>
        </patternFill>
      </fill>
    </dxf>
    <dxf>
      <font>
        <name val="Arial"/>
        <b val="1"/>
        <color rgb="009A3412"/>
        <sz val="10"/>
      </font>
      <fill>
        <patternFill>
          <bgColor rgb="00FED7AA"/>
        </patternFill>
      </fill>
    </dxf>
    <dxf>
      <font>
        <name val="Arial"/>
        <color rgb="00065F46"/>
        <sz val="10"/>
      </font>
      <fill>
        <patternFill>
          <bgColor rgb="00D1FAE5"/>
        </patternFill>
      </fill>
    </dxf>
    <dxf>
      <fill>
        <patternFill>
          <bgColor rgb="00DBEAFE"/>
        </patternFill>
      </fill>
    </dxf>
    <dxf>
      <fill>
        <patternFill>
          <bgColor rgb="00DCFCE7"/>
        </patternFill>
      </fill>
    </dxf>
    <dxf>
      <fill>
        <patternFill>
          <bgColor rgb="00FED7AA"/>
        </patternFill>
      </fill>
    </dxf>
    <dxf>
      <fill>
        <patternFill>
          <bgColor rgb="00FEE2E2"/>
        </patternFill>
      </fill>
    </dxf>
    <dxf>
      <font>
        <name val="Arial"/>
        <b val="1"/>
        <color rgb="00065F46"/>
        <sz val="10"/>
      </font>
      <fill>
        <patternFill>
          <bgColor rgb="0086EFAC"/>
        </patternFill>
      </fill>
    </dxf>
    <dxf>
      <font>
        <name val="Arial"/>
        <b val="1"/>
        <color rgb="001E3A8A"/>
        <sz val="10"/>
      </font>
      <fill>
        <patternFill>
          <bgColor rgb="0093C5FD"/>
        </patternFill>
      </fill>
    </dxf>
    <dxf>
      <font>
        <name val="Arial"/>
        <b val="1"/>
        <color rgb="0078350F"/>
        <sz val="10"/>
      </font>
      <fill>
        <patternFill>
          <bgColor rgb="00FDE68A"/>
        </patternFill>
      </fill>
    </dxf>
    <dxf>
      <font>
        <name val="Arial"/>
        <b val="1"/>
        <color rgb="007C2D12"/>
        <sz val="10"/>
      </font>
      <fill>
        <patternFill>
          <bgColor rgb="00FDBA74"/>
        </patternFill>
      </fill>
    </dxf>
    <dxf>
      <font>
        <name val="Arial"/>
        <b val="1"/>
        <color rgb="007F1D1D"/>
        <sz val="10"/>
      </font>
      <fill>
        <patternFill>
          <bgColor rgb="00FCA5A5"/>
        </patternFill>
      </fill>
    </dxf>
    <dxf>
      <font>
        <name val="Arial"/>
        <b val="1"/>
        <color rgb="001E3A8A"/>
        <sz val="10"/>
      </font>
      <fill>
        <patternFill>
          <bgColor rgb="00BFDBFE"/>
        </patternFill>
      </fill>
    </dxf>
    <dxf>
      <font>
        <name val="Arial"/>
        <b val="1"/>
        <color rgb="007C2D12"/>
        <sz val="10"/>
      </font>
      <fill>
        <patternFill>
          <bgColor rgb="00FED7AA"/>
        </patternFill>
      </fill>
    </dxf>
    <dxf>
      <font>
        <name val="Arial"/>
        <b val="1"/>
        <color rgb="00374151"/>
        <sz val="10"/>
      </font>
      <fill>
        <patternFill>
          <bgColor rgb="00E5E7EB"/>
        </patternFill>
      </fill>
    </dxf>
    <dxf>
      <font>
        <b val="1"/>
        <color rgb="FF166534"/>
      </font>
      <fill>
        <patternFill>
          <bgColor rgb="FFDCFCE7"/>
        </patternFill>
      </fill>
    </dxf>
    <dxf>
      <font>
        <b val="1"/>
        <color rgb="FF1D4ED8"/>
      </font>
      <fill>
        <patternFill>
          <bgColor rgb="FFDBEAFE"/>
        </patternFill>
      </fill>
    </dxf>
    <dxf>
      <font>
        <b val="1"/>
        <color rgb="FF991B1B"/>
      </font>
      <fill>
        <patternFill>
          <bgColor rgb="FFFEE2E2"/>
        </patternFill>
      </fill>
    </dxf>
    <dxf>
      <font>
        <b val="1"/>
        <color rgb="FF92400E"/>
      </font>
      <fill>
        <patternFill>
          <bgColor rgb="FFFEF3C7"/>
        </patternFill>
      </fill>
    </dxf>
    <dxf>
      <font>
        <b val="1"/>
        <color rgb="FF166534"/>
      </font>
      <fill>
        <patternFill>
          <bgColor rgb="FFDCFCE7"/>
        </patternFill>
      </fill>
    </dxf>
    <dxf>
      <font>
        <b val="1"/>
        <color rgb="FF1D4ED8"/>
      </font>
      <fill>
        <patternFill>
          <bgColor rgb="FFDBEAFE"/>
        </patternFill>
      </fill>
    </dxf>
    <dxf>
      <font>
        <b val="1"/>
        <color rgb="FF991B1B"/>
      </font>
      <fill>
        <patternFill>
          <bgColor rgb="FFFEE2E2"/>
        </patternFill>
      </fill>
    </dxf>
    <dxf>
      <font>
        <b val="1"/>
        <color rgb="FF92400E"/>
      </font>
      <fill>
        <patternFill>
          <bgColor rgb="FFFEF3C7"/>
        </patternFill>
      </fill>
    </dxf>
    <dxf>
      <font>
        <b val="1"/>
        <color rgb="FF166534"/>
      </font>
      <fill>
        <patternFill>
          <bgColor rgb="FFDCFCE7"/>
        </patternFill>
      </fill>
    </dxf>
    <dxf>
      <font>
        <b val="1"/>
        <color rgb="FF1D4ED8"/>
      </font>
      <fill>
        <patternFill>
          <bgColor rgb="FFDBEAFE"/>
        </patternFill>
      </fill>
    </dxf>
    <dxf>
      <font>
        <b val="1"/>
        <color rgb="FF991B1B"/>
      </font>
      <fill>
        <patternFill>
          <bgColor rgb="FFFEE2E2"/>
        </patternFill>
      </fill>
    </dxf>
    <dxf>
      <font>
        <b val="1"/>
        <color rgb="FF92400E"/>
      </font>
      <fill>
        <patternFill>
          <bgColor rgb="FFFEF3C7"/>
        </patternFill>
      </fill>
    </dxf>
    <dxf>
      <font>
        <b val="1"/>
        <color rgb="FF166534"/>
      </font>
      <fill>
        <patternFill>
          <bgColor rgb="FFDCFCE7"/>
        </patternFill>
      </fill>
    </dxf>
    <dxf>
      <font>
        <b val="1"/>
        <color rgb="FF1D4ED8"/>
      </font>
      <fill>
        <patternFill>
          <bgColor rgb="FFDBEAFE"/>
        </patternFill>
      </fill>
    </dxf>
    <dxf>
      <font>
        <b val="1"/>
        <color rgb="FF991B1B"/>
      </font>
      <fill>
        <patternFill>
          <bgColor rgb="FFFEE2E2"/>
        </patternFill>
      </fill>
    </dxf>
    <dxf>
      <font>
        <b val="1"/>
        <color rgb="FF92400E"/>
      </font>
      <fill>
        <patternFill>
          <bgColor rgb="FFFEF3C7"/>
        </patternFill>
      </fill>
    </dxf>
    <dxf>
      <font>
        <b val="1"/>
        <color rgb="FF166534"/>
      </font>
      <fill>
        <patternFill>
          <bgColor rgb="FFDCFCE7"/>
        </patternFill>
      </fill>
    </dxf>
    <dxf>
      <font>
        <b val="1"/>
        <color rgb="FF1D4ED8"/>
      </font>
      <fill>
        <patternFill>
          <bgColor rgb="FFDBEAFE"/>
        </patternFill>
      </fill>
    </dxf>
    <dxf>
      <font>
        <b val="1"/>
        <color rgb="FF991B1B"/>
      </font>
      <fill>
        <patternFill>
          <bgColor rgb="FFFEE2E2"/>
        </patternFill>
      </fill>
    </dxf>
    <dxf>
      <font>
        <b val="1"/>
        <color rgb="FF92400E"/>
      </font>
      <fill>
        <patternFill>
          <bgColor rgb="FFFEF3C7"/>
        </patternFill>
      </fill>
    </dxf>
    <dxf>
      <font>
        <b val="1"/>
        <color rgb="FF166534"/>
      </font>
      <fill>
        <patternFill>
          <bgColor rgb="FFDCFCE7"/>
        </patternFill>
      </fill>
    </dxf>
    <dxf>
      <font>
        <b val="1"/>
        <color rgb="FF1D4ED8"/>
      </font>
      <fill>
        <patternFill>
          <bgColor rgb="FFDBEAFE"/>
        </patternFill>
      </fill>
    </dxf>
    <dxf>
      <font>
        <b val="1"/>
        <color rgb="FF166534"/>
      </font>
      <fill>
        <patternFill>
          <bgColor rgb="FFDCFCE7"/>
        </patternFill>
      </fill>
    </dxf>
    <dxf>
      <font>
        <b val="1"/>
        <color rgb="FF1D4ED8"/>
      </font>
      <fill>
        <patternFill>
          <bgColor rgb="FFDBEAFE"/>
        </patternFill>
      </fill>
    </dxf>
    <dxf>
      <font>
        <b val="1"/>
        <color rgb="FF1D4ED8"/>
      </font>
      <fill>
        <patternFill>
          <bgColor rgb="FFDBEAFE"/>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tables/table1.xml><?xml version="1.0" encoding="utf-8"?>
<table xmlns="http://schemas.openxmlformats.org/spreadsheetml/2006/main" id="1" name="PHSPilotBacklog" displayName="PHSPilotBacklog" ref="A3:M11" headerRowCount="1">
  <autoFilter ref="A3:M11"/>
  <tableColumns count="13">
    <tableColumn id="1" name="ID"/>
    <tableColumn id="2" name="Workstream"/>
    <tableColumn id="3" name="Use Case / Scope"/>
    <tableColumn id="4" name="Move Phase"/>
    <tableColumn id="5" name="Artifact / Path"/>
    <tableColumn id="6" name="Status"/>
    <tableColumn id="7" name="Priority"/>
    <tableColumn id="8" name="Owner"/>
    <tableColumn id="9" name="Dependency"/>
    <tableColumn id="10" name="Validation / Proof"/>
    <tableColumn id="11" name="Sensitive Data Position"/>
    <tableColumn id="12" name="Next Action"/>
    <tableColumn id="13" name="Notes"/>
  </tableColumns>
  <tableStyleInfo name="TableStyleMedium2"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4.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A2:C63"/>
  <sheetViews>
    <sheetView showGridLines="0" workbookViewId="0">
      <selection activeCell="A1" sqref="A1"/>
    </sheetView>
  </sheetViews>
  <sheetFormatPr baseColWidth="8" defaultRowHeight="15"/>
  <cols>
    <col width="2" customWidth="1" min="1" max="1"/>
    <col width="18" customWidth="1" min="2" max="2"/>
    <col width="95" customWidth="1" min="3" max="3"/>
  </cols>
  <sheetData>
    <row r="2">
      <c r="B2" s="1" t="inlineStr">
        <is>
          <t>AbarVa — Pilot Readiness Master Plan</t>
        </is>
      </c>
    </row>
    <row r="3">
      <c r="B3" s="2" t="inlineStr">
        <is>
          <t>Single source of truth for everything to do before signing &amp; launching the first pilot.</t>
        </is>
      </c>
    </row>
    <row r="4">
      <c r="B4" s="2" t="inlineStr">
        <is>
          <t>Owner: Anand Sundaram   |   Created: 2026-05-31   |   Target pilot kickoff: 2026-07-01</t>
        </is>
      </c>
    </row>
    <row r="5">
      <c r="B5" s="3" t="inlineStr"/>
      <c r="C5" s="4" t="inlineStr"/>
    </row>
    <row r="6">
      <c r="B6" s="3" t="inlineStr">
        <is>
          <t>Sheets</t>
        </is>
      </c>
      <c r="C6" s="4" t="inlineStr"/>
    </row>
    <row r="7">
      <c r="B7" s="3" t="inlineStr">
        <is>
          <t>Plan</t>
        </is>
      </c>
      <c r="C7" s="4" t="inlineStr">
        <is>
          <t>The master task list. Filter by Category / Priority / Status. This is what you knock off.</t>
        </is>
      </c>
    </row>
    <row r="8">
      <c r="B8" s="3" t="inlineStr">
        <is>
          <t>Dashboard</t>
        </is>
      </c>
      <c r="C8" s="4" t="inlineStr">
        <is>
          <t>Live counts by category and status — auto-calculated from Plan sheet.</t>
        </is>
      </c>
    </row>
    <row r="9">
      <c r="B9" s="3" t="inlineStr">
        <is>
          <t>Pricing</t>
        </is>
      </c>
      <c r="C9" s="4" t="inlineStr">
        <is>
          <t>Pilot + Year-1 commercial model. Edit blue cells to model scenarios.</t>
        </is>
      </c>
    </row>
    <row r="10">
      <c r="B10" s="3" t="inlineStr">
        <is>
          <t>Security Pack</t>
        </is>
      </c>
      <c r="C10" s="4" t="inlineStr">
        <is>
          <t>Pre-fill answers for SIG Lite / CAIQ vendor security questionnaires.</t>
        </is>
      </c>
    </row>
    <row r="11">
      <c r="B11" s="3" t="inlineStr">
        <is>
          <t>Redline Brief</t>
        </is>
      </c>
      <c r="C11" s="4" t="inlineStr">
        <is>
          <t>Your 8 non-negotiable contract clauses + fallback positions.</t>
        </is>
      </c>
    </row>
    <row r="12">
      <c r="B12" s="3" t="inlineStr">
        <is>
          <t>Risks</t>
        </is>
      </c>
      <c r="C12" s="4" t="inlineStr">
        <is>
          <t>Risk register — likelihood × impact, mitigation, owner.</t>
        </is>
      </c>
    </row>
    <row r="13">
      <c r="B13" s="3" t="inlineStr">
        <is>
          <t>AI Liability Defense</t>
        </is>
      </c>
      <c r="C13" s="4" t="inlineStr">
        <is>
          <t>Human decision accountability controls added 2026-06-01: decision owner, attestation, missing-data banner, high-risk gate, export watermark, and model risk register.</t>
        </is>
      </c>
    </row>
    <row r="14">
      <c r="B14" s="3" t="inlineStr">
        <is>
          <t>Private Data Plane Pilot Gate</t>
        </is>
      </c>
      <c r="C14" s="4" t="inlineStr">
        <is>
          <t>Rows T341-T352 added 2026-06-01: private data-plane rehearsal, Setup Data Load Center, Azure upload/processing, quarantine, attestation, clarification, notifications, commit, and outputs explorer.</t>
        </is>
      </c>
    </row>
    <row r="15">
      <c r="B15" s="3" t="inlineStr">
        <is>
          <t>1.</t>
        </is>
      </c>
      <c r="C15" s="4" t="inlineStr">
        <is>
          <t>Open Plan sheet. Pick a P0 task. Set Status to 'In progress'. Knock it off.</t>
        </is>
      </c>
    </row>
    <row r="16">
      <c r="B16" s="3" t="inlineStr">
        <is>
          <t>2.</t>
        </is>
      </c>
      <c r="C16" s="4" t="inlineStr">
        <is>
          <t>Update Status dropdown when done. Dashboard updates automatically.</t>
        </is>
      </c>
    </row>
    <row r="17">
      <c r="B17" s="3" t="inlineStr">
        <is>
          <t>3.</t>
        </is>
      </c>
      <c r="C17" s="4" t="inlineStr">
        <is>
          <t>Add new tasks at the bottom of Plan — just keep TaskID format (TXX) and Category consistent.</t>
        </is>
      </c>
    </row>
    <row r="18">
      <c r="B18" s="3" t="inlineStr">
        <is>
          <t>4.</t>
        </is>
      </c>
      <c r="C18" s="4" t="inlineStr">
        <is>
          <t>Pricing sheet — change the blue input cells to model different pilot/year-1 scenarios.</t>
        </is>
      </c>
    </row>
    <row r="19">
      <c r="B19" s="3" t="inlineStr">
        <is>
          <t>5.</t>
        </is>
      </c>
      <c r="C19" s="4" t="inlineStr">
        <is>
          <t>Before any client meeting, scan Security Pack + Redline Brief tabs.</t>
        </is>
      </c>
    </row>
    <row r="20">
      <c r="B20" s="3" t="inlineStr">
        <is>
          <t>Source L6 Governance Follow-Up</t>
        </is>
      </c>
      <c r="C20" s="4" t="inlineStr">
        <is>
          <t>Rows T206, T207, T210, and T340 updated after PR #2756. Source approval reason/confirmation and AI-draft edit-before-complete controls are reflected as partial cross-surface progress; evidence-bundle persistence, legal signoff, and external Source actions remain unmarked unless separately implemented.</t>
        </is>
      </c>
    </row>
    <row r="21">
      <c r="B21" s="3" t="inlineStr">
        <is>
          <t>Legend — Priority</t>
        </is>
      </c>
      <c r="C21" s="4" t="inlineStr"/>
    </row>
    <row r="22">
      <c r="B22" s="3" t="inlineStr">
        <is>
          <t>P0</t>
        </is>
      </c>
      <c r="C22" s="4" t="inlineStr">
        <is>
          <t>Must be done before signing pilot contract</t>
        </is>
      </c>
    </row>
    <row r="23">
      <c r="B23" s="3" t="inlineStr">
        <is>
          <t>P1</t>
        </is>
      </c>
      <c r="C23" s="4" t="inlineStr">
        <is>
          <t>Must be done before pilot kickoff (data plane stood up)</t>
        </is>
      </c>
    </row>
    <row r="24">
      <c r="B24" s="3" t="inlineStr">
        <is>
          <t>P2</t>
        </is>
      </c>
      <c r="C24" s="4" t="inlineStr">
        <is>
          <t>Must be done during pilot (before year-1 conversion)</t>
        </is>
      </c>
    </row>
    <row r="25">
      <c r="B25" s="3" t="inlineStr">
        <is>
          <t>P3</t>
        </is>
      </c>
      <c r="C25" s="4" t="inlineStr">
        <is>
          <t>Nice to have / can defer to post-pilot</t>
        </is>
      </c>
    </row>
    <row r="26">
      <c r="B26" s="3" t="inlineStr"/>
      <c r="C26" s="4" t="inlineStr"/>
    </row>
    <row r="27">
      <c r="B27" s="3" t="inlineStr">
        <is>
          <t>Legend — Status</t>
        </is>
      </c>
      <c r="C27" s="4" t="inlineStr"/>
    </row>
    <row r="28">
      <c r="B28" s="3" t="inlineStr">
        <is>
          <t>Not started</t>
        </is>
      </c>
      <c r="C28" s="4" t="inlineStr">
        <is>
          <t>Not begun</t>
        </is>
      </c>
    </row>
    <row r="29">
      <c r="B29" s="3" t="inlineStr">
        <is>
          <t>In progress</t>
        </is>
      </c>
      <c r="C29" s="4" t="inlineStr">
        <is>
          <t>Actively working</t>
        </is>
      </c>
    </row>
    <row r="30">
      <c r="B30" s="3" t="inlineStr">
        <is>
          <t>Blocked</t>
        </is>
      </c>
      <c r="C30" s="4" t="inlineStr">
        <is>
          <t>Waiting on external party or decision</t>
        </is>
      </c>
    </row>
    <row r="31">
      <c r="B31" s="3" t="inlineStr">
        <is>
          <t>Done</t>
        </is>
      </c>
      <c r="C31" s="4" t="inlineStr">
        <is>
          <t>Complete</t>
        </is>
      </c>
    </row>
    <row r="33">
      <c r="B33" t="inlineStr">
        <is>
          <t>Source L6 Ship-Now deploy update</t>
        </is>
      </c>
      <c r="C33" t="inlineStr">
        <is>
          <t>Updated 2026-06-02: PR #2829 merged; prod dedupe cleanup/migrations/personas executed; Clerk live-key migration and authenticated Source E2E retest remain open.</t>
        </is>
      </c>
    </row>
    <row r="35">
      <c r="A35" s="106" t="inlineStr">
        <is>
          <t>2026-06-02 Source L6 Ship-Now deploy update: PR #2829 merged; latest production main deploy includes it; post-deploy authenticated crawl run 26833719283 passed with 0 P0 / 112 P1 / 0 P2. T034/T356/T357 remain truthful: Clerk prod-key and RSC root-cause stay open; Source hardening row stays In progress for BAFO/pricing/export proof gaps.</t>
        </is>
      </c>
    </row>
    <row r="37">
      <c r="A37" t="inlineStr">
        <is>
          <t>2026-06-04 Employer Conflict deprioritized: founder accepts Accenture risk as low (won't chase a pilot-stage startup). Lane T306-T329 moved to P3/Not started EXCEPT T318/T319/T322/T323 (repo history + clean founder→AbarVa IP assignment) kept at P1 for the ownership story. T310/T326 'pause sprints / don't sign' reversed — PHS/KK close sprints run normally. Critical path is now entity formation + transactional contract review + sales.</t>
        </is>
      </c>
    </row>
    <row r="39">
      <c r="A39" s="108" t="inlineStr">
        <is>
          <t>═══ Pricing Model v2 Update (2026-06-04) ═══</t>
        </is>
      </c>
      <c r="B39" s="98" t="n"/>
      <c r="C39" s="98" t="n"/>
    </row>
    <row r="41">
      <c r="A41" s="3" t="inlineStr">
        <is>
          <t>What changed</t>
        </is>
      </c>
      <c r="B41" s="117" t="inlineStr">
        <is>
          <t>Pricing tab now contains both v1 (rows 5-47) and v2 (rows 50+).</t>
        </is>
      </c>
    </row>
    <row r="42" ht="45" customHeight="1">
      <c r="A42" s="3" t="inlineStr">
        <is>
          <t>Why</t>
        </is>
      </c>
      <c r="B42" s="117" t="inlineStr">
        <is>
          <t>v1 single $950k bundled platform fee was wrong for AbarVa scale — we are not Palantir/Databricks. Unbundled v2 has 5 defensible lines: Platform + Corpus + Founder + Implementation + Custom Dev. Each line has a market comp.</t>
        </is>
      </c>
    </row>
    <row r="43">
      <c r="A43" s="3" t="inlineStr">
        <is>
          <t>Year-1 Founding</t>
        </is>
      </c>
      <c r="B43" s="117" t="inlineStr">
        <is>
          <t>Pilot-converted: $775k (no impl re-charge). Direct-to-Y1: $925k. Year-2 renewal steady: $825k.</t>
        </is>
      </c>
    </row>
    <row r="44">
      <c r="A44" s="3" t="inlineStr">
        <is>
          <t>Pilot vs Setup</t>
        </is>
      </c>
      <c r="B44" s="117" t="inlineStr">
        <is>
          <t>Resolved: Pilot ($300k) and Implementation ($150k) are mutually exclusive. Pilot includes setup. No double-charge.</t>
        </is>
      </c>
    </row>
    <row r="45" ht="45" customHeight="1">
      <c r="A45" s="3" t="inlineStr">
        <is>
          <t>Tenant Deployment</t>
        </is>
      </c>
      <c r="B45" s="117" t="inlineStr">
        <is>
          <t>Current state: Standard (founder-led, available now, capacity 1-2 clients parallel). Future: Premium White-Glove ($250-350k uplift) requires tenant-ops hire. Self-Serve Template ($50k) is 2026-Q4 roadmap.</t>
        </is>
      </c>
    </row>
    <row r="46" ht="45" customHeight="1">
      <c r="A46" s="3" t="inlineStr">
        <is>
          <t>Reference doc</t>
        </is>
      </c>
      <c r="B46" s="117" t="inlineStr">
        <is>
          <t>See docs/build/phs-pilot/ABARVA_PRICING_MODEL_REFERENCE_2026-06-04.md — captures full rationale, market comps, value pipeline, free vs paid policy, user persona tiering. Read before pricing comes up again.</t>
        </is>
      </c>
    </row>
    <row r="47" ht="50" customHeight="1">
      <c r="A47" s="3" t="inlineStr">
        <is>
          <t>Open items</t>
        </is>
      </c>
      <c r="B47" s="117" t="inlineStr">
        <is>
          <t>(1) Lock tenant-ops hire trigger (2nd paying client signs). (2) Update PHS_YEAR_ONE_PRICING_v1.md to reflect $775k Y1 (pilot-converted). (3) Update PHS_PILOT_SOW_DRAFT_v2.md to remove implicit double-charge.</t>
        </is>
      </c>
    </row>
    <row r="49">
      <c r="A49" s="108" t="inlineStr">
        <is>
          <t>═══ Corporate MBE / Procurement Readiness Update (2026-06-04) ═══</t>
        </is>
      </c>
    </row>
    <row r="50">
      <c r="A50" s="108" t="inlineStr">
        <is>
          <t>Rows T364-T367 and T370-T372 remain focused on NMSDC MBE, corporate supplier-diversity, target buyer supplier portals, and a procurement compliance packet for PHS/Morgan/Delta-style enterprise buyers.</t>
        </is>
      </c>
    </row>
    <row r="51">
      <c r="A51" s="108" t="inlineStr">
        <is>
          <t>Current guidance: pursue NMSDC MBE through Anand if he owns/controls 51%+ and build the corporate vendor-readiness packet. Public-sector/state registration can be revisited only if a specific opportunity requires it.</t>
        </is>
      </c>
    </row>
    <row r="53">
      <c r="A53" s="108" t="n"/>
    </row>
    <row r="54">
      <c r="A54" s="108" t="n"/>
    </row>
    <row r="55">
      <c r="A55" s="108" t="n"/>
    </row>
    <row r="57">
      <c r="A57" s="108" t="n"/>
    </row>
    <row r="58">
      <c r="A58" s="108" t="n"/>
    </row>
    <row r="59">
      <c r="A59" s="108" t="inlineStr">
        <is>
          <t>Current guidance: pursue NMSDC MBE through Anand if he owns/controls 51%+ and build the corporate vendor-readiness packet. Public-sector/state registration can be revisited only if a specific opportunity requires it.</t>
        </is>
      </c>
    </row>
    <row r="61" ht="55" customHeight="1">
      <c r="B61" s="118" t="inlineStr">
        <is>
          <t>2026-06-06 update</t>
        </is>
      </c>
      <c r="C61" s="78" t="inlineStr">
        <is>
          <t>Added Private Client Deployment backlog lane: signed-client-only private subscription/app/data plane, lab-to-client release model, IaC/runbooks, Azure-only ingestion receipts, and buyer/security architecture deck. Source docs live under docs/build/private-client-deployment-platform/.</t>
        </is>
      </c>
    </row>
    <row r="63" ht="60" customHeight="1">
      <c r="A63" t="inlineStr">
        <is>
          <t>2026-06-14 update: Added PHS Pilot Backlog tab and Plan rows T405-T411 for Meridian/PHA strategy evidence templates, corpus starter patterns, Admin bulk rehearsal, and live Azure proof gates.</t>
        </is>
      </c>
      <c r="B63" t="inlineStr">
        <is>
          <t>2026-06-06 update</t>
        </is>
      </c>
      <c r="C63" s="106" t="inlineStr">
        <is>
          <t>Expanded Private Client Deployment backlog with first-client pilot go-live tasks beyond Azure: IT/CISO briefing, AbarVa-managed subscription model, data approval, user/SSO setup, context coverage, signed-in QA, UAT/value proof, training, pilot operations, and exit/deletion planning.</t>
        </is>
      </c>
    </row>
  </sheetData>
  <mergeCells count="1">
    <mergeCell ref="A39:C39"/>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B2:O79"/>
  <sheetViews>
    <sheetView showGridLines="0" workbookViewId="0">
      <selection activeCell="A1" sqref="A1"/>
    </sheetView>
  </sheetViews>
  <sheetFormatPr baseColWidth="8" defaultRowHeight="15"/>
  <cols>
    <col width="2" customWidth="1" min="1" max="1"/>
    <col width="18" customWidth="1" min="2" max="2"/>
    <col width="12" customWidth="1" min="3" max="3"/>
    <col width="12" customWidth="1" min="4" max="4"/>
    <col width="12" customWidth="1" min="5" max="5"/>
    <col width="3" customWidth="1" min="6" max="6"/>
    <col width="20" customWidth="1" min="7" max="7"/>
    <col width="10" customWidth="1" min="8" max="8"/>
    <col width="10" customWidth="1" min="9" max="9"/>
    <col width="12" customWidth="1" min="10" max="10"/>
    <col width="12" customWidth="1" min="11" max="11"/>
    <col width="14" customWidth="1" min="13" max="13"/>
    <col width="8" customWidth="1" min="14" max="14"/>
    <col width="8" customWidth="1" min="15" max="15"/>
  </cols>
  <sheetData>
    <row r="2">
      <c r="B2" s="1" t="inlineStr">
        <is>
          <t>Dashboard</t>
        </is>
      </c>
    </row>
    <row r="3">
      <c r="B3" s="2" t="inlineStr">
        <is>
          <t>Auto-calculated from the Plan sheet. Filter Plan to drill in.</t>
        </is>
      </c>
    </row>
    <row r="5">
      <c r="B5" s="37" t="inlineStr">
        <is>
          <t>Overall Progress</t>
        </is>
      </c>
      <c r="C5" s="98" t="n"/>
      <c r="D5" s="98" t="n"/>
      <c r="E5" s="98" t="n"/>
      <c r="G5" s="37" t="inlineStr">
        <is>
          <t>By Category</t>
        </is>
      </c>
      <c r="H5" s="98" t="n"/>
      <c r="I5" s="98" t="n"/>
      <c r="J5" s="98" t="n"/>
      <c r="K5" s="98" t="n"/>
    </row>
    <row r="6">
      <c r="B6" s="6" t="inlineStr">
        <is>
          <t>Total tasks</t>
        </is>
      </c>
      <c r="C6" s="7">
        <f>COUNTA(Plan!A5:A406)</f>
        <v/>
      </c>
      <c r="G6" s="8" t="inlineStr">
        <is>
          <t>Category</t>
        </is>
      </c>
      <c r="H6" s="8" t="inlineStr">
        <is>
          <t>Total</t>
        </is>
      </c>
      <c r="I6" s="8" t="inlineStr">
        <is>
          <t>Done</t>
        </is>
      </c>
      <c r="J6" s="8" t="inlineStr">
        <is>
          <t>In progress</t>
        </is>
      </c>
      <c r="K6" s="8" t="inlineStr">
        <is>
          <t>% Done</t>
        </is>
      </c>
    </row>
    <row r="7">
      <c r="B7" s="6" t="inlineStr">
        <is>
          <t>Done</t>
        </is>
      </c>
      <c r="C7" s="7">
        <f>COUNTIF(Plan!L5:L406,"Done")</f>
        <v/>
      </c>
      <c r="G7" s="6" t="inlineStr">
        <is>
          <t>Business Setup</t>
        </is>
      </c>
      <c r="H7" s="9">
        <f>COUNTIF(Plan!B5:B406,"Business Setup")</f>
        <v/>
      </c>
      <c r="I7" s="9">
        <f>COUNTIFS(Plan!B5:B406,"Business Setup",Plan!L5:L406,"Done")</f>
        <v/>
      </c>
      <c r="J7" s="9">
        <f>COUNTIFS(Plan!B5:B406,"Business Setup",Plan!L5:L406,"In progress")</f>
        <v/>
      </c>
      <c r="K7" s="10">
        <f>IFERROR(I7/H7,0)</f>
        <v/>
      </c>
    </row>
    <row r="8">
      <c r="B8" s="6" t="inlineStr">
        <is>
          <t>In progress</t>
        </is>
      </c>
      <c r="C8" s="7">
        <f>COUNTIF(Plan!L5:L406,"In progress")</f>
        <v/>
      </c>
      <c r="G8" s="6" t="inlineStr">
        <is>
          <t>Contract &amp; Legal</t>
        </is>
      </c>
      <c r="H8" s="9">
        <f>COUNTIF(Plan!B5:B406,"Contract &amp; Legal")</f>
        <v/>
      </c>
      <c r="I8" s="9">
        <f>COUNTIFS(Plan!B5:B406,"Contract &amp; Legal",Plan!L5:L406,"Done")</f>
        <v/>
      </c>
      <c r="J8" s="9">
        <f>COUNTIFS(Plan!B5:B406,"Contract &amp; Legal",Plan!L5:L406,"In progress")</f>
        <v/>
      </c>
      <c r="K8" s="10">
        <f>IFERROR(I8/H8,0)</f>
        <v/>
      </c>
    </row>
    <row r="9">
      <c r="B9" s="6" t="inlineStr">
        <is>
          <t>Blocked</t>
        </is>
      </c>
      <c r="C9" s="7">
        <f>COUNTIF(Plan!L5:L406,"Blocked")</f>
        <v/>
      </c>
      <c r="G9" s="6" t="inlineStr">
        <is>
          <t>Architecture</t>
        </is>
      </c>
      <c r="H9" s="9">
        <f>COUNTIF(Plan!B5:B406,"Architecture")</f>
        <v/>
      </c>
      <c r="I9" s="9">
        <f>COUNTIFS(Plan!B5:B406,"Architecture",Plan!L5:L406,"Done")</f>
        <v/>
      </c>
      <c r="J9" s="9">
        <f>COUNTIFS(Plan!B5:B406,"Architecture",Plan!L5:L406,"In progress")</f>
        <v/>
      </c>
      <c r="K9" s="10">
        <f>IFERROR(I9/H9,0)</f>
        <v/>
      </c>
    </row>
    <row r="10">
      <c r="B10" s="6" t="inlineStr">
        <is>
          <t>Not started</t>
        </is>
      </c>
      <c r="C10" s="7">
        <f>COUNTIF(Plan!L5:L406,"Not started")</f>
        <v/>
      </c>
      <c r="G10" s="6" t="inlineStr">
        <is>
          <t>Pilot Ops</t>
        </is>
      </c>
      <c r="H10" s="9">
        <f>COUNTIF(Plan!B5:B406,"Pilot Ops")</f>
        <v/>
      </c>
      <c r="I10" s="9">
        <f>COUNTIFS(Plan!B5:B406,"Pilot Ops",Plan!L5:L406,"Done")</f>
        <v/>
      </c>
      <c r="J10" s="9">
        <f>COUNTIFS(Plan!B5:B406,"Pilot Ops",Plan!L5:L406,"In progress")</f>
        <v/>
      </c>
      <c r="K10" s="10">
        <f>IFERROR(I10/H10,0)</f>
        <v/>
      </c>
    </row>
    <row r="11">
      <c r="B11" s="6" t="inlineStr">
        <is>
          <t>% Complete</t>
        </is>
      </c>
      <c r="C11" s="11">
        <f>C7/C6</f>
        <v/>
      </c>
      <c r="G11" s="6" t="inlineStr">
        <is>
          <t>Commercial</t>
        </is>
      </c>
      <c r="H11" s="9">
        <f>COUNTIF(Plan!B5:B406,"Commercial")</f>
        <v/>
      </c>
      <c r="I11" s="9">
        <f>COUNTIFS(Plan!B5:B406,"Commercial",Plan!L5:L406,"Done")</f>
        <v/>
      </c>
      <c r="J11" s="9">
        <f>COUNTIFS(Plan!B5:B406,"Commercial",Plan!L5:L406,"In progress")</f>
        <v/>
      </c>
      <c r="K11" s="10">
        <f>IFERROR(I11/H11,0)</f>
        <v/>
      </c>
    </row>
    <row r="12">
      <c r="G12" s="6" t="inlineStr">
        <is>
          <t>Sales</t>
        </is>
      </c>
      <c r="H12" s="9">
        <f>COUNTIF(Plan!B5:B406,"Sales")</f>
        <v/>
      </c>
      <c r="I12" s="9">
        <f>COUNTIFS(Plan!B5:B406,"Sales",Plan!L5:L406,"Done")</f>
        <v/>
      </c>
      <c r="J12" s="9">
        <f>COUNTIFS(Plan!B5:B406,"Sales",Plan!L5:L406,"In progress")</f>
        <v/>
      </c>
      <c r="K12" s="10">
        <f>IFERROR(I12/H12,0)</f>
        <v/>
      </c>
    </row>
    <row r="13">
      <c r="B13" s="37" t="inlineStr">
        <is>
          <t>By Priority</t>
        </is>
      </c>
      <c r="C13" s="98" t="n"/>
      <c r="D13" s="98" t="n"/>
      <c r="E13" s="98" t="n"/>
      <c r="G13" s="6" t="inlineStr">
        <is>
          <t>IP &amp; Trademark</t>
        </is>
      </c>
      <c r="H13" s="9">
        <f>COUNTIF(Plan!B5:B406,"IP &amp; Trademark")</f>
        <v/>
      </c>
      <c r="I13" s="9">
        <f>COUNTIFS(Plan!B5:B406,"IP &amp; Trademark",Plan!L5:L406,"Done")</f>
        <v/>
      </c>
      <c r="J13" s="9">
        <f>COUNTIFS(Plan!B5:B406,"IP &amp; Trademark",Plan!L5:L406,"In progress")</f>
        <v/>
      </c>
      <c r="K13" s="10">
        <f>IFERROR(I13/H13,0)</f>
        <v/>
      </c>
      <c r="M13" s="37" t="inlineStr">
        <is>
          <t>By Phase</t>
        </is>
      </c>
      <c r="N13" s="98" t="n"/>
      <c r="O13" s="98" t="n"/>
    </row>
    <row r="14">
      <c r="B14" s="8" t="inlineStr">
        <is>
          <t>Priority</t>
        </is>
      </c>
      <c r="C14" s="8" t="inlineStr">
        <is>
          <t>Total</t>
        </is>
      </c>
      <c r="D14" s="8" t="inlineStr">
        <is>
          <t>Done</t>
        </is>
      </c>
      <c r="E14" s="8" t="inlineStr">
        <is>
          <t>% Done</t>
        </is>
      </c>
      <c r="G14" s="6" t="inlineStr">
        <is>
          <t>Eng Governance</t>
        </is>
      </c>
      <c r="H14" s="9">
        <f>COUNTIF(Plan!B5:B406,"Eng Governance")</f>
        <v/>
      </c>
      <c r="I14" s="9">
        <f>COUNTIFS(Plan!B5:B406,"Eng Governance",Plan!L5:L406,"Done")</f>
        <v/>
      </c>
      <c r="J14" s="9">
        <f>COUNTIFS(Plan!B5:B406,"Eng Governance",Plan!L5:L406,"In progress")</f>
        <v/>
      </c>
      <c r="K14" s="10">
        <f>IFERROR(I14/H14,0)</f>
        <v/>
      </c>
      <c r="M14" s="8" t="inlineStr">
        <is>
          <t>Phase</t>
        </is>
      </c>
      <c r="N14" s="8" t="inlineStr">
        <is>
          <t>Total</t>
        </is>
      </c>
      <c r="O14" s="8" t="inlineStr">
        <is>
          <t>Done</t>
        </is>
      </c>
    </row>
    <row r="15">
      <c r="B15" s="12" t="inlineStr">
        <is>
          <t>P0</t>
        </is>
      </c>
      <c r="C15" s="9">
        <f>COUNTIF(Plan!E5:E406,"P0")</f>
        <v/>
      </c>
      <c r="D15" s="9">
        <f>COUNTIFS(Plan!E5:E406,"P0",Plan!L5:L406,"Done")</f>
        <v/>
      </c>
      <c r="E15" s="10">
        <f>IFERROR(D15/C15,0)</f>
        <v/>
      </c>
      <c r="G15" s="6" t="inlineStr">
        <is>
          <t>Operational Readiness</t>
        </is>
      </c>
      <c r="H15" s="9">
        <f>COUNTIF(Plan!B5:B406,"Operational Readiness")</f>
        <v/>
      </c>
      <c r="I15" s="9">
        <f>COUNTIFS(Plan!B5:B406,"Operational Readiness",Plan!L5:L406,"Done")</f>
        <v/>
      </c>
      <c r="J15" s="9">
        <f>COUNTIFS(Plan!B5:B406,"Operational Readiness",Plan!L5:L406,"In progress")</f>
        <v/>
      </c>
      <c r="K15" s="10">
        <f>IFERROR(I15/H15,0)</f>
        <v/>
      </c>
      <c r="M15" s="82" t="inlineStr">
        <is>
          <t>Pre-Resign</t>
        </is>
      </c>
      <c r="N15" s="9">
        <f>COUNTIF(Plan!K5:K406,"Pre-Resign")</f>
        <v/>
      </c>
      <c r="O15" s="9">
        <f>COUNTIFS(Plan!K5:K406,"Pre-Resign",Plan!L5:L406,"Done")</f>
        <v/>
      </c>
    </row>
    <row r="16">
      <c r="B16" s="13" t="inlineStr">
        <is>
          <t>P1</t>
        </is>
      </c>
      <c r="C16" s="9">
        <f>COUNTIF(Plan!E5:E406,"P1")</f>
        <v/>
      </c>
      <c r="D16" s="9">
        <f>COUNTIFS(Plan!E5:E406,"P1",Plan!L5:L406,"Done")</f>
        <v/>
      </c>
      <c r="E16" s="10">
        <f>IFERROR(D16/C16,0)</f>
        <v/>
      </c>
      <c r="G16" s="6" t="inlineStr">
        <is>
          <t>Startup Credits</t>
        </is>
      </c>
      <c r="H16" s="9">
        <f>COUNTIF(Plan!B5:B406,"Startup Credits")</f>
        <v/>
      </c>
      <c r="I16" s="9">
        <f>COUNTIFS(Plan!B5:B406,"Startup Credits",Plan!L5:L406,"Done")</f>
        <v/>
      </c>
      <c r="J16" s="9">
        <f>COUNTIFS(Plan!B5:B406,"Startup Credits",Plan!L5:L406,"In progress")</f>
        <v/>
      </c>
      <c r="K16" s="10">
        <f>IFERROR(I16/H16,0)</f>
        <v/>
      </c>
      <c r="M16" s="40" t="inlineStr">
        <is>
          <t>At-Resign</t>
        </is>
      </c>
      <c r="N16" s="9">
        <f>COUNTIF(Plan!K5:K406,"At-Resign")</f>
        <v/>
      </c>
      <c r="O16" s="9">
        <f>COUNTIFS(Plan!K5:K406,"At-Resign",Plan!L5:L406,"Done")</f>
        <v/>
      </c>
    </row>
    <row r="17">
      <c r="B17" s="14" t="inlineStr">
        <is>
          <t>P2</t>
        </is>
      </c>
      <c r="C17" s="9">
        <f>COUNTIF(Plan!E5:E406,"P2")</f>
        <v/>
      </c>
      <c r="D17" s="9">
        <f>COUNTIFS(Plan!E5:E406,"P2",Plan!L5:L406,"Done")</f>
        <v/>
      </c>
      <c r="E17" s="10">
        <f>IFERROR(D17/C17,0)</f>
        <v/>
      </c>
      <c r="G17" s="6" t="inlineStr">
        <is>
          <t>Internal Rehearsal</t>
        </is>
      </c>
      <c r="H17" s="9">
        <f>COUNTIF(Plan!B5:B406,"Internal Rehearsal")</f>
        <v/>
      </c>
      <c r="I17" s="9">
        <f>COUNTIFS(Plan!B5:B406,"Internal Rehearsal",Plan!L5:L406,"Done")</f>
        <v/>
      </c>
      <c r="J17" s="9">
        <f>COUNTIFS(Plan!B5:B406,"Internal Rehearsal",Plan!L5:L406,"In progress")</f>
        <v/>
      </c>
      <c r="K17" s="10">
        <f>IFERROR(I17/H17,0)</f>
        <v/>
      </c>
      <c r="M17" s="83" t="inlineStr">
        <is>
          <t>Post-Resign</t>
        </is>
      </c>
      <c r="N17" s="9">
        <f>COUNTIF(Plan!K5:K406,"Post-Resign")</f>
        <v/>
      </c>
      <c r="O17" s="9">
        <f>COUNTIFS(Plan!K5:K406,"Post-Resign",Plan!L5:L406,"Done")</f>
        <v/>
      </c>
    </row>
    <row r="18">
      <c r="B18" s="15" t="inlineStr">
        <is>
          <t>P3</t>
        </is>
      </c>
      <c r="C18" s="9">
        <f>COUNTIF(Plan!E5:E406,"P3")</f>
        <v/>
      </c>
      <c r="D18" s="9">
        <f>COUNTIFS(Plan!E5:E406,"P3",Plan!L5:L406,"Done")</f>
        <v/>
      </c>
      <c r="E18" s="10">
        <f>IFERROR(D18/C18,0)</f>
        <v/>
      </c>
      <c r="G18" s="6" t="inlineStr">
        <is>
          <t>Pressure Test</t>
        </is>
      </c>
      <c r="H18" s="9">
        <f>COUNTIF(Plan!B5:B406,"Pressure Test")</f>
        <v/>
      </c>
      <c r="I18" s="9">
        <f>COUNTIFS(Plan!B5:B406,"Pressure Test",Plan!L5:L406,"Done")</f>
        <v/>
      </c>
      <c r="J18" s="9">
        <f>COUNTIFS(Plan!B5:B406,"Pressure Test",Plan!L5:L406,"In progress")</f>
        <v/>
      </c>
      <c r="K18" s="10">
        <f>IFERROR(I18/H18,0)</f>
        <v/>
      </c>
      <c r="M18" s="84" t="inlineStr">
        <is>
          <t>Anytime</t>
        </is>
      </c>
      <c r="N18" s="9">
        <f>COUNTIF(Plan!K5:K406,"Anytime")</f>
        <v/>
      </c>
      <c r="O18" s="9">
        <f>COUNTIFS(Plan!K5:K406,"Anytime",Plan!L5:L406,"Done")</f>
        <v/>
      </c>
    </row>
    <row r="19">
      <c r="G19" s="6" t="inlineStr">
        <is>
          <t>Adversarial Test</t>
        </is>
      </c>
      <c r="H19" s="9">
        <f>COUNTIF(Plan!B5:B406,"Adversarial Test")</f>
        <v/>
      </c>
      <c r="I19" s="9">
        <f>COUNTIFS(Plan!B5:B406,"Adversarial Test",Plan!L5:L406,"Done")</f>
        <v/>
      </c>
      <c r="J19" s="9">
        <f>COUNTIFS(Plan!B5:B406,"Adversarial Test",Plan!L5:L406,"In progress")</f>
        <v/>
      </c>
      <c r="K19" s="10">
        <f>IFERROR(I19/H19,0)</f>
        <v/>
      </c>
    </row>
    <row r="20">
      <c r="B20" s="37" t="inlineStr">
        <is>
          <t>By Ease (knock-off ladder)</t>
        </is>
      </c>
      <c r="C20" s="98" t="n"/>
      <c r="D20" s="98" t="n"/>
      <c r="E20" s="98" t="n"/>
      <c r="F20" s="36" t="n"/>
      <c r="G20" s="6" t="inlineStr">
        <is>
          <t>AI Liability Defense</t>
        </is>
      </c>
      <c r="H20" s="9" t="n">
        <v>60</v>
      </c>
      <c r="I20" s="9" t="n">
        <v>13</v>
      </c>
      <c r="J20" s="9" t="n">
        <v>3</v>
      </c>
      <c r="K20" s="10" t="n">
        <v>0.2166666666666667</v>
      </c>
    </row>
    <row r="21">
      <c r="B21" s="8" t="inlineStr">
        <is>
          <t>Ease bucket</t>
        </is>
      </c>
      <c r="C21" s="8" t="inlineStr">
        <is>
          <t>Total</t>
        </is>
      </c>
      <c r="D21" s="8" t="inlineStr">
        <is>
          <t>Done</t>
        </is>
      </c>
      <c r="E21" s="8" t="inlineStr">
        <is>
          <t>% Done</t>
        </is>
      </c>
      <c r="F21" s="36" t="n"/>
      <c r="G21" s="36" t="inlineStr">
        <is>
          <t>Private Data Plane</t>
        </is>
      </c>
      <c r="H21" s="36" t="n">
        <v>12</v>
      </c>
      <c r="I21" s="36" t="n">
        <v>0</v>
      </c>
      <c r="J21" s="36" t="n">
        <v>0</v>
      </c>
      <c r="K21" s="36" t="n">
        <v>0</v>
      </c>
    </row>
    <row r="22">
      <c r="B22" s="38" t="inlineStr">
        <is>
          <t>1. QUICK WIN</t>
        </is>
      </c>
      <c r="C22" s="9">
        <f>COUNTIF(Plan!F5:F406,"1. QUICK WIN")</f>
        <v/>
      </c>
      <c r="D22" s="9">
        <f>COUNTIFS(Plan!F5:F406,"1. QUICK WIN",Plan!L5:L406,"Done")</f>
        <v/>
      </c>
      <c r="E22" s="10">
        <f>IFERROR(D22/C22,0)</f>
        <v/>
      </c>
      <c r="F22" s="36" t="n"/>
      <c r="G22" s="6" t="inlineStr">
        <is>
          <t>Employer Conflict</t>
        </is>
      </c>
      <c r="H22" s="9">
        <f>COUNTIF(Plan!B5:B406,"Employer Conflict")</f>
        <v/>
      </c>
      <c r="I22" s="9">
        <f>COUNTIFS(Plan!B5:B406,"Employer Conflict",Plan!L5:L406,"Done")</f>
        <v/>
      </c>
      <c r="J22" s="9">
        <f>COUNTIFS(Plan!B5:B406,"Employer Conflict",Plan!L5:L406,"In progress")</f>
        <v/>
      </c>
      <c r="K22" s="10">
        <f>IFERROR(I22/H22,0)</f>
        <v/>
      </c>
    </row>
    <row r="23">
      <c r="B23" s="39" t="inlineStr">
        <is>
          <t>2. CLAUDE DOES IT</t>
        </is>
      </c>
      <c r="C23" s="9">
        <f>COUNTIF(Plan!F5:F406,"2. CLAUDE DOES IT")</f>
        <v/>
      </c>
      <c r="D23" s="9">
        <f>COUNTIFS(Plan!F5:F406,"2. CLAUDE DOES IT",Plan!L5:L406,"Done")</f>
        <v/>
      </c>
      <c r="E23" s="10">
        <f>IFERROR(D23/C23,0)</f>
        <v/>
      </c>
      <c r="F23" s="36" t="n"/>
      <c r="G23" s="6" t="inlineStr">
        <is>
          <t>Private Client Deployment</t>
        </is>
      </c>
      <c r="H23" s="9">
        <f>COUNTIF(Plan!B5:B406,"Private Client Deployment")</f>
        <v/>
      </c>
      <c r="I23" s="9">
        <f>COUNTIFS(Plan!B5:B406,"Private Client Deployment",Plan!L5:L406,"Done")</f>
        <v/>
      </c>
      <c r="J23" s="9">
        <f>COUNTIFS(Plan!B5:B406,"Private Client Deployment",Plan!L5:L406,"In progress")</f>
        <v/>
      </c>
      <c r="K23" s="10">
        <f>IFERROR(I23/H23,0)</f>
        <v/>
      </c>
    </row>
    <row r="24">
      <c r="B24" s="40" t="inlineStr">
        <is>
          <t>3. CLAUDE + YOU</t>
        </is>
      </c>
      <c r="C24" s="9">
        <f>COUNTIF(Plan!F5:F406,"3. CLAUDE + YOU")</f>
        <v/>
      </c>
      <c r="D24" s="9">
        <f>COUNTIFS(Plan!F5:F406,"3. CLAUDE + YOU",Plan!L5:L406,"Done")</f>
        <v/>
      </c>
      <c r="E24" s="10">
        <f>IFERROR(D24/C24,0)</f>
        <v/>
      </c>
      <c r="F24" s="36" t="n"/>
      <c r="G24" s="36" t="n"/>
      <c r="H24" s="36" t="n"/>
      <c r="I24" s="36" t="n"/>
      <c r="J24" s="36" t="n"/>
      <c r="K24" s="36" t="n"/>
    </row>
    <row r="25">
      <c r="B25" s="41" t="inlineStr">
        <is>
          <t>4. CLAUDE + PRO</t>
        </is>
      </c>
      <c r="C25" s="9">
        <f>COUNTIF(Plan!F5:F406,"4. CLAUDE + PRO")</f>
        <v/>
      </c>
      <c r="D25" s="9">
        <f>COUNTIFS(Plan!F5:F406,"4. CLAUDE + PRO",Plan!L5:L406,"Done")</f>
        <v/>
      </c>
      <c r="E25" s="10">
        <f>IFERROR(D25/C25,0)</f>
        <v/>
      </c>
      <c r="F25" s="36" t="n"/>
      <c r="G25" s="36" t="n"/>
      <c r="H25" s="36" t="n"/>
      <c r="I25" s="36" t="n"/>
      <c r="J25" s="36" t="n"/>
      <c r="K25" s="36" t="n"/>
    </row>
    <row r="26">
      <c r="B26" s="42" t="inlineStr">
        <is>
          <t>5. EXTERNAL</t>
        </is>
      </c>
      <c r="C26" s="9">
        <f>COUNTIF(Plan!F5:F406,"5. EXTERNAL")</f>
        <v/>
      </c>
      <c r="D26" s="9">
        <f>COUNTIFS(Plan!F5:F406,"5. EXTERNAL",Plan!L5:L406,"Done")</f>
        <v/>
      </c>
      <c r="E26" s="10">
        <f>IFERROR(D26/C26,0)</f>
        <v/>
      </c>
      <c r="F26" s="36" t="n"/>
      <c r="G26" s="36" t="n"/>
      <c r="H26" s="36" t="n"/>
      <c r="I26" s="36" t="n"/>
      <c r="J26" s="36" t="n"/>
      <c r="K26" s="36" t="n"/>
    </row>
    <row r="27">
      <c r="B27" s="81" t="inlineStr">
        <is>
          <t>✅ RESOLVED (risk-accepted) — Employer/Accenture conflict deprioritized 2026-06-04</t>
        </is>
      </c>
      <c r="C27" s="98" t="n"/>
      <c r="D27" s="98" t="n"/>
      <c r="E27" s="98" t="n"/>
      <c r="F27" s="98" t="n"/>
      <c r="G27" s="98" t="n"/>
      <c r="H27" s="98" t="n"/>
      <c r="I27" s="98" t="n"/>
      <c r="J27" s="98" t="n"/>
      <c r="K27" s="98" t="n"/>
    </row>
    <row r="28">
      <c r="B28" s="70" t="inlineStr">
        <is>
          <t>Founder decision: Accenture won't pursue a pilot-stage startup. Lane dropped to P3. Kept only: clean IP assignment + git-history preservation (ownership story). No lawyer conflict review. PHS/KK sprints run normally.</t>
        </is>
      </c>
      <c r="C28" s="98" t="n"/>
      <c r="D28" s="98" t="n"/>
      <c r="E28" s="98" t="n"/>
      <c r="F28" s="98" t="n"/>
      <c r="G28" s="98" t="n"/>
      <c r="H28" s="98" t="n"/>
      <c r="I28" s="98" t="n"/>
      <c r="J28" s="98" t="n"/>
      <c r="K28" s="98" t="n"/>
    </row>
    <row r="29">
      <c r="B29" s="69" t="inlineStr">
        <is>
          <t>🎯 PROSPECT PRIORITY — All 3 Have Demo Access; Closing Motion, Not Pitching</t>
        </is>
      </c>
      <c r="C29" s="98" t="n"/>
      <c r="D29" s="98" t="n"/>
      <c r="E29" s="98" t="n"/>
      <c r="F29" s="98" t="n"/>
      <c r="G29" s="98" t="n"/>
      <c r="H29" s="98" t="n"/>
      <c r="I29" s="98" t="n"/>
      <c r="J29" s="98" t="n"/>
      <c r="K29" s="98" t="n"/>
      <c r="L29" s="36" t="n"/>
      <c r="M29" s="36" t="n"/>
    </row>
    <row r="30">
      <c r="B30" s="70" t="inlineStr">
        <is>
          <t>2-week sprints on PHS + KK in parallel. Surekha = nurture until July 1 start, then sprint.</t>
        </is>
      </c>
      <c r="C30" s="98" t="n"/>
      <c r="D30" s="98" t="n"/>
      <c r="E30" s="98" t="n"/>
      <c r="F30" s="98" t="n"/>
      <c r="G30" s="98" t="n"/>
      <c r="H30" s="98" t="n"/>
      <c r="I30" s="98" t="n"/>
      <c r="J30" s="98" t="n"/>
      <c r="K30" s="98" t="n"/>
      <c r="L30" s="36" t="n"/>
      <c r="M30" s="36" t="n"/>
    </row>
    <row r="31">
      <c r="B31" s="36" t="n"/>
      <c r="C31" s="36" t="n"/>
      <c r="D31" s="36" t="n"/>
      <c r="E31" s="36" t="n"/>
      <c r="F31" s="36" t="n"/>
      <c r="G31" s="36" t="n"/>
      <c r="H31" s="36" t="n"/>
      <c r="I31" s="36" t="n"/>
      <c r="J31" s="36" t="n"/>
      <c r="K31" s="36" t="n"/>
      <c r="L31" s="36" t="n"/>
      <c r="M31" s="36" t="n"/>
    </row>
    <row r="32">
      <c r="B32" s="73" t="inlineStr">
        <is>
          <t>1</t>
        </is>
      </c>
      <c r="C32" s="72" t="inlineStr">
        <is>
          <t>PHS CDAO</t>
        </is>
      </c>
      <c r="D32" s="18" t="inlineStr">
        <is>
          <t>🟡 MED-HIGH risk</t>
        </is>
      </c>
      <c r="E32" s="18" t="inlineStr">
        <is>
          <t>Sprint to close as planned — no conflict hold. Standard transactional MSA/SOW lawyer review only.</t>
        </is>
      </c>
      <c r="F32" s="18" t="inlineStr">
        <is>
          <t>Contract Q: liability cap + IP-improvements clause (redline brief)</t>
        </is>
      </c>
      <c r="G32" s="18" t="inlineStr">
        <is>
          <t>You</t>
        </is>
      </c>
      <c r="H32" s="36" t="n"/>
      <c r="I32" s="36" t="n"/>
      <c r="J32" s="36" t="n"/>
      <c r="K32" s="36" t="n"/>
      <c r="L32" s="36" t="n"/>
      <c r="M32" s="36" t="n"/>
    </row>
    <row r="33">
      <c r="B33" s="79" t="inlineStr">
        <is>
          <t>2</t>
        </is>
      </c>
      <c r="C33" s="72" t="inlineStr">
        <is>
          <t>KK / Delta</t>
        </is>
      </c>
      <c r="D33" s="18" t="inlineStr">
        <is>
          <t>🟢 LOW risk (likely clean)</t>
        </is>
      </c>
      <c r="E33" s="18" t="inlineStr">
        <is>
          <t>Sprint as planned; could be first signing</t>
        </is>
      </c>
      <c r="F33" s="18" t="inlineStr">
        <is>
          <t>Contract Q: non-solicit/lookback — handle in deal paper if raised</t>
        </is>
      </c>
      <c r="G33" s="18" t="inlineStr">
        <is>
          <t>You</t>
        </is>
      </c>
      <c r="H33" s="36" t="n"/>
      <c r="I33" s="36" t="n"/>
      <c r="J33" s="36" t="n"/>
      <c r="K33" s="36" t="n"/>
      <c r="L33" s="36" t="n"/>
      <c r="M33" s="36" t="n"/>
    </row>
    <row r="34">
      <c r="B34" s="79" t="inlineStr">
        <is>
          <t>3</t>
        </is>
      </c>
      <c r="C34" s="72" t="inlineStr">
        <is>
          <t>Surekha @ Morgan Street</t>
        </is>
      </c>
      <c r="D34" s="18" t="inlineStr">
        <is>
          <t>🟢 CLEAN (confirm)</t>
        </is>
      </c>
      <c r="E34" s="18" t="inlineStr">
        <is>
          <t>Nurture until July 1, sprint after; just confirm not Accenture client</t>
        </is>
      </c>
      <c r="F34" s="18" t="inlineStr">
        <is>
          <t>Light: confirm Morgan Street not a current client; one-line procurement answer</t>
        </is>
      </c>
      <c r="G34" s="18" t="inlineStr">
        <is>
          <t>You</t>
        </is>
      </c>
      <c r="H34" s="36" t="n"/>
      <c r="I34" s="36" t="n"/>
      <c r="J34" s="36" t="n"/>
      <c r="K34" s="36" t="n"/>
      <c r="L34" s="36" t="n"/>
      <c r="M34" s="36" t="n"/>
    </row>
    <row r="35">
      <c r="B35" s="79" t="inlineStr">
        <is>
          <t>3</t>
        </is>
      </c>
      <c r="C35" s="72" t="inlineStr">
        <is>
          <t>Surekha @ Morgan Street</t>
        </is>
      </c>
      <c r="D35" s="18" t="inlineStr">
        <is>
          <t>Has demo access; joins role July 1</t>
        </is>
      </c>
      <c r="E35" s="18" t="inlineStr">
        <is>
          <t>Stay warm — DON'T over-pitch pre-start</t>
        </is>
      </c>
      <c r="F35" s="18" t="inlineStr">
        <is>
          <t>Light touch: 1-2 value-add messages over 5 weeks</t>
        </is>
      </c>
      <c r="G35" s="18" t="inlineStr">
        <is>
          <t>You</t>
        </is>
      </c>
      <c r="H35" s="36" t="n"/>
      <c r="I35" s="36" t="n"/>
      <c r="J35" s="36" t="n"/>
      <c r="K35" s="36" t="n"/>
      <c r="L35" s="36" t="n"/>
      <c r="M35" s="36" t="n"/>
    </row>
    <row r="36">
      <c r="B36" s="36" t="n"/>
      <c r="C36" s="36" t="n"/>
      <c r="D36" s="36" t="n"/>
      <c r="E36" s="36" t="n"/>
      <c r="F36" s="36" t="n"/>
      <c r="G36" s="36" t="n"/>
      <c r="H36" s="36" t="n"/>
      <c r="I36" s="36" t="n"/>
      <c r="J36" s="36" t="n"/>
      <c r="K36" s="36" t="n"/>
      <c r="L36" s="36" t="n"/>
      <c r="M36" s="36" t="n"/>
    </row>
    <row r="37">
      <c r="B37" s="36" t="n"/>
      <c r="C37" s="36" t="n"/>
      <c r="D37" s="36" t="n"/>
      <c r="E37" s="36" t="n"/>
      <c r="F37" s="36" t="n"/>
      <c r="G37" s="36" t="n"/>
      <c r="H37" s="36" t="n"/>
      <c r="I37" s="36" t="n"/>
      <c r="J37" s="36" t="n"/>
      <c r="K37" s="36" t="n"/>
      <c r="L37" s="36" t="n"/>
      <c r="M37" s="36" t="n"/>
    </row>
    <row r="38">
      <c r="B38" s="75" t="inlineStr">
        <is>
          <t>📅 2-WEEK SPRINT — PHS + KK in Parallel</t>
        </is>
      </c>
      <c r="C38" s="98" t="n"/>
      <c r="D38" s="98" t="n"/>
      <c r="E38" s="98" t="n"/>
      <c r="F38" s="98" t="n"/>
      <c r="G38" s="98" t="n"/>
      <c r="H38" s="98" t="n"/>
      <c r="I38" s="98" t="n"/>
      <c r="J38" s="98" t="n"/>
      <c r="K38" s="98" t="n"/>
      <c r="L38" s="36" t="n"/>
      <c r="M38" s="36" t="n"/>
    </row>
    <row r="39">
      <c r="B39" s="8" t="inlineStr">
        <is>
          <t>DAY</t>
        </is>
      </c>
      <c r="C39" s="8" t="inlineStr">
        <is>
          <t>PHS CDAO (close motion)</t>
        </is>
      </c>
      <c r="D39" s="64" t="n"/>
      <c r="E39" s="64" t="n"/>
      <c r="F39" s="35" t="n"/>
      <c r="G39" s="8" t="inlineStr">
        <is>
          <t>KK / Delta (close OR no-go)</t>
        </is>
      </c>
      <c r="H39" s="64" t="n"/>
      <c r="I39" s="64" t="n"/>
      <c r="J39" s="64" t="n"/>
      <c r="K39" s="35" t="n"/>
      <c r="L39" s="36" t="n"/>
      <c r="M39" s="36" t="n"/>
    </row>
    <row r="40" ht="36" customHeight="1">
      <c r="B40" s="30" t="inlineStr">
        <is>
          <t>Day 1-2</t>
        </is>
      </c>
      <c r="C40" s="18" t="inlineStr">
        <is>
          <t>Usage debrief call w/ CDAO — what did they try? Where did they get stuck? What's missing for their context?</t>
        </is>
      </c>
      <c r="D40" s="64" t="n"/>
      <c r="E40" s="64" t="n"/>
      <c r="F40" s="35" t="n"/>
      <c r="G40" s="18" t="inlineStr">
        <is>
          <t>Usage debrief w/ KK + team — what did they try? Did it land for AI-led product dev intent?</t>
        </is>
      </c>
      <c r="H40" s="64" t="n"/>
      <c r="I40" s="64" t="n"/>
      <c r="J40" s="64" t="n"/>
      <c r="K40" s="35" t="n"/>
      <c r="L40" s="36" t="n"/>
      <c r="M40" s="36" t="n"/>
    </row>
    <row r="41" ht="36" customHeight="1">
      <c r="B41" s="30" t="inlineStr">
        <is>
          <t>Day 2-3</t>
        </is>
      </c>
      <c r="C41" s="18" t="inlineStr">
        <is>
          <t>Load PHS-style data into their tenant (synthetic healthcare scaled to their size); customize Move catalog for healthcare</t>
        </is>
      </c>
      <c r="D41" s="64" t="n"/>
      <c r="E41" s="64" t="n"/>
      <c r="F41" s="35" t="n"/>
      <c r="G41" s="18" t="inlineStr">
        <is>
          <t>STRATEGIC DECISION: build 'Software Delivery' corpus wave or not? Decide BEFORE further work.</t>
        </is>
      </c>
      <c r="H41" s="64" t="n"/>
      <c r="I41" s="64" t="n"/>
      <c r="J41" s="64" t="n"/>
      <c r="K41" s="35" t="n"/>
      <c r="L41" s="36" t="n"/>
      <c r="M41" s="36" t="n"/>
    </row>
    <row r="42" ht="36" customHeight="1">
      <c r="B42" s="30" t="inlineStr">
        <is>
          <t>Day 3-4</t>
        </is>
      </c>
      <c r="C42" s="18" t="inlineStr">
        <is>
          <t>Identify full decision-maker chain: CDAO authorize? Or CIO/CFO joint? Map IT sourcing colleague</t>
        </is>
      </c>
      <c r="D42" s="64" t="n"/>
      <c r="E42" s="64" t="n"/>
      <c r="F42" s="35" t="n"/>
      <c r="G42" s="18" t="inlineStr">
        <is>
          <t>If decision = NO corpus: pivot KK to Play A (governance/measurement layer) + Source wedge. Honest framing.</t>
        </is>
      </c>
      <c r="H42" s="64" t="n"/>
      <c r="I42" s="64" t="n"/>
      <c r="J42" s="64" t="n"/>
      <c r="K42" s="35" t="n"/>
      <c r="L42" s="36" t="n"/>
      <c r="M42" s="36" t="n"/>
    </row>
    <row r="43" ht="36" customHeight="1">
      <c r="B43" s="30" t="inlineStr">
        <is>
          <t>Day 4-5</t>
        </is>
      </c>
      <c r="C43" s="18" t="inlineStr">
        <is>
          <t>Joint working session (90 min) — walk through THEIR PHS view: 3 candidate Moves + value math + Azure+Databricks fit</t>
        </is>
      </c>
      <c r="D43" s="64" t="n"/>
      <c r="E43" s="64" t="n"/>
      <c r="F43" s="35" t="n"/>
      <c r="G43" s="18" t="inlineStr">
        <is>
          <t>Joint working session — pitch Play A. Confirm whether 'methodology' or 'measurement/governance' is primary itch.</t>
        </is>
      </c>
      <c r="H43" s="64" t="n"/>
      <c r="I43" s="64" t="n"/>
      <c r="J43" s="64" t="n"/>
      <c r="K43" s="35" t="n"/>
      <c r="L43" s="36" t="n"/>
      <c r="M43" s="36" t="n"/>
    </row>
    <row r="44" ht="36" customHeight="1">
      <c r="B44" s="30" t="inlineStr">
        <is>
          <t>Day 5-7</t>
        </is>
      </c>
      <c r="C44" s="18" t="inlineStr">
        <is>
          <t>Draft pilot SOW tailored to PHS with success criteria + IT sourcing add-on (Source module)</t>
        </is>
      </c>
      <c r="D44" s="64" t="n"/>
      <c r="E44" s="64" t="n"/>
      <c r="F44" s="35" t="n"/>
      <c r="G44" s="18" t="inlineStr">
        <is>
          <t>If green light: draft Lane A (CTO core) + Lane B (AI-dev measurement) SOW. If red light: nurture, move on.</t>
        </is>
      </c>
      <c r="H44" s="64" t="n"/>
      <c r="I44" s="64" t="n"/>
      <c r="J44" s="64" t="n"/>
      <c r="K44" s="35" t="n"/>
      <c r="L44" s="36" t="n"/>
      <c r="M44" s="36" t="n"/>
    </row>
    <row r="45" ht="36" customHeight="1">
      <c r="B45" s="30" t="inlineStr">
        <is>
          <t>Day 7-10</t>
        </is>
      </c>
      <c r="C45" s="18" t="inlineStr">
        <is>
          <t>Iterate SOW with CDAO + IT sourcing colleague. Align commercial terms (price, payment, founder hours).</t>
        </is>
      </c>
      <c r="D45" s="64" t="n"/>
      <c r="E45" s="64" t="n"/>
      <c r="F45" s="35" t="n"/>
      <c r="G45" s="18" t="inlineStr">
        <is>
          <t>Iterate SOW with KK. Validate value levers with Delta actual numbers ($3B IT, $100s of millions app dev).</t>
        </is>
      </c>
      <c r="H45" s="64" t="n"/>
      <c r="I45" s="64" t="n"/>
      <c r="J45" s="64" t="n"/>
      <c r="K45" s="35" t="n"/>
      <c r="L45" s="36" t="n"/>
      <c r="M45" s="36" t="n"/>
    </row>
    <row r="46" ht="36" customHeight="1">
      <c r="B46" s="30" t="inlineStr">
        <is>
          <t>Day 10-12</t>
        </is>
      </c>
      <c r="C46" s="18" t="inlineStr">
        <is>
          <t>Schedule decision meeting. Pre-handle legal/procurement questions. Insurance + SOC 2 status doc.</t>
        </is>
      </c>
      <c r="D46" s="64" t="n"/>
      <c r="E46" s="64" t="n"/>
      <c r="F46" s="35" t="n"/>
      <c r="G46" s="18" t="inlineStr">
        <is>
          <t>Schedule decision meeting OR document 'what would need to be true' for future.</t>
        </is>
      </c>
      <c r="H46" s="64" t="n"/>
      <c r="I46" s="64" t="n"/>
      <c r="J46" s="64" t="n"/>
      <c r="K46" s="35" t="n"/>
      <c r="L46" s="36" t="n"/>
      <c r="M46" s="36" t="n"/>
    </row>
    <row r="47" ht="36" customHeight="1">
      <c r="B47" s="30" t="inlineStr">
        <is>
          <t>Day 12-14</t>
        </is>
      </c>
      <c r="C47" s="18" t="inlineStr">
        <is>
          <t>Verbal alignment + pilot SOW agreed in principle. Kickoff date scheduled.</t>
        </is>
      </c>
      <c r="D47" s="64" t="n"/>
      <c r="E47" s="64" t="n"/>
      <c r="F47" s="35" t="n"/>
      <c r="G47" s="18" t="inlineStr">
        <is>
          <t>Outcome: signed alignment or clean no-go. Don't drag KK if not fit.</t>
        </is>
      </c>
      <c r="H47" s="64" t="n"/>
      <c r="I47" s="64" t="n"/>
      <c r="J47" s="64" t="n"/>
      <c r="K47" s="35" t="n"/>
      <c r="L47" s="36" t="n"/>
      <c r="M47" s="36" t="n"/>
    </row>
    <row r="48">
      <c r="B48" s="36" t="n"/>
      <c r="C48" s="36" t="n"/>
      <c r="D48" s="36" t="n"/>
      <c r="E48" s="36" t="n"/>
      <c r="F48" s="36" t="n"/>
      <c r="G48" s="36" t="n"/>
      <c r="H48" s="36" t="n"/>
      <c r="I48" s="36" t="n"/>
      <c r="J48" s="36" t="n"/>
      <c r="K48" s="36" t="n"/>
      <c r="L48" s="36" t="n"/>
      <c r="M48" s="36" t="n"/>
    </row>
    <row r="49">
      <c r="B49" s="36" t="n"/>
      <c r="C49" s="36" t="n"/>
      <c r="D49" s="36" t="n"/>
      <c r="E49" s="36" t="n"/>
      <c r="F49" s="36" t="n"/>
      <c r="G49" s="36" t="n"/>
      <c r="H49" s="36" t="n"/>
      <c r="I49" s="36" t="n"/>
      <c r="J49" s="36" t="n"/>
      <c r="K49" s="36" t="n"/>
      <c r="L49" s="36" t="n"/>
      <c r="M49" s="36" t="n"/>
    </row>
    <row r="50">
      <c r="B50" s="80" t="inlineStr">
        <is>
          <t>🌱 SUREKHA NURTURE — She joins July 1, sprint after</t>
        </is>
      </c>
      <c r="C50" s="98" t="n"/>
      <c r="D50" s="98" t="n"/>
      <c r="E50" s="98" t="n"/>
      <c r="F50" s="98" t="n"/>
      <c r="G50" s="98" t="n"/>
      <c r="H50" s="98" t="n"/>
      <c r="I50" s="98" t="n"/>
      <c r="J50" s="98" t="n"/>
      <c r="K50" s="98" t="n"/>
      <c r="L50" s="36" t="n"/>
      <c r="M50" s="36" t="n"/>
    </row>
    <row r="51">
      <c r="B51" s="76" t="inlineStr">
        <is>
          <t>☐</t>
        </is>
      </c>
      <c r="C51" s="36" t="inlineStr">
        <is>
          <t>Week 1 (now): LinkedIn connect with thoughtful note about her new role — NOT pitch</t>
        </is>
      </c>
      <c r="D51" s="98" t="n"/>
      <c r="E51" s="98" t="n"/>
      <c r="F51" s="98" t="n"/>
      <c r="G51" s="98" t="n"/>
      <c r="H51" s="98" t="n"/>
      <c r="I51" s="98" t="n"/>
      <c r="J51" s="98" t="n"/>
      <c r="K51" s="98" t="n"/>
      <c r="L51" s="36" t="n"/>
      <c r="M51" s="36" t="n"/>
    </row>
    <row r="52">
      <c r="B52" s="76" t="inlineStr">
        <is>
          <t>☐</t>
        </is>
      </c>
      <c r="C52" s="36" t="inlineStr">
        <is>
          <t>Week 2-3: Share 1 thoughtful piece (industry insight or framework) — value, not sales</t>
        </is>
      </c>
      <c r="D52" s="98" t="n"/>
      <c r="E52" s="98" t="n"/>
      <c r="F52" s="98" t="n"/>
      <c r="G52" s="98" t="n"/>
      <c r="H52" s="98" t="n"/>
      <c r="I52" s="98" t="n"/>
      <c r="J52" s="98" t="n"/>
      <c r="K52" s="98" t="n"/>
      <c r="L52" s="36" t="n"/>
      <c r="M52" s="36" t="n"/>
    </row>
    <row r="53">
      <c r="B53" s="76" t="inlineStr">
        <is>
          <t>☐</t>
        </is>
      </c>
      <c r="C53" s="36" t="inlineStr">
        <is>
          <t>Week 4-5: Reference a peer's success or relevant case — keep warm</t>
        </is>
      </c>
      <c r="D53" s="98" t="n"/>
      <c r="E53" s="98" t="n"/>
      <c r="F53" s="98" t="n"/>
      <c r="G53" s="98" t="n"/>
      <c r="H53" s="98" t="n"/>
      <c r="I53" s="98" t="n"/>
      <c r="J53" s="98" t="n"/>
      <c r="K53" s="98" t="n"/>
      <c r="L53" s="36" t="n"/>
      <c r="M53" s="36" t="n"/>
    </row>
    <row r="54">
      <c r="B54" s="76" t="inlineStr">
        <is>
          <t>☐</t>
        </is>
      </c>
      <c r="C54" s="36" t="inlineStr">
        <is>
          <t>Week 5 (~July 1): 'Heard you're starting — would love a 30-min in your first week to share the 100-day framework'</t>
        </is>
      </c>
      <c r="D54" s="98" t="n"/>
      <c r="E54" s="98" t="n"/>
      <c r="F54" s="98" t="n"/>
      <c r="G54" s="98" t="n"/>
      <c r="H54" s="98" t="n"/>
      <c r="I54" s="98" t="n"/>
      <c r="J54" s="98" t="n"/>
      <c r="K54" s="98" t="n"/>
      <c r="L54" s="36" t="n"/>
      <c r="M54" s="36" t="n"/>
    </row>
    <row r="55">
      <c r="B55" s="76" t="inlineStr">
        <is>
          <t>☐</t>
        </is>
      </c>
      <c r="C55" s="36" t="inlineStr">
        <is>
          <t>Week 6 (~July 7): Discovery call → working session → pilot SOW (full sprint)</t>
        </is>
      </c>
      <c r="D55" s="98" t="n"/>
      <c r="E55" s="98" t="n"/>
      <c r="F55" s="98" t="n"/>
      <c r="G55" s="98" t="n"/>
      <c r="H55" s="98" t="n"/>
      <c r="I55" s="98" t="n"/>
      <c r="J55" s="98" t="n"/>
      <c r="K55" s="98" t="n"/>
      <c r="L55" s="36" t="n"/>
      <c r="M55" s="36" t="n"/>
    </row>
    <row r="56">
      <c r="B56" s="76" t="inlineStr">
        <is>
          <t>☐</t>
        </is>
      </c>
      <c r="C56" s="36" t="inlineStr">
        <is>
          <t>DON'T: pitch hard pre-start; she has bandwidth issues + no authority yet</t>
        </is>
      </c>
      <c r="D56" s="98" t="n"/>
      <c r="E56" s="98" t="n"/>
      <c r="F56" s="98" t="n"/>
      <c r="G56" s="98" t="n"/>
      <c r="H56" s="98" t="n"/>
      <c r="I56" s="98" t="n"/>
      <c r="J56" s="98" t="n"/>
      <c r="K56" s="98" t="n"/>
      <c r="L56" s="36" t="n"/>
      <c r="M56" s="36" t="n"/>
    </row>
    <row r="57">
      <c r="B57" s="36" t="n"/>
      <c r="C57" s="36" t="n"/>
      <c r="D57" s="36" t="n"/>
      <c r="E57" s="36" t="n"/>
      <c r="F57" s="36" t="n"/>
      <c r="G57" s="36" t="n"/>
      <c r="H57" s="36" t="n"/>
      <c r="I57" s="36" t="n"/>
      <c r="J57" s="36" t="n"/>
      <c r="K57" s="36" t="n"/>
      <c r="L57" s="36" t="n"/>
      <c r="M57" s="36" t="n"/>
    </row>
    <row r="58">
      <c r="B58" s="36" t="n"/>
      <c r="C58" s="36" t="n"/>
      <c r="D58" s="36" t="n"/>
      <c r="E58" s="36" t="n"/>
      <c r="F58" s="36" t="n"/>
      <c r="G58" s="36" t="n"/>
      <c r="H58" s="36" t="n"/>
      <c r="I58" s="36" t="n"/>
      <c r="J58" s="36" t="n"/>
      <c r="K58" s="36" t="n"/>
      <c r="L58" s="36" t="n"/>
      <c r="M58" s="36" t="n"/>
    </row>
    <row r="59">
      <c r="B59" s="77" t="inlineStr">
        <is>
          <t>🔱 STRATEGIC DECISION GATE — Drives KK Play</t>
        </is>
      </c>
      <c r="C59" s="98" t="n"/>
      <c r="D59" s="98" t="n"/>
      <c r="E59" s="98" t="n"/>
      <c r="F59" s="98" t="n"/>
      <c r="G59" s="98" t="n"/>
      <c r="H59" s="98" t="n"/>
      <c r="I59" s="98" t="n"/>
      <c r="J59" s="98" t="n"/>
      <c r="K59" s="98" t="n"/>
      <c r="L59" s="36" t="n"/>
      <c r="M59" s="36" t="n"/>
    </row>
    <row r="60" ht="50" customHeight="1">
      <c r="B60" s="76" t="inlineStr">
        <is>
          <t>☐</t>
        </is>
      </c>
      <c r="C60" s="78" t="inlineStr">
        <is>
          <t>Decide: build 'Software Delivery / AI-Led Dev' corpus wave? (6-12 weeks investment; unlocks CTO-buyer TAM). MUST decide by Day 2-3 of KK sprint. If yes, KK can be pitched as full fit. If no, KK pivots to Play A or C only.</t>
        </is>
      </c>
      <c r="D60" s="98" t="n"/>
      <c r="E60" s="98" t="n"/>
      <c r="F60" s="98" t="n"/>
      <c r="G60" s="98" t="n"/>
      <c r="H60" s="98" t="n"/>
      <c r="I60" s="98" t="n"/>
      <c r="J60" s="98" t="n"/>
      <c r="K60" s="98" t="n"/>
      <c r="L60" s="36" t="n"/>
      <c r="M60" s="36" t="n"/>
    </row>
    <row r="61">
      <c r="B61" s="36" t="n"/>
      <c r="C61" s="98" t="n"/>
      <c r="K61" s="98" t="n"/>
      <c r="L61" s="36" t="n"/>
      <c r="M61" s="36" t="n"/>
    </row>
    <row r="62">
      <c r="B62" s="36" t="n"/>
      <c r="C62" s="98" t="n"/>
      <c r="D62" s="98" t="n"/>
      <c r="E62" s="98" t="n"/>
      <c r="F62" s="98" t="n"/>
      <c r="G62" s="98" t="n"/>
      <c r="H62" s="98" t="n"/>
      <c r="I62" s="98" t="n"/>
      <c r="J62" s="98" t="n"/>
      <c r="K62" s="98" t="n"/>
      <c r="L62" s="36" t="n"/>
      <c r="M62" s="36" t="n"/>
    </row>
    <row r="63">
      <c r="B63" s="36" t="n"/>
      <c r="C63" s="36" t="n"/>
      <c r="D63" s="36" t="n"/>
      <c r="E63" s="36" t="n"/>
      <c r="F63" s="36" t="n"/>
      <c r="G63" s="36" t="n"/>
      <c r="H63" s="36" t="n"/>
      <c r="I63" s="36" t="n"/>
      <c r="J63" s="36" t="n"/>
      <c r="K63" s="36" t="n"/>
      <c r="L63" s="36" t="n"/>
      <c r="M63" s="36" t="n"/>
    </row>
    <row r="64">
      <c r="B64" s="36" t="n"/>
      <c r="C64" s="36" t="n"/>
      <c r="D64" s="36" t="n"/>
      <c r="E64" s="36" t="n"/>
      <c r="F64" s="36" t="n"/>
      <c r="G64" s="36" t="n"/>
      <c r="H64" s="36" t="n"/>
      <c r="I64" s="36" t="n"/>
      <c r="J64" s="36" t="n"/>
      <c r="K64" s="36" t="n"/>
      <c r="L64" s="36" t="n"/>
      <c r="M64" s="36" t="n"/>
    </row>
    <row r="65">
      <c r="B65" s="36" t="n"/>
      <c r="C65" s="36" t="n"/>
      <c r="D65" s="36" t="n"/>
      <c r="E65" s="36" t="n"/>
      <c r="F65" s="36" t="n"/>
      <c r="G65" s="36" t="n"/>
      <c r="H65" s="36" t="n"/>
      <c r="I65" s="36" t="n"/>
      <c r="J65" s="36" t="n"/>
      <c r="K65" s="36" t="n"/>
      <c r="L65" s="36" t="n"/>
      <c r="M65" s="36" t="n"/>
    </row>
    <row r="66">
      <c r="B66" s="36" t="n"/>
      <c r="C66" s="36" t="n"/>
      <c r="D66" s="36" t="n"/>
      <c r="E66" s="36" t="n"/>
      <c r="F66" s="36" t="n"/>
      <c r="G66" s="36" t="n"/>
      <c r="H66" s="36" t="n"/>
      <c r="I66" s="36" t="n"/>
      <c r="J66" s="36" t="n"/>
      <c r="K66" s="36" t="n"/>
      <c r="L66" s="36" t="n"/>
      <c r="M66" s="36" t="n"/>
    </row>
    <row r="67">
      <c r="B67" s="36" t="n"/>
      <c r="C67" s="36" t="n"/>
      <c r="D67" s="36" t="n"/>
      <c r="E67" s="36" t="n"/>
      <c r="F67" s="36" t="n"/>
      <c r="G67" s="36" t="n"/>
      <c r="H67" s="36" t="n"/>
      <c r="I67" s="36" t="n"/>
      <c r="J67" s="36" t="n"/>
      <c r="K67" s="36" t="n"/>
      <c r="L67" s="36" t="n"/>
      <c r="M67" s="36" t="n"/>
    </row>
    <row r="68">
      <c r="B68" s="36" t="n"/>
      <c r="C68" s="36" t="n"/>
      <c r="D68" s="36" t="n"/>
      <c r="E68" s="36" t="n"/>
      <c r="F68" s="36" t="n"/>
      <c r="G68" s="36" t="n"/>
      <c r="H68" s="36" t="n"/>
      <c r="I68" s="36" t="n"/>
      <c r="J68" s="36" t="n"/>
      <c r="K68" s="36" t="n"/>
      <c r="L68" s="36" t="n"/>
      <c r="M68" s="36" t="n"/>
    </row>
    <row r="69">
      <c r="B69" s="36" t="n"/>
      <c r="C69" s="36" t="n"/>
      <c r="D69" s="36" t="n"/>
      <c r="E69" s="36" t="n"/>
      <c r="F69" s="36" t="n"/>
      <c r="G69" s="36" t="n"/>
      <c r="H69" s="36" t="n"/>
      <c r="I69" s="36" t="n"/>
      <c r="J69" s="36" t="n"/>
      <c r="K69" s="36" t="n"/>
      <c r="L69" s="36" t="n"/>
      <c r="M69" s="36" t="n"/>
    </row>
    <row r="70">
      <c r="B70" s="36" t="n"/>
      <c r="C70" s="36" t="n"/>
      <c r="D70" s="36" t="n"/>
      <c r="E70" s="36" t="n"/>
      <c r="F70" s="36" t="n"/>
      <c r="G70" s="36" t="n"/>
      <c r="H70" s="36" t="n"/>
      <c r="I70" s="36" t="n"/>
      <c r="J70" s="36" t="n"/>
      <c r="K70" s="36" t="n"/>
      <c r="L70" s="36" t="n"/>
      <c r="M70" s="36" t="n"/>
    </row>
    <row r="71">
      <c r="B71" s="36" t="n"/>
      <c r="C71" s="36" t="n"/>
      <c r="D71" s="36" t="n"/>
      <c r="E71" s="36" t="n"/>
      <c r="F71" s="36" t="n"/>
      <c r="G71" s="36" t="n"/>
      <c r="H71" s="36" t="n"/>
      <c r="I71" s="36" t="n"/>
      <c r="J71" s="36" t="n"/>
      <c r="K71" s="36" t="n"/>
      <c r="L71" s="36" t="n"/>
      <c r="M71" s="36" t="n"/>
    </row>
    <row r="72">
      <c r="B72" s="36" t="n"/>
      <c r="C72" s="36" t="n"/>
      <c r="D72" s="36" t="n"/>
      <c r="E72" s="36" t="n"/>
      <c r="F72" s="36" t="n"/>
      <c r="G72" s="36" t="n"/>
      <c r="H72" s="36" t="n"/>
      <c r="I72" s="36" t="n"/>
      <c r="J72" s="36" t="n"/>
      <c r="K72" s="36" t="n"/>
      <c r="L72" s="36" t="n"/>
      <c r="M72" s="36" t="n"/>
    </row>
    <row r="73">
      <c r="B73" s="36" t="n"/>
      <c r="C73" s="36" t="n"/>
      <c r="D73" s="36" t="n"/>
      <c r="E73" s="36" t="n"/>
      <c r="F73" s="36" t="n"/>
      <c r="G73" s="36" t="n"/>
      <c r="H73" s="36" t="n"/>
      <c r="I73" s="36" t="n"/>
      <c r="J73" s="36" t="n"/>
      <c r="K73" s="36" t="n"/>
      <c r="L73" s="36" t="n"/>
      <c r="M73" s="36" t="n"/>
    </row>
    <row r="74">
      <c r="B74" s="36" t="n"/>
      <c r="C74" s="36" t="n"/>
      <c r="D74" s="36" t="n"/>
      <c r="E74" s="36" t="n"/>
      <c r="F74" s="36" t="n"/>
      <c r="G74" s="36" t="n"/>
      <c r="H74" s="36" t="n"/>
      <c r="I74" s="36" t="n"/>
      <c r="J74" s="36" t="n"/>
      <c r="K74" s="36" t="n"/>
      <c r="L74" s="36" t="n"/>
      <c r="M74" s="36" t="n"/>
    </row>
    <row r="75">
      <c r="B75" s="36" t="n"/>
      <c r="C75" s="36" t="n"/>
      <c r="D75" s="36" t="n"/>
      <c r="E75" s="36" t="n"/>
      <c r="F75" s="36" t="n"/>
      <c r="G75" s="36" t="n"/>
      <c r="H75" s="36" t="n"/>
      <c r="I75" s="36" t="n"/>
      <c r="J75" s="36" t="n"/>
      <c r="K75" s="36" t="n"/>
      <c r="L75" s="36" t="n"/>
      <c r="M75" s="36" t="n"/>
    </row>
    <row r="76">
      <c r="B76" s="36" t="n"/>
      <c r="C76" s="36" t="n"/>
      <c r="D76" s="36" t="n"/>
      <c r="E76" s="36" t="n"/>
      <c r="F76" s="36" t="n"/>
      <c r="G76" s="36" t="n"/>
      <c r="H76" s="36" t="n"/>
      <c r="I76" s="36" t="n"/>
      <c r="J76" s="36" t="n"/>
      <c r="K76" s="36" t="n"/>
      <c r="L76" s="36" t="n"/>
      <c r="M76" s="36" t="n"/>
    </row>
    <row r="77">
      <c r="B77" s="36" t="n"/>
      <c r="C77" s="36" t="n"/>
      <c r="D77" s="36" t="n"/>
      <c r="E77" s="36" t="n"/>
      <c r="F77" s="36" t="n"/>
      <c r="G77" s="36" t="n"/>
      <c r="H77" s="36" t="n"/>
      <c r="I77" s="36" t="n"/>
      <c r="J77" s="36" t="n"/>
      <c r="K77" s="36" t="n"/>
      <c r="L77" s="36" t="n"/>
      <c r="M77" s="36" t="n"/>
    </row>
    <row r="78">
      <c r="B78" s="36" t="n"/>
      <c r="C78" s="36" t="n"/>
      <c r="D78" s="36" t="n"/>
      <c r="E78" s="36" t="n"/>
      <c r="F78" s="36" t="n"/>
      <c r="G78" s="36" t="n"/>
      <c r="H78" s="36" t="n"/>
      <c r="I78" s="36" t="n"/>
      <c r="J78" s="36" t="n"/>
      <c r="K78" s="36" t="n"/>
      <c r="L78" s="36" t="n"/>
      <c r="M78" s="36" t="n"/>
    </row>
    <row r="79">
      <c r="B79" s="36" t="n"/>
      <c r="C79" s="36" t="n"/>
      <c r="D79" s="36" t="n"/>
      <c r="E79" s="36" t="n"/>
      <c r="F79" s="36" t="n"/>
      <c r="G79" s="36" t="n"/>
      <c r="H79" s="36" t="n"/>
      <c r="I79" s="36" t="n"/>
      <c r="J79" s="36" t="n"/>
      <c r="K79" s="36" t="n"/>
      <c r="L79" s="36" t="n"/>
      <c r="M79" s="36" t="n"/>
    </row>
  </sheetData>
  <mergeCells count="37">
    <mergeCell ref="C54:K54"/>
    <mergeCell ref="C39:F39"/>
    <mergeCell ref="G43:K43"/>
    <mergeCell ref="C55:K55"/>
    <mergeCell ref="B30:K30"/>
    <mergeCell ref="G42:K42"/>
    <mergeCell ref="M13:O13"/>
    <mergeCell ref="C56:K56"/>
    <mergeCell ref="B5:E5"/>
    <mergeCell ref="B20:E20"/>
    <mergeCell ref="G39:K39"/>
    <mergeCell ref="C51:K51"/>
    <mergeCell ref="C60:K62"/>
    <mergeCell ref="B50:K50"/>
    <mergeCell ref="C52:K52"/>
    <mergeCell ref="C42:F42"/>
    <mergeCell ref="B59:K59"/>
    <mergeCell ref="C45:F45"/>
    <mergeCell ref="B27:K27"/>
    <mergeCell ref="C53:K53"/>
    <mergeCell ref="G5:K5"/>
    <mergeCell ref="C47:F47"/>
    <mergeCell ref="G45:K45"/>
    <mergeCell ref="C41:F41"/>
    <mergeCell ref="C44:F44"/>
    <mergeCell ref="C40:F40"/>
    <mergeCell ref="B13:E13"/>
    <mergeCell ref="C43:F43"/>
    <mergeCell ref="G47:K47"/>
    <mergeCell ref="C46:F46"/>
    <mergeCell ref="B29:K29"/>
    <mergeCell ref="G41:K41"/>
    <mergeCell ref="G44:K44"/>
    <mergeCell ref="B38:K38"/>
    <mergeCell ref="G46:K46"/>
    <mergeCell ref="B28:K28"/>
    <mergeCell ref="G40:K40"/>
  </mergeCell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M413"/>
  <sheetViews>
    <sheetView showGridLines="0" workbookViewId="0">
      <selection activeCell="A1" sqref="A1"/>
    </sheetView>
  </sheetViews>
  <sheetFormatPr baseColWidth="8" defaultRowHeight="15"/>
  <cols>
    <col width="5.670000076293945" customWidth="1" min="1" max="1"/>
    <col width="15.5600004196167" customWidth="1" min="2" max="2"/>
    <col width="113.7799987792969" customWidth="1" min="3" max="3"/>
    <col width="40" customWidth="1" min="4" max="4"/>
    <col width="6.21999979019165" customWidth="1" min="5" max="5"/>
    <col width="15.4399995803833" customWidth="1" min="6" max="6"/>
    <col width="5.559999942779541" customWidth="1" min="7" max="7"/>
    <col width="20.55999946594238" customWidth="1" min="8" max="8"/>
    <col width="23.32999992370605" customWidth="1" min="9" max="9"/>
    <col width="37.43999862670898" customWidth="1" min="10" max="10"/>
    <col width="11.22000026702881" customWidth="1" min="11" max="11"/>
    <col width="38.33000183105469" customWidth="1" min="12" max="12"/>
    <col width="23.32999992370605" customWidth="1" min="13" max="13"/>
  </cols>
  <sheetData>
    <row r="1">
      <c r="A1" s="99" t="inlineStr">
        <is>
          <t>AbarVa Pilot Readiness — Master Task List</t>
        </is>
      </c>
      <c r="B1" s="98" t="n"/>
      <c r="C1" s="98" t="n"/>
      <c r="D1" s="98" t="n"/>
      <c r="E1" s="98" t="n"/>
      <c r="F1" s="98" t="n"/>
      <c r="G1" s="98" t="n"/>
      <c r="H1" s="98" t="n"/>
      <c r="I1" s="98" t="n"/>
      <c r="J1" s="98" t="n"/>
      <c r="K1" s="98" t="n"/>
      <c r="L1" s="98" t="n"/>
      <c r="M1" s="98" t="n"/>
    </row>
    <row r="2">
      <c r="A2" s="70" t="inlineStr">
        <is>
          <t>Sorted: Category → Ease → Priority. Use Phase column to filter Pre-Resign vs Post-Resign work.</t>
        </is>
      </c>
      <c r="B2" s="98" t="n"/>
      <c r="C2" s="98" t="n"/>
      <c r="D2" s="98" t="n"/>
      <c r="E2" s="98" t="n"/>
      <c r="F2" s="98" t="n"/>
      <c r="G2" s="98" t="n"/>
      <c r="H2" s="98" t="n"/>
      <c r="I2" s="98" t="n"/>
      <c r="J2" s="98" t="n"/>
      <c r="K2" s="98" t="n"/>
      <c r="L2" s="98" t="n"/>
      <c r="M2" s="98" t="n"/>
    </row>
    <row r="4">
      <c r="A4" s="97" t="inlineStr">
        <is>
          <t>TaskID</t>
        </is>
      </c>
      <c r="B4" s="97" t="inlineStr">
        <is>
          <t>Category</t>
        </is>
      </c>
      <c r="C4" s="97" t="inlineStr">
        <is>
          <t>Task</t>
        </is>
      </c>
      <c r="D4" s="97" t="inlineStr">
        <is>
          <t>Detail / Why</t>
        </is>
      </c>
      <c r="E4" s="97" t="inlineStr">
        <is>
          <t>Priority</t>
        </is>
      </c>
      <c r="F4" s="97" t="inlineStr">
        <is>
          <t>Ease</t>
        </is>
      </c>
      <c r="G4" s="97" t="inlineStr">
        <is>
          <t>Owner</t>
        </is>
      </c>
      <c r="H4" s="97" t="inlineStr">
        <is>
          <t>Deps</t>
        </is>
      </c>
      <c r="I4" s="97" t="inlineStr">
        <is>
          <t>How To</t>
        </is>
      </c>
      <c r="J4" s="97" t="inlineStr">
        <is>
          <t>Cost</t>
        </is>
      </c>
      <c r="K4" s="97" t="inlineStr">
        <is>
          <t>Phase</t>
        </is>
      </c>
      <c r="L4" s="97" t="inlineStr">
        <is>
          <t>Status</t>
        </is>
      </c>
      <c r="M4" s="97" t="inlineStr">
        <is>
          <t>Notes</t>
        </is>
      </c>
    </row>
    <row r="5">
      <c r="A5" s="18" t="inlineStr">
        <is>
          <t>T203</t>
        </is>
      </c>
      <c r="B5" s="18" t="inlineStr">
        <is>
          <t>AI Liability Defense</t>
        </is>
      </c>
      <c r="C5" s="18" t="inlineStr">
        <is>
          <t>ADR: AI as advisor, never decision-maker (architectural invariant)</t>
        </is>
      </c>
      <c r="D5" s="18" t="inlineStr">
        <is>
          <t>Codifies: every consequential action requires a human approval gate; no code path from AI agent to external mutation without human commit. Enforce in dependency-cruiser. The most important ADR in the codebase.</t>
        </is>
      </c>
      <c r="E5" s="31" t="inlineStr">
        <is>
          <t>P0</t>
        </is>
      </c>
      <c r="F5" s="39" t="inlineStr">
        <is>
          <t>2. CLAUDE DOES IT</t>
        </is>
      </c>
      <c r="G5" s="18" t="inlineStr">
        <is>
          <t>Anand</t>
        </is>
      </c>
      <c r="H5" s="18" t="inlineStr"/>
      <c r="I5" s="45" t="inlineStr">
        <is>
          <t>Claude (draft)</t>
        </is>
      </c>
      <c r="J5" s="52" t="inlineStr">
        <is>
          <t>$0</t>
        </is>
      </c>
      <c r="K5" s="84" t="inlineStr">
        <is>
          <t>Anytime</t>
        </is>
      </c>
      <c r="L5" s="44" t="inlineStr">
        <is>
          <t>Done</t>
        </is>
      </c>
      <c r="M5" s="18" t="inlineStr">
        <is>
          <t>Verified on main: docs/architecture/adr/ADR-0006-ai-as-advisor.md documents AI as advisor, no automatic action, and human decision ownership.</t>
        </is>
      </c>
    </row>
    <row r="6">
      <c r="A6" s="18" t="inlineStr">
        <is>
          <t>T204</t>
        </is>
      </c>
      <c r="B6" s="18" t="inlineStr">
        <is>
          <t>AI Liability Defense</t>
        </is>
      </c>
      <c r="C6" s="18" t="inlineStr">
        <is>
          <t>Enforce 'no auto-action' rule in dependency-cruiser config</t>
        </is>
      </c>
      <c r="D6" s="18" t="inlineStr">
        <is>
          <t>Forbidden: AI agent code → external mutation (DB write outside approval table, API call to client systems, email send, etc.) without crossing a human approval gate.</t>
        </is>
      </c>
      <c r="E6" s="31" t="inlineStr">
        <is>
          <t>P0</t>
        </is>
      </c>
      <c r="F6" s="39" t="inlineStr">
        <is>
          <t>2. CLAUDE DOES IT</t>
        </is>
      </c>
      <c r="G6" s="18" t="inlineStr">
        <is>
          <t>Anand</t>
        </is>
      </c>
      <c r="H6" s="18" t="inlineStr"/>
      <c r="I6" s="45" t="inlineStr">
        <is>
          <t>Claude (code)</t>
        </is>
      </c>
      <c r="J6" s="52" t="inlineStr">
        <is>
          <t>$0</t>
        </is>
      </c>
      <c r="K6" s="84" t="inlineStr">
        <is>
          <t>Anytime</t>
        </is>
      </c>
      <c r="L6" s="44" t="inlineStr">
        <is>
          <t>Done</t>
        </is>
      </c>
      <c r="M6" s="18" t="inlineStr">
        <is>
          <t>Merged in PR #2738: repo-native no-auto-action boundary now fails agent tools that import direct mutation clients or omit explicit user/human confirmation language. Dependency-cruiser itself remains uninstalled; equivalent enforcement is live in CI.</t>
        </is>
      </c>
    </row>
    <row r="7">
      <c r="A7" s="18" t="inlineStr">
        <is>
          <t>T205</t>
        </is>
      </c>
      <c r="B7" s="18" t="inlineStr">
        <is>
          <t>AI Liability Defense</t>
        </is>
      </c>
      <c r="C7" s="18" t="inlineStr">
        <is>
          <t>Every AI output visually marked 'AI Draft' / 'Pending Review' / 'Suggested'</t>
        </is>
      </c>
      <c r="D7" s="18" t="inlineStr">
        <is>
          <t>Design-system component: AILabel, AISuggestionFrame. Used everywhere AI generates content. Not buried — visible.</t>
        </is>
      </c>
      <c r="E7" s="31" t="inlineStr">
        <is>
          <t>P0</t>
        </is>
      </c>
      <c r="F7" s="39" t="inlineStr">
        <is>
          <t>2. CLAUDE DOES IT</t>
        </is>
      </c>
      <c r="G7" s="18" t="inlineStr">
        <is>
          <t>Anand</t>
        </is>
      </c>
      <c r="H7" s="18" t="inlineStr"/>
      <c r="I7" s="45" t="inlineStr">
        <is>
          <t>Claude (code)</t>
        </is>
      </c>
      <c r="J7" s="52" t="inlineStr">
        <is>
          <t>$0</t>
        </is>
      </c>
      <c r="K7" s="82" t="inlineStr">
        <is>
          <t>Pre-Resign</t>
        </is>
      </c>
      <c r="L7" s="44" t="inlineStr">
        <is>
          <t>Done</t>
        </is>
      </c>
      <c r="M7" s="18" t="inlineStr">
        <is>
          <t>Still Done. 2026-06-02 local Source L6 bundle adds a stored-document tile AI Draft chip for generated Source docs; pending commit/PR/deploy, but broad AI labeling row remains complete from prior merged work.</t>
        </is>
      </c>
    </row>
    <row r="8">
      <c r="A8" s="18" t="inlineStr">
        <is>
          <t>T206</t>
        </is>
      </c>
      <c r="B8" s="18" t="inlineStr">
        <is>
          <t>AI Liability Defense</t>
        </is>
      </c>
      <c r="C8" s="18" t="inlineStr">
        <is>
          <t>Approval-gate dialog: 'I have reviewed and accept responsibility' checkbox before commit</t>
        </is>
      </c>
      <c r="D8" s="18" t="inlineStr">
        <is>
          <t>Standard component for every consequential action. Checkbox + free-text justification field. Stored as evidence.</t>
        </is>
      </c>
      <c r="E8" s="31" t="inlineStr">
        <is>
          <t>P0</t>
        </is>
      </c>
      <c r="F8" s="39" t="inlineStr">
        <is>
          <t>2. CLAUDE DOES IT</t>
        </is>
      </c>
      <c r="G8" s="18" t="inlineStr">
        <is>
          <t>Anand</t>
        </is>
      </c>
      <c r="H8" s="18" t="inlineStr"/>
      <c r="I8" s="45" t="inlineStr">
        <is>
          <t>Claude (code)</t>
        </is>
      </c>
      <c r="J8" s="52" t="inlineStr">
        <is>
          <t>$0</t>
        </is>
      </c>
      <c r="K8" s="84" t="inlineStr">
        <is>
          <t>Anytime</t>
        </is>
      </c>
      <c r="L8" s="44" t="inlineStr">
        <is>
          <t>In progress</t>
        </is>
      </c>
      <c r="M8" s="18" t="inlineStr">
        <is>
          <t>PR #2829 merged 2026-06-02 (commit 985e7c5). Source gate/stage APIs now enforce human reason + artifact/evidence readiness before mark-met/promote; prod duplicate cleanup, migrations, and persona provisioning were executed. Keep In progress until authenticated live Source E2E confirms every consequential surface records approval in Log/export trail. 2026-06-04: PR #3006 opened for AI Liability live-evidence matrix/verifier/release record. It separates remaining open rows into live product E2E proof, durable evidence/export proof, source-binding proof, and counsel/insurance proof, making explicit which work Codex can advance versus what requires Anand/counsel/broker/carrier/client-side evidence. Keep In progress until row-specific proof exists. 2026-06-04: PR #3006 merged to main at cc52e53f with the AI Liability live-evidence matrix, verifier, and release record. Keep In progress until row-specific live UI, legal, policy, insurance, counsel, or approval evidence is captured and attached.</t>
        </is>
      </c>
    </row>
    <row r="9">
      <c r="A9" s="18" t="inlineStr">
        <is>
          <t>T207</t>
        </is>
      </c>
      <c r="B9" s="18" t="inlineStr">
        <is>
          <t>AI Liability Defense</t>
        </is>
      </c>
      <c r="C9" s="18" t="inlineStr">
        <is>
          <t>Free-text justification field on every approval — forces user to articulate THEIR reasoning</t>
        </is>
      </c>
      <c r="D9" s="18" t="inlineStr">
        <is>
          <t>Minimum 20 chars. Stored verbatim in audit log. Critical anti-rubber-stamp defense.</t>
        </is>
      </c>
      <c r="E9" s="31" t="inlineStr">
        <is>
          <t>P0</t>
        </is>
      </c>
      <c r="F9" s="39" t="inlineStr">
        <is>
          <t>2. CLAUDE DOES IT</t>
        </is>
      </c>
      <c r="G9" s="18" t="inlineStr">
        <is>
          <t>Anand</t>
        </is>
      </c>
      <c r="H9" s="18" t="inlineStr"/>
      <c r="I9" s="45" t="inlineStr">
        <is>
          <t>Claude (code)</t>
        </is>
      </c>
      <c r="J9" s="52" t="inlineStr">
        <is>
          <t>$0</t>
        </is>
      </c>
      <c r="K9" s="84" t="inlineStr">
        <is>
          <t>Anytime</t>
        </is>
      </c>
      <c r="L9" s="44" t="inlineStr">
        <is>
          <t>In progress</t>
        </is>
      </c>
      <c r="M9" s="18" t="inlineStr">
        <is>
          <t>PR #2829 merged 2026-06-02. Source gate/stage reason validation and activity-log persistence are deployed through code/migrations; prod migrations applied. Keep In progress until live browser E2E verifies free-text reasons show in Log tab and are exportable/auditable. 2026-06-04: PR #3006 opened for AI Liability live-evidence matrix/verifier/release record. It separates remaining open rows into live product E2E proof, durable evidence/export proof, source-binding proof, and counsel/insurance proof, making explicit which work Codex can advance versus what requires Anand/counsel/broker/carrier/client-side evidence. Keep In progress until row-specific proof exists. 2026-06-04: PR #3006 merged to main at cc52e53f with the AI Liability live-evidence matrix, verifier, and release record. Keep In progress until row-specific live UI, legal, policy, insurance, counsel, or approval evidence is captured and attached.</t>
        </is>
      </c>
    </row>
    <row r="10">
      <c r="A10" s="18" t="inlineStr">
        <is>
          <t>T208</t>
        </is>
      </c>
      <c r="B10" s="18" t="inlineStr">
        <is>
          <t>AI Liability Defense</t>
        </is>
      </c>
      <c r="C10" s="18" t="inlineStr">
        <is>
          <t>Confidence indicators on every AI output (low/med/high + rationale)</t>
        </is>
      </c>
      <c r="D10" s="18" t="inlineStr">
        <is>
          <t>User sees how confident the system is. Low-confidence outputs trigger extra review prompts.</t>
        </is>
      </c>
      <c r="E10" s="31" t="inlineStr">
        <is>
          <t>P0</t>
        </is>
      </c>
      <c r="F10" s="39" t="inlineStr">
        <is>
          <t>2. CLAUDE DOES IT</t>
        </is>
      </c>
      <c r="G10" s="18" t="inlineStr">
        <is>
          <t>Anand</t>
        </is>
      </c>
      <c r="H10" s="18" t="inlineStr"/>
      <c r="I10" s="45" t="inlineStr">
        <is>
          <t>Claude (code)</t>
        </is>
      </c>
      <c r="J10" s="52" t="inlineStr">
        <is>
          <t>$0</t>
        </is>
      </c>
      <c r="K10" s="84" t="inlineStr">
        <is>
          <t>Anytime</t>
        </is>
      </c>
      <c r="L10" s="44" t="inlineStr">
        <is>
          <t>Done</t>
        </is>
      </c>
      <c r="M10" s="18" t="inlineStr">
        <is>
          <t>PR #2744 merged: shared AIConfidenceIndicator renders visible confidence tier and rationale in AgentResponse and AgentInlineRecommendation. PR #2786 added additional shared suggestion framing/AI-status labels for high-leverage non-Tower surfaces; CI and Vercel checks passed and branch was deleted.</t>
        </is>
      </c>
    </row>
    <row r="11">
      <c r="A11" s="18" t="inlineStr">
        <is>
          <t>T209</t>
        </is>
      </c>
      <c r="B11" s="18" t="inlineStr">
        <is>
          <t>AI Liability Defense</t>
        </is>
      </c>
      <c r="C11" s="18" t="inlineStr">
        <is>
          <t>Source citations on every AI claim (link to source data that grounded it)</t>
        </is>
      </c>
      <c r="D11" s="18" t="inlineStr">
        <is>
          <t>Every assertion clickable → shows source chunks. Critical for 'I verified this' user defense.</t>
        </is>
      </c>
      <c r="E11" s="31" t="inlineStr">
        <is>
          <t>P0</t>
        </is>
      </c>
      <c r="F11" s="39" t="inlineStr">
        <is>
          <t>2. CLAUDE DOES IT</t>
        </is>
      </c>
      <c r="G11" s="18" t="inlineStr">
        <is>
          <t>Anand</t>
        </is>
      </c>
      <c r="H11" s="18" t="inlineStr"/>
      <c r="I11" s="45" t="inlineStr">
        <is>
          <t>Claude (code)</t>
        </is>
      </c>
      <c r="J11" s="52" t="inlineStr">
        <is>
          <t>$0</t>
        </is>
      </c>
      <c r="K11" s="84" t="inlineStr">
        <is>
          <t>Anytime</t>
        </is>
      </c>
      <c r="L11" s="44" t="inlineStr">
        <is>
          <t>In progress</t>
        </is>
      </c>
      <c r="M11" s="18" t="inlineStr">
        <is>
          <t>Merged PR #2748: AgentResponse now displays a citation-gap banner when substantive non-operational AI output has no citations. Broader surface-by-surface citation coverage and sentence-level grounding remain follow-on work. 2026-06-04: PR #3006 opened for AI Liability live-evidence matrix/verifier/release record. It separates remaining open rows into live product E2E proof, durable evidence/export proof, source-binding proof, and counsel/insurance proof, making explicit which work Codex can advance versus what requires Anand/counsel/broker/carrier/client-side evidence. Keep In progress until row-specific proof exists. 2026-06-04: PR #3006 merged to main at cc52e53f with the AI Liability live-evidence matrix, verifier, and release record. Keep In progress until row-specific live UI, legal, policy, insurance, counsel, or approval evidence is captured and attached.</t>
        </is>
      </c>
    </row>
    <row r="12">
      <c r="A12" s="18" t="inlineStr">
        <is>
          <t>T210</t>
        </is>
      </c>
      <c r="B12" s="18" t="inlineStr">
        <is>
          <t>AI Liability Defense</t>
        </is>
      </c>
      <c r="C12" s="18" t="inlineStr">
        <is>
          <t>'Edit before commit' always available — never force accept-as-is</t>
        </is>
      </c>
      <c r="D12" s="18" t="inlineStr">
        <is>
          <t>User can modify any AI output before approval. Modifications also stored as evidence of human authorship.</t>
        </is>
      </c>
      <c r="E12" s="31" t="inlineStr">
        <is>
          <t>P0</t>
        </is>
      </c>
      <c r="F12" s="39" t="inlineStr">
        <is>
          <t>2. CLAUDE DOES IT</t>
        </is>
      </c>
      <c r="G12" s="18" t="inlineStr">
        <is>
          <t>Anand</t>
        </is>
      </c>
      <c r="H12" s="18" t="inlineStr"/>
      <c r="I12" s="45" t="inlineStr">
        <is>
          <t>Claude (code)</t>
        </is>
      </c>
      <c r="J12" s="52" t="inlineStr">
        <is>
          <t>$0</t>
        </is>
      </c>
      <c r="K12" s="84" t="inlineStr">
        <is>
          <t>Anytime</t>
        </is>
      </c>
      <c r="L12" s="44" t="inlineStr">
        <is>
          <t>In progress</t>
        </is>
      </c>
      <c r="M12" s="18" t="inlineStr">
        <is>
          <t>PR #2829 merged 2026-06-02. Source artifact body save stamps humanEditedAt/humanEditedByUserId for AI-generated artifacts and gates readiness on human-reviewed content. Keep In progress until live E2E verifies edit-before-commit on Source and broader Moves/Intelligence/Tower commit surfaces. 2026-06-04: PR #3006 opened for AI Liability live-evidence matrix/verifier/release record. It separates remaining open rows into live product E2E proof, durable evidence/export proof, source-binding proof, and counsel/insurance proof, making explicit which work Codex can advance versus what requires Anand/counsel/broker/carrier/client-side evidence. Keep In progress until row-specific proof exists. 2026-06-04: PR #3006 merged to main at cc52e53f with the AI Liability live-evidence matrix, verifier, and release record. Keep In progress until row-specific live UI, legal, policy, insurance, counsel, or approval evidence is captured and attached.</t>
        </is>
      </c>
    </row>
    <row r="13">
      <c r="A13" s="18" t="inlineStr">
        <is>
          <t>T211</t>
        </is>
      </c>
      <c r="B13" s="18" t="inlineStr">
        <is>
          <t>AI Liability Defense</t>
        </is>
      </c>
      <c r="C13" s="18" t="inlineStr">
        <is>
          <t>Persistent disclaimer footer in all agent surfaces</t>
        </is>
      </c>
      <c r="D13" s="18" t="inlineStr">
        <is>
          <t>Small but always-visible: 'AI may produce errors. You are responsible for decisions taken based on this output.'</t>
        </is>
      </c>
      <c r="E13" s="31" t="inlineStr">
        <is>
          <t>P0</t>
        </is>
      </c>
      <c r="F13" s="39" t="inlineStr">
        <is>
          <t>2. CLAUDE DOES IT</t>
        </is>
      </c>
      <c r="G13" s="18" t="inlineStr">
        <is>
          <t>Anand</t>
        </is>
      </c>
      <c r="H13" s="18" t="inlineStr"/>
      <c r="I13" s="45" t="inlineStr">
        <is>
          <t>Claude (code)</t>
        </is>
      </c>
      <c r="J13" s="52" t="inlineStr">
        <is>
          <t>$0</t>
        </is>
      </c>
      <c r="K13" s="84" t="inlineStr">
        <is>
          <t>Anytime</t>
        </is>
      </c>
      <c r="L13" s="44" t="inlineStr">
        <is>
          <t>Done</t>
        </is>
      </c>
      <c r="M13" s="18" t="inlineStr">
        <is>
          <t>PR #2745 merged: shared AIResponsibilityFooter renders the persistent disclaimer in AgentDock and AtlasDrawer chat shells.</t>
        </is>
      </c>
    </row>
    <row r="14">
      <c r="A14" s="18" t="inlineStr">
        <is>
          <t>T212</t>
        </is>
      </c>
      <c r="B14" s="18" t="inlineStr">
        <is>
          <t>AI Liability Defense</t>
        </is>
      </c>
      <c r="C14" s="18" t="inlineStr">
        <is>
          <t>Click-wrap acknowledgment on first user login (per-tenant, per-user)</t>
        </is>
      </c>
      <c r="D14" s="18" t="inlineStr">
        <is>
          <t>Modal on first login: 'I understand AbarVa provides AI-generated suggestions. I am responsible for reviewing and validating all outputs before making decisions or taking action.' Capture timestamp, user, IP, consent text version. Stored immutably.</t>
        </is>
      </c>
      <c r="E14" s="31" t="inlineStr">
        <is>
          <t>P0</t>
        </is>
      </c>
      <c r="F14" s="39" t="inlineStr">
        <is>
          <t>2. CLAUDE DOES IT</t>
        </is>
      </c>
      <c r="G14" s="18" t="inlineStr">
        <is>
          <t>Anand</t>
        </is>
      </c>
      <c r="H14" s="18" t="inlineStr"/>
      <c r="I14" s="45" t="inlineStr">
        <is>
          <t>Claude (code)</t>
        </is>
      </c>
      <c r="J14" s="52" t="inlineStr">
        <is>
          <t>$0</t>
        </is>
      </c>
      <c r="K14" s="84" t="inlineStr">
        <is>
          <t>Anytime</t>
        </is>
      </c>
      <c r="L14" s="44" t="inlineStr">
        <is>
          <t>Done</t>
        </is>
      </c>
      <c r="M14" s="18" t="inlineStr">
        <is>
          <t>PR #2830 merged 2026-06-02 at merge commit 56bd6d4: Responsible AI first-login click-wrap gate, immutable per-tenant/user acknowledgment ledger, API/UI, and migration implemented. CI green: migration replay, typecheck + reasoning tests, ESLint, release control, axe, Lighthouse, browser matrix, bundle budget, hygiene, and Vercel abarva/nexus statuses passed. Remote branch codex/ai-acknowledgment deleted after merge.</t>
        </is>
      </c>
    </row>
    <row r="15">
      <c r="A15" s="18" t="inlineStr">
        <is>
          <t>T214</t>
        </is>
      </c>
      <c r="B15" s="18" t="inlineStr">
        <is>
          <t>AI Liability Defense</t>
        </is>
      </c>
      <c r="C15" s="18" t="inlineStr">
        <is>
          <t>Required 'Responsible AI Use' training module before access (~10 min)</t>
        </is>
      </c>
      <c r="D15" s="18" t="inlineStr">
        <is>
          <t>Interactive: covers hallucination, verification duty, approval responsibility. Completion blocks app access. Annual refresh.</t>
        </is>
      </c>
      <c r="E15" s="31" t="inlineStr">
        <is>
          <t>P0</t>
        </is>
      </c>
      <c r="F15" s="39" t="inlineStr">
        <is>
          <t>2. CLAUDE DOES IT</t>
        </is>
      </c>
      <c r="G15" s="18" t="inlineStr">
        <is>
          <t>Anand</t>
        </is>
      </c>
      <c r="H15" s="18" t="inlineStr"/>
      <c r="I15" s="45" t="inlineStr">
        <is>
          <t>Claude (content+code)</t>
        </is>
      </c>
      <c r="J15" s="52" t="inlineStr">
        <is>
          <t>$0</t>
        </is>
      </c>
      <c r="K15" s="84" t="inlineStr">
        <is>
          <t>Anytime</t>
        </is>
      </c>
      <c r="L15" s="44" t="inlineStr">
        <is>
          <t>Done</t>
        </is>
      </c>
      <c r="M15" s="18" t="inlineStr">
        <is>
          <t>PR #2831 merged 2026-06-02 at merge commit 7960682: Responsible AI Use training gate implemented after click-wrap acknowledgment. Adds /responsible-ai/training page, POST API, immutable per-client/per-user/version completion ledger migration, Maestro layout redirect, focused tests, and release record. CI green: migration replay, typecheck + reasoning tests, ESLint, release control, axe, Lighthouse, browser matrix, bundle budget, hygiene, production readiness, gitleaks, and Vercel abarva/nexus statuses passed. Remote branch codex/ai-training-gate deleted after merge.</t>
        </is>
      </c>
    </row>
    <row r="16">
      <c r="A16" s="18" t="inlineStr">
        <is>
          <t>T216</t>
        </is>
      </c>
      <c r="B16" s="18" t="inlineStr">
        <is>
          <t>AI Liability Defense</t>
        </is>
      </c>
      <c r="C16" s="18" t="inlineStr">
        <is>
          <t>Evidence bundle auto-generated on every consequential action</t>
        </is>
      </c>
      <c r="D16" s="18" t="inlineStr">
        <is>
          <t>Bundle = AI suggestion + sources cited + human review timestamp + reviewer ID + justification text + execution timestamp. Attached to every Move/gate/commit. Reportable per-tenant.</t>
        </is>
      </c>
      <c r="E16" s="31" t="inlineStr">
        <is>
          <t>P0</t>
        </is>
      </c>
      <c r="F16" s="39" t="inlineStr">
        <is>
          <t>2. CLAUDE DOES IT</t>
        </is>
      </c>
      <c r="G16" s="18" t="inlineStr">
        <is>
          <t>Anand</t>
        </is>
      </c>
      <c r="H16" s="18" t="inlineStr">
        <is>
          <t>T041</t>
        </is>
      </c>
      <c r="I16" s="45" t="inlineStr">
        <is>
          <t>Claude (code)</t>
        </is>
      </c>
      <c r="J16" s="52" t="inlineStr">
        <is>
          <t>$0</t>
        </is>
      </c>
      <c r="K16" s="84" t="inlineStr">
        <is>
          <t>Anytime</t>
        </is>
      </c>
      <c r="L16" s="104" t="inlineStr">
        <is>
          <t>In progress</t>
        </is>
      </c>
      <c r="M16" s="105" t="inlineStr">
        <is>
          <t>PR #2718 merged shared AI decision evidence-packet controls and phase-gate usage exists for Moves. PR #2825 merged 2026-06-02 with green CI adds a reusable approval-audit export contract over those packets. Still In progress until every consequential action auto-generates a packet and persists it durably across modules. 2026-06-04: PR #3006 opened for AI Liability live-evidence matrix/verifier/release record. It separates remaining open rows into live product E2E proof, durable evidence/export proof, source-binding proof, and counsel/insurance proof, making explicit which work Codex can advance versus what requires Anand/counsel/broker/carrier/client-side evidence. Keep In progress until row-specific proof exists. 2026-06-04: PR #3006 merged to main at cc52e53f with the AI Liability live-evidence matrix, verifier, and release record. Keep In progress until row-specific live UI, legal, policy, insurance, counsel, or approval evidence is captured and attached.</t>
        </is>
      </c>
    </row>
    <row r="17">
      <c r="A17" s="18" t="inlineStr">
        <is>
          <t>T217</t>
        </is>
      </c>
      <c r="B17" s="18" t="inlineStr">
        <is>
          <t>AI Liability Defense</t>
        </is>
      </c>
      <c r="C17" s="18" t="inlineStr">
        <is>
          <t>Client-exportable approval audit logs</t>
        </is>
      </c>
      <c r="D17" s="18" t="inlineStr">
        <is>
          <t>Client can self-serve export their audit log for any time period. They hold proof too — bilateral evidence.</t>
        </is>
      </c>
      <c r="E17" s="31" t="inlineStr">
        <is>
          <t>P0</t>
        </is>
      </c>
      <c r="F17" s="39" t="inlineStr">
        <is>
          <t>2. CLAUDE DOES IT</t>
        </is>
      </c>
      <c r="G17" s="18" t="inlineStr">
        <is>
          <t>Anand</t>
        </is>
      </c>
      <c r="H17" s="18" t="inlineStr">
        <is>
          <t>T041</t>
        </is>
      </c>
      <c r="I17" s="45" t="inlineStr">
        <is>
          <t>Claude (code)</t>
        </is>
      </c>
      <c r="J17" s="52" t="inlineStr">
        <is>
          <t>$0</t>
        </is>
      </c>
      <c r="K17" s="84" t="inlineStr">
        <is>
          <t>Anytime</t>
        </is>
      </c>
      <c r="L17" s="104" t="inlineStr">
        <is>
          <t>In progress</t>
        </is>
      </c>
      <c r="M17" s="105" t="inlineStr">
        <is>
          <t>PR #2922 merged 2026-06-03 (merge commit 6406532e8b47b5a7a8618807f0e2701200970cbf): client self-serve approval audit export foundation added for T217 with authenticated tenant-scoped JSON/CSV route (/api/admin/programs/approvals/export), admin Audit approvals-tab export links, export schema/CSV formula protection, focused route+schema tests, full TypeScript, focused ESLint, diff check, release:check, and all GitHub checks passing. Keep In progress until live authenticated client-tenant export is verified and remaining consequential approval surfaces are included or explicitly tracked separately. 2026-06-04: PR #3006 opened for AI Liability live-evidence matrix/verifier/release record. It separates remaining open rows into live product E2E proof, durable evidence/export proof, source-binding proof, and counsel/insurance proof, making explicit which work Codex can advance versus what requires Anand/counsel/broker/carrier/client-side evidence. Keep In progress until row-specific proof exists. 2026-06-04: PR #3006 merged to main at cc52e53f with the AI Liability live-evidence matrix, verifier, and release record. Keep In progress until row-specific live UI, legal, policy, insurance, counsel, or approval evidence is captured and attached.</t>
        </is>
      </c>
    </row>
    <row r="18">
      <c r="A18" s="18" t="inlineStr">
        <is>
          <t>T223</t>
        </is>
      </c>
      <c r="B18" s="18" t="inlineStr">
        <is>
          <t>AI Liability Defense</t>
        </is>
      </c>
      <c r="C18" s="18" t="inlineStr">
        <is>
          <t>ESCALATE: AI Ethics / Responsible AI policy → P0 + publish at abarva.com/responsible-ai</t>
        </is>
      </c>
      <c r="D18" s="18" t="inlineStr">
        <is>
          <t>Was P1 in Operational Readiness. Escalate. Public commitment + boundary statement. Procurement reads this.</t>
        </is>
      </c>
      <c r="E18" s="31" t="inlineStr">
        <is>
          <t>P0</t>
        </is>
      </c>
      <c r="F18" s="39" t="inlineStr">
        <is>
          <t>2. CLAUDE DOES IT</t>
        </is>
      </c>
      <c r="G18" s="18" t="inlineStr">
        <is>
          <t>Anand</t>
        </is>
      </c>
      <c r="H18" s="18" t="inlineStr"/>
      <c r="I18" s="45" t="inlineStr">
        <is>
          <t>Claude (draft)</t>
        </is>
      </c>
      <c r="J18" s="52" t="inlineStr">
        <is>
          <t>$0</t>
        </is>
      </c>
      <c r="K18" s="83" t="inlineStr">
        <is>
          <t>Post-Resign</t>
        </is>
      </c>
      <c r="L18" s="44" t="inlineStr">
        <is>
          <t>Done</t>
        </is>
      </c>
      <c r="M18" s="18" t="inlineStr">
        <is>
          <t>Merged in PR #2732: public /responsible-ai page, canonical URL, footer discoverability, tests, and release record.</t>
        </is>
      </c>
    </row>
    <row r="19">
      <c r="A19" s="18" t="inlineStr">
        <is>
          <t>T224</t>
        </is>
      </c>
      <c r="B19" s="18" t="inlineStr">
        <is>
          <t>AI Liability Defense</t>
        </is>
      </c>
      <c r="C19" s="18" t="inlineStr">
        <is>
          <t>Model card: capabilities, limitations, training data sources, version history</t>
        </is>
      </c>
      <c r="D19" s="18" t="inlineStr">
        <is>
          <t>Standardized format (Google/Hugging Face style). Lives at abarva.com/model-card. Updated each major model change.</t>
        </is>
      </c>
      <c r="E19" s="31" t="inlineStr">
        <is>
          <t>P0</t>
        </is>
      </c>
      <c r="F19" s="39" t="inlineStr">
        <is>
          <t>2. CLAUDE DOES IT</t>
        </is>
      </c>
      <c r="G19" s="18" t="inlineStr">
        <is>
          <t>Anand</t>
        </is>
      </c>
      <c r="H19" s="18" t="inlineStr"/>
      <c r="I19" s="45" t="inlineStr">
        <is>
          <t>Claude (draft)</t>
        </is>
      </c>
      <c r="J19" s="52" t="inlineStr">
        <is>
          <t>$0</t>
        </is>
      </c>
      <c r="K19" s="83" t="inlineStr">
        <is>
          <t>Post-Resign</t>
        </is>
      </c>
      <c r="L19" s="44" t="inlineStr">
        <is>
          <t>Done</t>
        </is>
      </c>
      <c r="M19" s="18" t="inlineStr">
        <is>
          <t>Merged in PR #2732: public /model-card page, canonical URL, footer discoverability, tests, and release record.</t>
        </is>
      </c>
    </row>
    <row r="20">
      <c r="A20" s="18" t="inlineStr">
        <is>
          <t>T225</t>
        </is>
      </c>
      <c r="B20" s="18" t="inlineStr">
        <is>
          <t>AI Liability Defense</t>
        </is>
      </c>
      <c r="C20" s="18" t="inlineStr">
        <is>
          <t>Known limitations + hallucination disclosure page (dated, maintained)</t>
        </is>
      </c>
      <c r="D20" s="18" t="inlineStr">
        <is>
          <t>Frank, public list of what AbarVa is bad at. Counter-intuitively strong defense — shows transparency, sets expectations.</t>
        </is>
      </c>
      <c r="E20" s="31" t="inlineStr">
        <is>
          <t>P0</t>
        </is>
      </c>
      <c r="F20" s="39" t="inlineStr">
        <is>
          <t>2. CLAUDE DOES IT</t>
        </is>
      </c>
      <c r="G20" s="18" t="inlineStr">
        <is>
          <t>Anand</t>
        </is>
      </c>
      <c r="H20" s="18" t="inlineStr"/>
      <c r="I20" s="45" t="inlineStr">
        <is>
          <t>Claude (draft)</t>
        </is>
      </c>
      <c r="J20" s="52" t="inlineStr">
        <is>
          <t>$0</t>
        </is>
      </c>
      <c r="K20" s="83" t="inlineStr">
        <is>
          <t>Post-Resign</t>
        </is>
      </c>
      <c r="L20" s="44" t="inlineStr">
        <is>
          <t>Done</t>
        </is>
      </c>
      <c r="M20" s="18" t="inlineStr">
        <is>
          <t>Merged in PR #2732: public /known-limitations page, canonical URL, footer discoverability, tests, and release record.</t>
        </is>
      </c>
    </row>
    <row r="21">
      <c r="A21" s="18" t="inlineStr">
        <is>
          <t>T231</t>
        </is>
      </c>
      <c r="B21" s="18" t="inlineStr">
        <is>
          <t>AI Liability Defense</t>
        </is>
      </c>
      <c r="C21" s="18" t="inlineStr">
        <is>
          <t>Cross-module audit: catalog every consequential action across Intelligence / Moves / Source / Tower / Setup</t>
        </is>
      </c>
      <c r="D21" s="18" t="inlineStr">
        <is>
          <t>1 spreadsheet listing every action that mutates state, sends external, or commits a decision. Per row: module / surface / action / current gate / required gate. Drives all retrofit work below.</t>
        </is>
      </c>
      <c r="E21" s="31" t="inlineStr">
        <is>
          <t>P0</t>
        </is>
      </c>
      <c r="F21" s="39" t="inlineStr">
        <is>
          <t>2. CLAUDE DOES IT</t>
        </is>
      </c>
      <c r="G21" s="18" t="inlineStr">
        <is>
          <t>Anand</t>
        </is>
      </c>
      <c r="H21" s="18" t="inlineStr">
        <is>
          <t>T203</t>
        </is>
      </c>
      <c r="I21" s="45" t="inlineStr">
        <is>
          <t>Claude (code-scan) + you</t>
        </is>
      </c>
      <c r="J21" s="52" t="inlineStr">
        <is>
          <t>$0</t>
        </is>
      </c>
      <c r="K21" s="84" t="inlineStr">
        <is>
          <t>Anytime</t>
        </is>
      </c>
      <c r="L21" s="44" t="inlineStr">
        <is>
          <t>Done</t>
        </is>
      </c>
      <c r="M21" s="18" t="inlineStr">
        <is>
          <t>PR #2723: docs/legal/AI_CONSEQUENTIAL_ACTION_CATALOG.md catalogs verified cross-module consequential actions.</t>
        </is>
      </c>
    </row>
    <row r="22">
      <c r="A22" s="18" t="inlineStr">
        <is>
          <t>T232</t>
        </is>
      </c>
      <c r="B22" s="18" t="inlineStr">
        <is>
          <t>AI Liability Defense</t>
        </is>
      </c>
      <c r="C22" s="18" t="inlineStr">
        <is>
          <t>Cross-module audit: catalog every AI-generated UI element across all surfaces</t>
        </is>
      </c>
      <c r="D22" s="18" t="inlineStr">
        <is>
          <t>Every place the system shows a generated suggestion/draft/summary/score. Per row: module / surface / element / has label? / has citation? / has confidence? Drives label retrofit.</t>
        </is>
      </c>
      <c r="E22" s="31" t="inlineStr">
        <is>
          <t>P0</t>
        </is>
      </c>
      <c r="F22" s="39" t="inlineStr">
        <is>
          <t>2. CLAUDE DOES IT</t>
        </is>
      </c>
      <c r="G22" s="18" t="inlineStr">
        <is>
          <t>Anand</t>
        </is>
      </c>
      <c r="H22" s="18" t="inlineStr">
        <is>
          <t>T203</t>
        </is>
      </c>
      <c r="I22" s="45" t="inlineStr">
        <is>
          <t>Claude (code-scan) + you</t>
        </is>
      </c>
      <c r="J22" s="52" t="inlineStr">
        <is>
          <t>$0</t>
        </is>
      </c>
      <c r="K22" s="84" t="inlineStr">
        <is>
          <t>Anytime</t>
        </is>
      </c>
      <c r="L22" s="44" t="inlineStr">
        <is>
          <t>Done</t>
        </is>
      </c>
      <c r="M22" s="18" t="inlineStr">
        <is>
          <t>PR #2723: docs/legal/AI_GENERATED_UI_CATALOG.md catalogs verified generated-output UI surfaces.</t>
        </is>
      </c>
    </row>
    <row r="23">
      <c r="A23" s="18" t="inlineStr">
        <is>
          <t>T233</t>
        </is>
      </c>
      <c r="B23" s="18" t="inlineStr">
        <is>
          <t>AI Liability Defense</t>
        </is>
      </c>
      <c r="C23" s="18" t="inlineStr">
        <is>
          <t>Intelligence: retrofit pattern recommendations with AI labels + source citations + confidence</t>
        </is>
      </c>
      <c r="D23" s="18" t="inlineStr">
        <is>
          <t>Every pattern surfaced shows: 'AI Suggestion' label, link to source corpus chunks that grounded it, confidence score with rationale.</t>
        </is>
      </c>
      <c r="E23" s="31" t="inlineStr">
        <is>
          <t>P0</t>
        </is>
      </c>
      <c r="F23" s="39" t="inlineStr">
        <is>
          <t>2. CLAUDE DOES IT</t>
        </is>
      </c>
      <c r="G23" s="18" t="inlineStr">
        <is>
          <t>Anand</t>
        </is>
      </c>
      <c r="H23" s="18" t="inlineStr">
        <is>
          <t>T205,T209,T208</t>
        </is>
      </c>
      <c r="I23" s="45" t="inlineStr">
        <is>
          <t>Claude (code)</t>
        </is>
      </c>
      <c r="J23" s="52" t="inlineStr">
        <is>
          <t>$0</t>
        </is>
      </c>
      <c r="K23" s="84" t="inlineStr">
        <is>
          <t>Anytime</t>
        </is>
      </c>
      <c r="L23" s="44" t="inlineStr">
        <is>
          <t>Done</t>
        </is>
      </c>
      <c r="M23" s="18" t="inlineStr">
        <is>
          <t>PR #2898 merged 2026-06-03: Sentinel active pattern cards now show AI-assisted pattern recommendation label, confidence, evidence refs from sourceSignalIds, and human promotion-gate warning; catalogs, verifier, tests, and green CI/local QA passed. Done for the audited Sentinel active-pattern recommendation surface.</t>
        </is>
      </c>
    </row>
    <row r="24">
      <c r="A24" s="18" t="inlineStr">
        <is>
          <t>T234</t>
        </is>
      </c>
      <c r="B24" s="18" t="inlineStr">
        <is>
          <t>AI Liability Defense</t>
        </is>
      </c>
      <c r="C24" s="18" t="inlineStr">
        <is>
          <t>Intelligence: gate pattern → Move promotion behind approval dialog + justification</t>
        </is>
      </c>
      <c r="D24" s="18" t="inlineStr">
        <is>
          <t>User cannot promote a pattern to a Move candidate without explicit click + free-text reason. Evidence bundle generated.</t>
        </is>
      </c>
      <c r="E24" s="31" t="inlineStr">
        <is>
          <t>P0</t>
        </is>
      </c>
      <c r="F24" s="39" t="inlineStr">
        <is>
          <t>2. CLAUDE DOES IT</t>
        </is>
      </c>
      <c r="G24" s="18" t="inlineStr">
        <is>
          <t>Anand</t>
        </is>
      </c>
      <c r="H24" s="18" t="inlineStr">
        <is>
          <t>T206,T207,T216</t>
        </is>
      </c>
      <c r="I24" s="45" t="inlineStr">
        <is>
          <t>Claude (code)</t>
        </is>
      </c>
      <c r="J24" s="52" t="inlineStr">
        <is>
          <t>$0</t>
        </is>
      </c>
      <c r="K24" s="84" t="inlineStr">
        <is>
          <t>Anytime</t>
        </is>
      </c>
      <c r="L24" s="44" t="inlineStr">
        <is>
          <t>Done</t>
        </is>
      </c>
      <c r="M24" s="18" t="inlineStr">
        <is>
          <t>2026-06-03: Done. PR #2902 merged through protected main/merge-queue path at merge commit 5d28a206f9d848fcd4e871489c08af998f237003 after all 20 required checks passed. Implements Intelligence pattern-to-Move promotion approval gate with local QA and release evidence from the PR. Previous note: 2026-06-03: PR #2902 opened from codex/intelligence-promotion-approval. Implements the consuming Intelligence pattern-to-Move promotion approval gate: origination UI requires explicit human acceptance, 24+ char rationale, and sourceThreadId/selectedPatternKey evidence refs before submit; server origination-submit fails closed with intelligence_promotion_approval_required and persists briefSnapshot.intelligence_promotion_gate. Local QA passed: verifier 48/48, focused Jest 30/30, ESLint, diff check, release:check. Await CI/merge before Done.</t>
        </is>
      </c>
    </row>
    <row r="25">
      <c r="A25" s="18" t="inlineStr">
        <is>
          <t>T235</t>
        </is>
      </c>
      <c r="B25" s="18" t="inlineStr">
        <is>
          <t>AI Liability Defense</t>
        </is>
      </c>
      <c r="C25" s="18" t="inlineStr">
        <is>
          <t>Moves: every gate approval requires justification field + evidence bundle (extends R8 / GATE_APPROVAL_STRICT_MODE)</t>
        </is>
      </c>
      <c r="D25" s="18" t="inlineStr">
        <is>
          <t>Existing approval flow gets free-text reason field + auto-generated evidence bundle (AI inputs + sources + reviewer + timestamp). Cannot approve without filling.</t>
        </is>
      </c>
      <c r="E25" s="31" t="inlineStr">
        <is>
          <t>P0</t>
        </is>
      </c>
      <c r="F25" s="39" t="inlineStr">
        <is>
          <t>2. CLAUDE DOES IT</t>
        </is>
      </c>
      <c r="G25" s="18" t="inlineStr">
        <is>
          <t>Anand</t>
        </is>
      </c>
      <c r="H25" s="18" t="inlineStr">
        <is>
          <t>T206,T207,T216</t>
        </is>
      </c>
      <c r="I25" s="45" t="inlineStr">
        <is>
          <t>Claude (code)</t>
        </is>
      </c>
      <c r="J25" s="52" t="inlineStr">
        <is>
          <t>$0</t>
        </is>
      </c>
      <c r="K25" s="84" t="inlineStr">
        <is>
          <t>Anytime</t>
        </is>
      </c>
      <c r="L25" s="44" t="inlineStr">
        <is>
          <t>Done</t>
        </is>
      </c>
      <c r="M25" s="18" t="inlineStr">
        <is>
          <t>Implemented in codex/moves-ai-liability-retrofit: gate approvals require a human justification and create shared AI decision evidence bundles/audit references.</t>
        </is>
      </c>
    </row>
    <row r="26">
      <c r="A26" s="18" t="inlineStr">
        <is>
          <t>T236</t>
        </is>
      </c>
      <c r="B26" s="18" t="inlineStr">
        <is>
          <t>AI Liability Defense</t>
        </is>
      </c>
      <c r="C26" s="18" t="inlineStr">
        <is>
          <t>Moves: all AI-drafted artifacts (briefs, summaries, next-steps) get 'AI Draft' label + edit-before-commit</t>
        </is>
      </c>
      <c r="D26" s="18" t="inlineStr">
        <is>
          <t>Move workspace shows every drafted artifact as draft. User edits, then commits. Modifications also captured in evidence.</t>
        </is>
      </c>
      <c r="E26" s="31" t="inlineStr">
        <is>
          <t>P0</t>
        </is>
      </c>
      <c r="F26" s="39" t="inlineStr">
        <is>
          <t>2. CLAUDE DOES IT</t>
        </is>
      </c>
      <c r="G26" s="18" t="inlineStr">
        <is>
          <t>Anand</t>
        </is>
      </c>
      <c r="H26" s="18" t="inlineStr">
        <is>
          <t>T205</t>
        </is>
      </c>
      <c r="I26" s="45" t="inlineStr">
        <is>
          <t>Claude (code)</t>
        </is>
      </c>
      <c r="J26" s="52" t="inlineStr">
        <is>
          <t>$0</t>
        </is>
      </c>
      <c r="K26" s="82" t="inlineStr">
        <is>
          <t>Pre-Resign</t>
        </is>
      </c>
      <c r="L26" s="44" t="inlineStr">
        <is>
          <t>Done</t>
        </is>
      </c>
      <c r="M26" s="18" t="inlineStr">
        <is>
          <t>Implemented in codex/moves-ai-liability-retrofit: Moves deliverables carry AI Draft labels plus edit-before-commit human-review requirements in the view model and UI.</t>
        </is>
      </c>
    </row>
    <row r="27">
      <c r="A27" s="18" t="inlineStr">
        <is>
          <t>T237</t>
        </is>
      </c>
      <c r="B27" s="18" t="inlineStr">
        <is>
          <t>AI Liability Defense</t>
        </is>
      </c>
      <c r="C27" s="18" t="inlineStr">
        <is>
          <t>Moves: stage advance requires explicit human commit (no AI auto-advance) + advance reason</t>
        </is>
      </c>
      <c r="D27" s="18" t="inlineStr">
        <is>
          <t>Even when AI suggests 'ready to advance,' user must click + state why. Audit trail records who, when, why.</t>
        </is>
      </c>
      <c r="E27" s="31" t="inlineStr">
        <is>
          <t>P0</t>
        </is>
      </c>
      <c r="F27" s="39" t="inlineStr">
        <is>
          <t>2. CLAUDE DOES IT</t>
        </is>
      </c>
      <c r="G27" s="18" t="inlineStr">
        <is>
          <t>Anand</t>
        </is>
      </c>
      <c r="H27" s="18" t="inlineStr">
        <is>
          <t>T206</t>
        </is>
      </c>
      <c r="I27" s="45" t="inlineStr">
        <is>
          <t>Claude (code)</t>
        </is>
      </c>
      <c r="J27" s="52" t="inlineStr">
        <is>
          <t>$0</t>
        </is>
      </c>
      <c r="K27" s="84" t="inlineStr">
        <is>
          <t>Anytime</t>
        </is>
      </c>
      <c r="L27" s="44" t="inlineStr">
        <is>
          <t>Done</t>
        </is>
      </c>
      <c r="M27" s="18" t="inlineStr">
        <is>
          <t>Implemented in codex/moves-ai-liability-retrofit: phase advance API, UI, and Nexus tool require explicit human rationale before commit.</t>
        </is>
      </c>
    </row>
    <row r="28">
      <c r="A28" s="18" t="inlineStr">
        <is>
          <t>T238</t>
        </is>
      </c>
      <c r="B28" s="18" t="inlineStr">
        <is>
          <t>AI Liability Defense</t>
        </is>
      </c>
      <c r="C28" s="18" t="inlineStr">
        <is>
          <t>Source: vendor recommendations get AI labels + source citations + confidence + risk caveats</t>
        </is>
      </c>
      <c r="D28" s="18" t="inlineStr">
        <is>
          <t>Procurement = high-stakes. Every Sentinel-recommended vendor shows label, sources, confidence, and known limitations of the recommendation.</t>
        </is>
      </c>
      <c r="E28" s="31" t="inlineStr">
        <is>
          <t>P0</t>
        </is>
      </c>
      <c r="F28" s="39" t="inlineStr">
        <is>
          <t>2. CLAUDE DOES IT</t>
        </is>
      </c>
      <c r="G28" s="18" t="inlineStr">
        <is>
          <t>Anand</t>
        </is>
      </c>
      <c r="H28" s="18" t="inlineStr">
        <is>
          <t>T205,T209,T208</t>
        </is>
      </c>
      <c r="I28" s="45" t="inlineStr">
        <is>
          <t>Claude (code)</t>
        </is>
      </c>
      <c r="J28" s="52" t="inlineStr">
        <is>
          <t>$0</t>
        </is>
      </c>
      <c r="K28" s="84" t="inlineStr">
        <is>
          <t>Anytime</t>
        </is>
      </c>
      <c r="L28" s="44" t="inlineStr">
        <is>
          <t>In progress</t>
        </is>
      </c>
      <c r="M28" s="18" t="inlineStr">
        <is>
          <t>PR #2759 merged: Source Award tab vendor recommendation now shows AI-assisted label, confidence tier/rationale, evidence basis, risk caveats, and human committee approval boundary; GitHub CI and Vercel checks passed. Remaining T238 work is broader Source recommendation/export coverage beyond the Award tab. 2026-06-04: PR #3006 opened for AI Liability live-evidence matrix/verifier/release record. It separates remaining open rows into live product E2E proof, durable evidence/export proof, source-binding proof, and counsel/insurance proof, making explicit which work Codex can advance versus what requires Anand/counsel/broker/carrier/client-side evidence. Keep In progress until row-specific proof exists. 2026-06-04: PR #3006 merged to main at cc52e53f with the AI Liability live-evidence matrix, verifier, and release record. Keep In progress until row-specific live UI, legal, policy, insurance, counsel, or approval evidence is captured and attached.</t>
        </is>
      </c>
    </row>
    <row r="29">
      <c r="A29" s="18" t="inlineStr">
        <is>
          <t>T239</t>
        </is>
      </c>
      <c r="B29" s="18" t="inlineStr">
        <is>
          <t>AI Liability Defense</t>
        </is>
      </c>
      <c r="C29" s="18" t="inlineStr">
        <is>
          <t>Source: any external action (RFP send, contract draft commit, vendor notification) behind explicit human gate</t>
        </is>
      </c>
      <c r="D29" s="18" t="inlineStr">
        <is>
          <t>AI drafts; human reviews; human sends. No code path from agent → external transmission without a human click and justification.</t>
        </is>
      </c>
      <c r="E29" s="31" t="inlineStr">
        <is>
          <t>P0</t>
        </is>
      </c>
      <c r="F29" s="39" t="inlineStr">
        <is>
          <t>2. CLAUDE DOES IT</t>
        </is>
      </c>
      <c r="G29" s="18" t="inlineStr">
        <is>
          <t>Anand</t>
        </is>
      </c>
      <c r="H29" s="18" t="inlineStr">
        <is>
          <t>T206,T204</t>
        </is>
      </c>
      <c r="I29" s="45" t="inlineStr">
        <is>
          <t>Claude (code)</t>
        </is>
      </c>
      <c r="J29" s="52" t="inlineStr">
        <is>
          <t>$0</t>
        </is>
      </c>
      <c r="K29" s="82" t="inlineStr">
        <is>
          <t>Pre-Resign</t>
        </is>
      </c>
      <c r="L29" s="44" t="inlineStr">
        <is>
          <t>Done</t>
        </is>
      </c>
      <c r="M29" s="18" t="inlineStr">
        <is>
          <t>Done 2026-06-03: PR #2901 merged green at 3ef404a54846f8065177bb945a7f1765d051c938. Source external-action gate now covers the audited Renewal Cockpit serve_notice path: API fails closed without humanConfirmed, 24+ char humanJustification, and evidenceRefs; UI disables creation until rationale exists; approval metadata persists on work items. Local QA passed: verifier 38/38, focused Jest 8/8, ESLint, diff check, release:check; CI green before merge. Future RFP-send, contract-draft-commit, and vendor-notification runtime actions must reuse the gate before shipping.</t>
        </is>
      </c>
    </row>
    <row r="30">
      <c r="A30" s="18" t="inlineStr">
        <is>
          <t>T240</t>
        </is>
      </c>
      <c r="B30" s="18" t="inlineStr">
        <is>
          <t>AI Liability Defense</t>
        </is>
      </c>
      <c r="C30" s="18" t="inlineStr">
        <is>
          <t>Source: savings/cost estimates marked as estimates with assumptions visible</t>
        </is>
      </c>
      <c r="D30" s="18" t="inlineStr">
        <is>
          <t>Every dollar figure AI generates shows the assumptions used. User accepts assumptions explicitly before estimate is committed to a deliverable.</t>
        </is>
      </c>
      <c r="E30" s="31" t="inlineStr">
        <is>
          <t>P0</t>
        </is>
      </c>
      <c r="F30" s="39" t="inlineStr">
        <is>
          <t>2. CLAUDE DOES IT</t>
        </is>
      </c>
      <c r="G30" s="18" t="inlineStr">
        <is>
          <t>Anand</t>
        </is>
      </c>
      <c r="H30" s="18" t="inlineStr">
        <is>
          <t>T209</t>
        </is>
      </c>
      <c r="I30" s="45" t="inlineStr">
        <is>
          <t>Claude (code)</t>
        </is>
      </c>
      <c r="J30" s="52" t="inlineStr">
        <is>
          <t>$0</t>
        </is>
      </c>
      <c r="K30" s="84" t="inlineStr">
        <is>
          <t>Anytime</t>
        </is>
      </c>
      <c r="L30" s="44" t="inlineStr">
        <is>
          <t>In progress</t>
        </is>
      </c>
      <c r="M30" s="18" t="inlineStr">
        <is>
          <t>PR #2829 merged 2026-06-02. CXO verdict is stage-gated to Pending before executive_decision+ and legacy Pricing/BAFO canvases get virtual scaffolds instead of developer CLI gaps. Still not CFO-auditable savings proof: vendor bid bridge, normalized TCO, BAFO delta, and realized savings math remain unverified. 2026-06-04: PR #3006 opened for AI Liability live-evidence matrix/verifier/release record. It separates remaining open rows into live product E2E proof, durable evidence/export proof, source-binding proof, and counsel/insurance proof, making explicit which work Codex can advance versus what requires Anand/counsel/broker/carrier/client-side evidence. Keep In progress until row-specific proof exists. 2026-06-04: PR #3006 merged to main at cc52e53f with the AI Liability live-evidence matrix, verifier, and release record. Keep In progress until row-specific live UI, legal, policy, insurance, counsel, or approval evidence is captured and attached.</t>
        </is>
      </c>
    </row>
    <row r="31">
      <c r="A31" s="18" t="inlineStr">
        <is>
          <t>T241</t>
        </is>
      </c>
      <c r="B31" s="18" t="inlineStr">
        <is>
          <t>AI Liability Defense</t>
        </is>
      </c>
      <c r="C31" s="18" t="inlineStr">
        <is>
          <t>Tower: AI-generated insights/narratives in executive dashboards marked + cited</t>
        </is>
      </c>
      <c r="D31" s="18" t="inlineStr">
        <is>
          <t>Atlas insights shown with 'AI-generated' label, sources cited, generation timestamp. Executives know what's AI vs raw data.</t>
        </is>
      </c>
      <c r="E31" s="31" t="inlineStr">
        <is>
          <t>P0</t>
        </is>
      </c>
      <c r="F31" s="39" t="inlineStr">
        <is>
          <t>2. CLAUDE DOES IT</t>
        </is>
      </c>
      <c r="G31" s="18" t="inlineStr">
        <is>
          <t>Anand</t>
        </is>
      </c>
      <c r="H31" s="18" t="inlineStr">
        <is>
          <t>T205,T209</t>
        </is>
      </c>
      <c r="I31" s="45" t="inlineStr">
        <is>
          <t>Claude (code)</t>
        </is>
      </c>
      <c r="J31" s="52" t="inlineStr">
        <is>
          <t>$0</t>
        </is>
      </c>
      <c r="K31" s="84" t="inlineStr">
        <is>
          <t>Anytime</t>
        </is>
      </c>
      <c r="L31" s="44" t="inlineStr">
        <is>
          <t>Done</t>
        </is>
      </c>
      <c r="M31" s="18" t="inlineStr">
        <is>
          <t>PR #2753 merged: Tower Atlas program pressure executive brief shows AI-assisted decision-support labeling, human approval boundary, missing-data/assumption limits, confidence, and deterministic evidence-basis IDs. PR #2787 merged: remaining Tower/Atlas executive-facing brief, interpretation, and chat surfaces now carry AI-assisted decision-support disclosure, citations/evidence references, assumptions, and human-review framing. CI and Vercel checks passed; remote branch deleted.</t>
        </is>
      </c>
    </row>
    <row r="32">
      <c r="A32" s="18" t="inlineStr">
        <is>
          <t>T242</t>
        </is>
      </c>
      <c r="B32" s="18" t="inlineStr">
        <is>
          <t>AI Liability Defense</t>
        </is>
      </c>
      <c r="C32" s="18" t="inlineStr">
        <is>
          <t>Tower: trend predictions get confidence intervals + 'AI prediction' label + assumption disclosure</t>
        </is>
      </c>
      <c r="D32" s="18" t="inlineStr">
        <is>
          <t>Forecasts are predictions, not facts. Confidence intervals shown. Assumptions visible.</t>
        </is>
      </c>
      <c r="E32" s="31" t="inlineStr">
        <is>
          <t>P0</t>
        </is>
      </c>
      <c r="F32" s="39" t="inlineStr">
        <is>
          <t>2. CLAUDE DOES IT</t>
        </is>
      </c>
      <c r="G32" s="18" t="inlineStr">
        <is>
          <t>Anand</t>
        </is>
      </c>
      <c r="H32" s="18" t="inlineStr">
        <is>
          <t>T208</t>
        </is>
      </c>
      <c r="I32" s="45" t="inlineStr">
        <is>
          <t>Claude (code)</t>
        </is>
      </c>
      <c r="J32" s="52" t="inlineStr">
        <is>
          <t>$0</t>
        </is>
      </c>
      <c r="K32" s="84" t="inlineStr">
        <is>
          <t>Anytime</t>
        </is>
      </c>
      <c r="L32" s="44" t="inlineStr">
        <is>
          <t>In progress</t>
        </is>
      </c>
      <c r="M32" s="18" t="inlineStr">
        <is>
          <t>PR #2754 merged: Tower Move portfolio cards label projected value as directional decision support and show baseline, measurement-window, and owner-approved assumption validation before funding, board, or phase-gate use. PR #2787 merged: Atlas interpretation/chat disclosure now includes assumption and human-review framing. Broader trend-prediction confidence interval coverage remains open across remaining forecast/projection surfaces. 2026-06-04: PR #3006 opened for AI Liability live-evidence matrix/verifier/release record. It separates remaining open rows into live product E2E proof, durable evidence/export proof, source-binding proof, and counsel/insurance proof, making explicit which work Codex can advance versus what requires Anand/counsel/broker/carrier/client-side evidence. Keep In progress until row-specific proof exists. 2026-06-04: PR #3006 merged to main at cc52e53f with the AI Liability live-evidence matrix, verifier, and release record. Keep In progress until row-specific live UI, legal, policy, insurance, counsel, or approval evidence is captured and attached.</t>
        </is>
      </c>
    </row>
    <row r="33">
      <c r="A33" s="18" t="inlineStr">
        <is>
          <t>T243</t>
        </is>
      </c>
      <c r="B33" s="18" t="inlineStr">
        <is>
          <t>AI Liability Defense</t>
        </is>
      </c>
      <c r="C33" s="18" t="inlineStr">
        <is>
          <t>Tower: AI-driven alerts require human acknowledge before triggering action</t>
        </is>
      </c>
      <c r="D33" s="18" t="inlineStr">
        <is>
          <t>Alert fires → human acknowledges/dismisses with reason → action taken or not. Never auto-action on AI alert.</t>
        </is>
      </c>
      <c r="E33" s="31" t="inlineStr">
        <is>
          <t>P0</t>
        </is>
      </c>
      <c r="F33" s="39" t="inlineStr">
        <is>
          <t>2. CLAUDE DOES IT</t>
        </is>
      </c>
      <c r="G33" s="18" t="inlineStr">
        <is>
          <t>Anand</t>
        </is>
      </c>
      <c r="H33" s="18" t="inlineStr">
        <is>
          <t>T206</t>
        </is>
      </c>
      <c r="I33" s="45" t="inlineStr">
        <is>
          <t>Claude (code)</t>
        </is>
      </c>
      <c r="J33" s="52" t="inlineStr">
        <is>
          <t>$0</t>
        </is>
      </c>
      <c r="K33" s="84" t="inlineStr">
        <is>
          <t>Anytime</t>
        </is>
      </c>
      <c r="L33" s="44" t="inlineStr">
        <is>
          <t>In progress</t>
        </is>
      </c>
      <c r="M33" s="18" t="inlineStr">
        <is>
          <t>PR #2755 merged: Tower active executive alerts now show an explicit human acknowledgment boundary requiring review of evidence, owner, and recommended next step before acting on or dismissing the alert. Persistence/approver policy remains unchanged. 2026-06-04: PR #3006 opened for AI Liability live-evidence matrix/verifier/release record. It separates remaining open rows into live product E2E proof, durable evidence/export proof, source-binding proof, and counsel/insurance proof, making explicit which work Codex can advance versus what requires Anand/counsel/broker/carrier/client-side evidence. Keep In progress until row-specific proof exists. 2026-06-04: PR #3006 merged to main at cc52e53f with the AI Liability live-evidence matrix, verifier, and release record. Keep In progress until row-specific live UI, legal, policy, insurance, counsel, or approval evidence is captured and attached.</t>
        </is>
      </c>
    </row>
    <row r="34">
      <c r="A34" s="18" t="inlineStr">
        <is>
          <t>T244</t>
        </is>
      </c>
      <c r="B34" s="18" t="inlineStr">
        <is>
          <t>AI Liability Defense</t>
        </is>
      </c>
      <c r="C34" s="18" t="inlineStr">
        <is>
          <t>Setup: AI-suggested tenant configurations require admin approval + reason</t>
        </is>
      </c>
      <c r="D34" s="18" t="inlineStr">
        <is>
          <t>Steward never auto-applies a config. Suggests + admin approves + reason recorded.</t>
        </is>
      </c>
      <c r="E34" s="31" t="inlineStr">
        <is>
          <t>P0</t>
        </is>
      </c>
      <c r="F34" s="39" t="inlineStr">
        <is>
          <t>2. CLAUDE DOES IT</t>
        </is>
      </c>
      <c r="G34" s="18" t="inlineStr">
        <is>
          <t>Anand</t>
        </is>
      </c>
      <c r="H34" s="18" t="inlineStr">
        <is>
          <t>T206</t>
        </is>
      </c>
      <c r="I34" s="45" t="inlineStr">
        <is>
          <t>Claude (code)</t>
        </is>
      </c>
      <c r="J34" s="52" t="inlineStr">
        <is>
          <t>$0</t>
        </is>
      </c>
      <c r="K34" s="84" t="inlineStr">
        <is>
          <t>Anytime</t>
        </is>
      </c>
      <c r="L34" s="44" t="inlineStr">
        <is>
          <t>In progress</t>
        </is>
      </c>
      <c r="M34" s="18" t="inlineStr">
        <is>
          <t>PR #2894 merged 2026-06-03: setup AI governance controls landed requiring admin approval, named admin user, recorded reason, and evidence ids before applying AI-suggested tenant configuration changes; Data Loads surfaces AI setup suggestions guardrail; local verifier/Jest/ESLint/diff/release:check and CI passed. Remains In progress until live setup/admin actions persist approval evidence to audit ledger before applying changes. 2026-06-04: PR #3006 opened for AI Liability live-evidence matrix/verifier/release record. It separates remaining open rows into live product E2E proof, durable evidence/export proof, source-binding proof, and counsel/insurance proof, making explicit which work Codex can advance versus what requires Anand/counsel/broker/carrier/client-side evidence. Keep In progress until row-specific proof exists. 2026-06-04: PR #3006 merged to main at cc52e53f with the AI Liability live-evidence matrix, verifier, and release record. Keep In progress until row-specific live UI, legal, policy, insurance, counsel, or approval evidence is captured and attached.</t>
        </is>
      </c>
    </row>
    <row r="35">
      <c r="A35" s="18" t="inlineStr">
        <is>
          <t>T245</t>
        </is>
      </c>
      <c r="B35" s="18" t="inlineStr">
        <is>
          <t>AI Liability Defense</t>
        </is>
      </c>
      <c r="C35" s="18" t="inlineStr">
        <is>
          <t>Setup: AI-detected anomalies require human triage acknowledgment before any auto-remediation</t>
        </is>
      </c>
      <c r="D35" s="18" t="inlineStr">
        <is>
          <t>No silent auto-fix. Anomaly surfaced → admin sees + decides + acts.</t>
        </is>
      </c>
      <c r="E35" s="31" t="inlineStr">
        <is>
          <t>P0</t>
        </is>
      </c>
      <c r="F35" s="39" t="inlineStr">
        <is>
          <t>2. CLAUDE DOES IT</t>
        </is>
      </c>
      <c r="G35" s="18" t="inlineStr">
        <is>
          <t>Anand</t>
        </is>
      </c>
      <c r="H35" s="18" t="inlineStr">
        <is>
          <t>T206</t>
        </is>
      </c>
      <c r="I35" s="45" t="inlineStr">
        <is>
          <t>Claude (code)</t>
        </is>
      </c>
      <c r="J35" s="52" t="inlineStr">
        <is>
          <t>$0</t>
        </is>
      </c>
      <c r="K35" s="84" t="inlineStr">
        <is>
          <t>Anytime</t>
        </is>
      </c>
      <c r="L35" s="44" t="inlineStr">
        <is>
          <t>In progress</t>
        </is>
      </c>
      <c r="M35" s="18" t="inlineStr">
        <is>
          <t>PR #2894 merged 2026-06-03: setup AI anomaly triage controls landed requiring human triage acknowledgement, named admin, recorded reason, timestamp, and evidence ids before remediation; Data Loads surfaces no-silent-remediation guardrail; local verifier/Jest/ESLint/diff/release:check and CI passed. Remains In progress until live setup/admin actions persist triage evidence to audit ledger before remediation. 2026-06-04: PR #3006 opened for AI Liability live-evidence matrix/verifier/release record. It separates remaining open rows into live product E2E proof, durable evidence/export proof, source-binding proof, and counsel/insurance proof, making explicit which work Codex can advance versus what requires Anand/counsel/broker/carrier/client-side evidence. Keep In progress until row-specific proof exists. 2026-06-04: PR #3006 merged to main at cc52e53f with the AI Liability live-evidence matrix, verifier, and release record. Keep In progress until row-specific live UI, legal, policy, insurance, counsel, or approval evidence is captured and attached.</t>
        </is>
      </c>
    </row>
    <row r="36">
      <c r="A36" s="18" t="inlineStr">
        <is>
          <t>T246</t>
        </is>
      </c>
      <c r="B36" s="18" t="inlineStr">
        <is>
          <t>AI Liability Defense</t>
        </is>
      </c>
      <c r="C36" s="18" t="inlineStr">
        <is>
          <t>Agent chat surfaces: persistent disclaimer footer present in all 4 fronts (Nexus/Sentinel/Atlas/Steward)</t>
        </is>
      </c>
      <c r="D36" s="18" t="inlineStr">
        <is>
          <t>Standard footer component. Always visible. Disclaimer copy from Responsible AI policy.</t>
        </is>
      </c>
      <c r="E36" s="31" t="inlineStr">
        <is>
          <t>P0</t>
        </is>
      </c>
      <c r="F36" s="39" t="inlineStr">
        <is>
          <t>2. CLAUDE DOES IT</t>
        </is>
      </c>
      <c r="G36" s="18" t="inlineStr">
        <is>
          <t>Anand</t>
        </is>
      </c>
      <c r="H36" s="18" t="inlineStr">
        <is>
          <t>T205</t>
        </is>
      </c>
      <c r="I36" s="45" t="inlineStr">
        <is>
          <t>Claude (code)</t>
        </is>
      </c>
      <c r="J36" s="52" t="inlineStr">
        <is>
          <t>$0</t>
        </is>
      </c>
      <c r="K36" s="84" t="inlineStr">
        <is>
          <t>Anytime</t>
        </is>
      </c>
      <c r="L36" s="44" t="inlineStr">
        <is>
          <t>Done</t>
        </is>
      </c>
      <c r="M36" s="18" t="inlineStr">
        <is>
          <t>PR #2745 merged: migrated Nexus/Sentinel/Atlas/Steward-style AgentDock rails and AtlasDrawer embedded canvases now carry the shared responsibility disclaimer footer.</t>
        </is>
      </c>
    </row>
    <row r="37">
      <c r="A37" s="18" t="inlineStr">
        <is>
          <t>T247</t>
        </is>
      </c>
      <c r="B37" s="18" t="inlineStr">
        <is>
          <t>AI Liability Defense</t>
        </is>
      </c>
      <c r="C37" s="18" t="inlineStr">
        <is>
          <t>Agent chat: any agent-initiated action requires explicit human approval in-chat</t>
        </is>
      </c>
      <c r="D37" s="18" t="inlineStr">
        <is>
          <t>If user says 'Sentinel, source 3 vendors for X' — agent drafts list + waits for user 'go' before any external action. No agent auto-execution.</t>
        </is>
      </c>
      <c r="E37" s="31" t="inlineStr">
        <is>
          <t>P0</t>
        </is>
      </c>
      <c r="F37" s="39" t="inlineStr">
        <is>
          <t>2. CLAUDE DOES IT</t>
        </is>
      </c>
      <c r="G37" s="18" t="inlineStr">
        <is>
          <t>Anand</t>
        </is>
      </c>
      <c r="H37" s="18" t="inlineStr">
        <is>
          <t>T206,T204</t>
        </is>
      </c>
      <c r="I37" s="45" t="inlineStr">
        <is>
          <t>Claude (code)</t>
        </is>
      </c>
      <c r="J37" s="52" t="inlineStr">
        <is>
          <t>$0</t>
        </is>
      </c>
      <c r="K37" s="84" t="inlineStr">
        <is>
          <t>Anytime</t>
        </is>
      </c>
      <c r="L37" s="44" t="inlineStr">
        <is>
          <t>In progress</t>
        </is>
      </c>
      <c r="M37" s="18" t="inlineStr">
        <is>
          <t>PR #2757 merged: shared agent chat surfaces now show an explicit human-approval boundary for agent-suggested actions in AgentDock, AtlasDrawer, and AgentResponse follow-up chips; GitHub CI and Vercel checks passed. Remaining work, if any, is deeper action-specific approval persistence/enforcement beyond visible chat controls. 2026-06-04: PR #3006 opened for AI Liability live-evidence matrix/verifier/release record. It separates remaining open rows into live product E2E proof, durable evidence/export proof, source-binding proof, and counsel/insurance proof, making explicit which work Codex can advance versus what requires Anand/counsel/broker/carrier/client-side evidence. Keep In progress until row-specific proof exists. 2026-06-04: PR #3006 merged to main at cc52e53f with the AI Liability live-evidence matrix, verifier, and release record. Keep In progress until row-specific live UI, legal, policy, insurance, counsel, or approval evidence is captured and attached.</t>
        </is>
      </c>
    </row>
    <row r="38">
      <c r="A38" s="18" t="inlineStr">
        <is>
          <t>T248</t>
        </is>
      </c>
      <c r="B38" s="18" t="inlineStr">
        <is>
          <t>AI Liability Defense</t>
        </is>
      </c>
      <c r="C38" s="18" t="inlineStr">
        <is>
          <t>Agent chat: responses cite sources where the claim came from (RAG-grounded citations)</t>
        </is>
      </c>
      <c r="D38" s="18" t="inlineStr">
        <is>
          <t>Every factual claim in agent response shows [1] [2] [3] links to source chunks. Ungrounded claims marked 'general knowledge'.</t>
        </is>
      </c>
      <c r="E38" s="31" t="inlineStr">
        <is>
          <t>P0</t>
        </is>
      </c>
      <c r="F38" s="39" t="inlineStr">
        <is>
          <t>2. CLAUDE DOES IT</t>
        </is>
      </c>
      <c r="G38" s="18" t="inlineStr">
        <is>
          <t>Anand</t>
        </is>
      </c>
      <c r="H38" s="18" t="inlineStr">
        <is>
          <t>T209</t>
        </is>
      </c>
      <c r="I38" s="45" t="inlineStr">
        <is>
          <t>Claude (code)</t>
        </is>
      </c>
      <c r="J38" s="52" t="inlineStr">
        <is>
          <t>$0</t>
        </is>
      </c>
      <c r="K38" s="84" t="inlineStr">
        <is>
          <t>Anytime</t>
        </is>
      </c>
      <c r="L38" s="44" t="inlineStr">
        <is>
          <t>In progress</t>
        </is>
      </c>
      <c r="M38" s="18" t="inlineStr">
        <is>
          <t>PR #2750 merged: shared citation-gap detection now warns on substantive uncited agent chat output in AgentDock and AtlasDrawer, reuses AgentResponse citation-gap behavior, and catalogs citation-gap controls in CI. Deeper source-generation coverage remains. 2026-06-04: PR #3006 opened for AI Liability live-evidence matrix/verifier/release record. It separates remaining open rows into live product E2E proof, durable evidence/export proof, source-binding proof, and counsel/insurance proof, making explicit which work Codex can advance versus what requires Anand/counsel/broker/carrier/client-side evidence. Keep In progress until row-specific proof exists. 2026-06-04: PR #3006 merged to main at cc52e53f with the AI Liability live-evidence matrix, verifier, and release record. Keep In progress until row-specific live UI, legal, policy, insurance, counsel, or approval evidence is captured and attached.</t>
        </is>
      </c>
    </row>
    <row r="39">
      <c r="A39" s="18" t="inlineStr">
        <is>
          <t>T250</t>
        </is>
      </c>
      <c r="B39" s="18" t="inlineStr">
        <is>
          <t>AI Liability Defense</t>
        </is>
      </c>
      <c r="C39" s="18" t="inlineStr">
        <is>
          <t>CI gate: E2E test asserts AI label + citation + gate present in every surface (per audit catalog)</t>
        </is>
      </c>
      <c r="D39" s="18" t="inlineStr">
        <is>
          <t>Regression prevention. New surface added without the pattern = CI fails. Test reads the audit catalog as truth source.</t>
        </is>
      </c>
      <c r="E39" s="31" t="inlineStr">
        <is>
          <t>P0</t>
        </is>
      </c>
      <c r="F39" s="39" t="inlineStr">
        <is>
          <t>2. CLAUDE DOES IT</t>
        </is>
      </c>
      <c r="G39" s="18" t="inlineStr">
        <is>
          <t>Anand</t>
        </is>
      </c>
      <c r="H39" s="18" t="inlineStr">
        <is>
          <t>T204</t>
        </is>
      </c>
      <c r="I39" s="45" t="inlineStr">
        <is>
          <t>Claude (workflow)</t>
        </is>
      </c>
      <c r="J39" s="52" t="inlineStr">
        <is>
          <t>$0</t>
        </is>
      </c>
      <c r="K39" s="84" t="inlineStr">
        <is>
          <t>Anytime</t>
        </is>
      </c>
      <c r="L39" s="104" t="inlineStr">
        <is>
          <t>In progress</t>
        </is>
      </c>
      <c r="M39" s="105" t="inlineStr">
        <is>
          <t>2026-06-03: Stronger AI surface catalog claim coverage gate merged in PR #2909 at 7f27420a31b5753a1bf49fe1470428512b917401; PR #2907 merged missing Intelligence pattern-to-Move coverage at 989538cc953addab02bdbc69577f682ba52d5d4b. Still In progress until deferred catalog claims are closed and all audited surfaces have complete machine coverage. 2026-06-04: PR #3006 opened for AI Liability live-evidence matrix/verifier/release record. It separates remaining open rows into live product E2E proof, durable evidence/export proof, source-binding proof, and counsel/insurance proof, making explicit which work Codex can advance versus what requires Anand/counsel/broker/carrier/client-side evidence. Keep In progress until row-specific proof exists. 2026-06-04: PR #3006 merged to main at cc52e53f with the AI Liability live-evidence matrix, verifier, and release record. Keep In progress until row-specific live UI, legal, policy, insurance, counsel, or approval evidence is captured and attached.</t>
        </is>
      </c>
    </row>
    <row r="40">
      <c r="A40" s="18" t="inlineStr">
        <is>
          <t>T213</t>
        </is>
      </c>
      <c r="B40" s="18" t="inlineStr">
        <is>
          <t>AI Liability Defense</t>
        </is>
      </c>
      <c r="C40" s="18" t="inlineStr">
        <is>
          <t>Annual re-acknowledgment requirement</t>
        </is>
      </c>
      <c r="D40" s="18" t="inlineStr">
        <is>
          <t>On anniversary, user must re-accept. New consent text version triggers immediate re-acknowledgment.</t>
        </is>
      </c>
      <c r="E40" s="32" t="inlineStr">
        <is>
          <t>P1</t>
        </is>
      </c>
      <c r="F40" s="39" t="inlineStr">
        <is>
          <t>2. CLAUDE DOES IT</t>
        </is>
      </c>
      <c r="G40" s="18" t="inlineStr">
        <is>
          <t>Anand</t>
        </is>
      </c>
      <c r="H40" s="18" t="inlineStr"/>
      <c r="I40" s="45" t="inlineStr">
        <is>
          <t>Claude (code)</t>
        </is>
      </c>
      <c r="J40" s="52" t="inlineStr">
        <is>
          <t>$0</t>
        </is>
      </c>
      <c r="K40" s="84" t="inlineStr">
        <is>
          <t>Anytime</t>
        </is>
      </c>
      <c r="L40" s="44" t="inlineStr">
        <is>
          <t>Done</t>
        </is>
      </c>
      <c r="M40" s="18" t="inlineStr">
        <is>
          <t>PR #2833 merged 2026-06-02 at merge commit 1b56f82: Annual Responsible AI re-acknowledgment implemented. Acknowledgment status expires after 365 days, expired users route back through /responsible-ai/acknowledgment, UI labels annual renewal, and immutable ledger gains acknowledgment_cycle so renewal rows do not overwrite original evidence. CI green: migration replay, typecheck + reasoning tests, ESLint, release control, axe, Lighthouse, browser matrix, bundle budget, hygiene, production readiness, gitleaks, and Vercel abarva/nexus statuses passed. Remote branch codex/ai-annual-reack deleted after merge.</t>
        </is>
      </c>
    </row>
    <row r="41">
      <c r="A41" s="18" t="inlineStr">
        <is>
          <t>T218</t>
        </is>
      </c>
      <c r="B41" s="18" t="inlineStr">
        <is>
          <t>AI Liability Defense</t>
        </is>
      </c>
      <c r="C41" s="18" t="inlineStr">
        <is>
          <t>Quarterly approval-pattern review (anti-rubber-stamp detection)</t>
        </is>
      </c>
      <c r="D41" s="18" t="inlineStr">
        <is>
          <t>Flag users approving in &lt;X seconds. Surface to tenant admin + AbarVa. Proactive defense against 'they didn't really review' claims later.</t>
        </is>
      </c>
      <c r="E41" s="32" t="inlineStr">
        <is>
          <t>P1</t>
        </is>
      </c>
      <c r="F41" s="39" t="inlineStr">
        <is>
          <t>2. CLAUDE DOES IT</t>
        </is>
      </c>
      <c r="G41" s="18" t="inlineStr">
        <is>
          <t>Anand</t>
        </is>
      </c>
      <c r="H41" s="18" t="inlineStr"/>
      <c r="I41" s="45" t="inlineStr">
        <is>
          <t>Claude (code+report)</t>
        </is>
      </c>
      <c r="J41" s="52" t="inlineStr">
        <is>
          <t>$0</t>
        </is>
      </c>
      <c r="K41" s="84" t="inlineStr">
        <is>
          <t>Anytime</t>
        </is>
      </c>
      <c r="L41" s="44" t="inlineStr">
        <is>
          <t>In progress</t>
        </is>
      </c>
      <c r="M41" s="18" t="inlineStr">
        <is>
          <t>PR #2892 merged 2026-06-03: approval-pattern review foundation landed with pure anti-rubber-stamp review engine, event/reviewer flags, tests, verifier, runbook, build manifest, release record, and CI/local QA. Remains In progress until scheduled quarterly job/admin workflow uses real approval events, notifies tenant admins + AbarVa, and stores evidence packet. 2026-06-04: PR #3006 opened for AI Liability live-evidence matrix/verifier/release record. It separates remaining open rows into live product E2E proof, durable evidence/export proof, source-binding proof, and counsel/insurance proof, making explicit which work Codex can advance versus what requires Anand/counsel/broker/carrier/client-side evidence. Keep In progress until row-specific proof exists. 2026-06-04: PR #3006 merged to main at cc52e53f with the AI Liability live-evidence matrix, verifier, and release record. Keep In progress until row-specific live UI, legal, policy, insurance, counsel, or approval evidence is captured and attached.</t>
        </is>
      </c>
    </row>
    <row r="42">
      <c r="A42" s="18" t="inlineStr">
        <is>
          <t>T226</t>
        </is>
      </c>
      <c r="B42" s="18" t="inlineStr">
        <is>
          <t>AI Liability Defense</t>
        </is>
      </c>
      <c r="C42" s="18" t="inlineStr">
        <is>
          <t>Incident reporting channel for AI-output complaints</t>
        </is>
      </c>
      <c r="D42" s="18" t="inlineStr">
        <is>
          <t>Dedicated path: client reports 'output was wrong' → triaged, documented, RCA, response within SLA. Evidence of ongoing care.</t>
        </is>
      </c>
      <c r="E42" s="32" t="inlineStr">
        <is>
          <t>P1</t>
        </is>
      </c>
      <c r="F42" s="39" t="inlineStr">
        <is>
          <t>2. CLAUDE DOES IT</t>
        </is>
      </c>
      <c r="G42" s="18" t="inlineStr">
        <is>
          <t>Anand</t>
        </is>
      </c>
      <c r="H42" s="18" t="inlineStr"/>
      <c r="I42" s="45" t="inlineStr">
        <is>
          <t>Claude (process+code)</t>
        </is>
      </c>
      <c r="J42" s="52" t="inlineStr">
        <is>
          <t>$0</t>
        </is>
      </c>
      <c r="K42" s="84" t="inlineStr">
        <is>
          <t>Anytime</t>
        </is>
      </c>
      <c r="L42" s="44" t="inlineStr">
        <is>
          <t>Done</t>
        </is>
      </c>
      <c r="M42" s="18" t="inlineStr">
        <is>
          <t>Merged in PR #2735: AI-output complaint runbook defines intake, severity, response targets, triage, RCA, client communication, and evidence capture.</t>
        </is>
      </c>
    </row>
    <row r="43">
      <c r="A43" s="18" t="inlineStr">
        <is>
          <t>T229</t>
        </is>
      </c>
      <c r="B43" s="18" t="inlineStr">
        <is>
          <t>AI Liability Defense</t>
        </is>
      </c>
      <c r="C43" s="18" t="inlineStr">
        <is>
          <t>Internal protocol: client AI-output complaint → documented escalation + RCA + response</t>
        </is>
      </c>
      <c r="D43" s="18" t="inlineStr">
        <is>
          <t>Lightweight process doc. Every complaint logged + responded to within Xh. Shows good-faith handling.</t>
        </is>
      </c>
      <c r="E43" s="32" t="inlineStr">
        <is>
          <t>P1</t>
        </is>
      </c>
      <c r="F43" s="39" t="inlineStr">
        <is>
          <t>2. CLAUDE DOES IT</t>
        </is>
      </c>
      <c r="G43" s="18" t="inlineStr">
        <is>
          <t>Anand</t>
        </is>
      </c>
      <c r="H43" s="18" t="inlineStr"/>
      <c r="I43" s="45" t="inlineStr">
        <is>
          <t>Claude (draft)</t>
        </is>
      </c>
      <c r="J43" s="52" t="inlineStr">
        <is>
          <t>$0</t>
        </is>
      </c>
      <c r="K43" s="84" t="inlineStr">
        <is>
          <t>Anytime</t>
        </is>
      </c>
      <c r="L43" s="44" t="inlineStr">
        <is>
          <t>Done</t>
        </is>
      </c>
      <c r="M43" s="18" t="inlineStr">
        <is>
          <t>Merged in PR #2735: internal escalation/RCA workflow, corrective actions, and follow-up ownership added to AI-output complaint runbook.</t>
        </is>
      </c>
    </row>
    <row r="44">
      <c r="A44" s="18" t="inlineStr">
        <is>
          <t>T249</t>
        </is>
      </c>
      <c r="B44" s="18" t="inlineStr">
        <is>
          <t>AI Liability Defense</t>
        </is>
      </c>
      <c r="C44" s="18" t="inlineStr">
        <is>
          <t>Historical data backfill policy (records pre-dating evidence bundle)</t>
        </is>
      </c>
      <c r="D44" s="18" t="inlineStr">
        <is>
          <t>Existing records without evidence bundle marked 'pre-policy — captured before evidence framework'. Document the cutoff date. Do not retroactively fabricate evidence.</t>
        </is>
      </c>
      <c r="E44" s="32" t="inlineStr">
        <is>
          <t>P1</t>
        </is>
      </c>
      <c r="F44" s="39" t="inlineStr">
        <is>
          <t>2. CLAUDE DOES IT</t>
        </is>
      </c>
      <c r="G44" s="18" t="inlineStr">
        <is>
          <t>Anand</t>
        </is>
      </c>
      <c r="H44" s="18" t="inlineStr">
        <is>
          <t>T216</t>
        </is>
      </c>
      <c r="I44" s="45" t="inlineStr">
        <is>
          <t>Claude (code+docs)</t>
        </is>
      </c>
      <c r="J44" s="52" t="inlineStr">
        <is>
          <t>$0</t>
        </is>
      </c>
      <c r="K44" s="84" t="inlineStr">
        <is>
          <t>Anytime</t>
        </is>
      </c>
      <c r="L44" s="44" t="inlineStr">
        <is>
          <t>Done</t>
        </is>
      </c>
      <c r="M44" s="18" t="inlineStr">
        <is>
          <t>Merged in PR #2735: historical AI evidence backfill policy defines truthful pre-policy labeling and no-fabrication rules.</t>
        </is>
      </c>
    </row>
    <row r="45">
      <c r="A45" s="18" t="inlineStr">
        <is>
          <t>T230</t>
        </is>
      </c>
      <c r="B45" s="18" t="inlineStr">
        <is>
          <t>AI Liability Defense</t>
        </is>
      </c>
      <c r="C45" s="18" t="inlineStr">
        <is>
          <t>Quarterly litigation precedent monitoring (legal updates affecting AI vendor risk)</t>
        </is>
      </c>
      <c r="D45" s="18" t="inlineStr">
        <is>
          <t>Track Air Canada / Mata-style cases. Update policies + system as the legal landscape evolves.</t>
        </is>
      </c>
      <c r="E45" s="49" t="inlineStr">
        <is>
          <t>P2</t>
        </is>
      </c>
      <c r="F45" s="39" t="inlineStr">
        <is>
          <t>2. CLAUDE DOES IT</t>
        </is>
      </c>
      <c r="G45" s="18" t="inlineStr">
        <is>
          <t>Anand</t>
        </is>
      </c>
      <c r="H45" s="18" t="inlineStr"/>
      <c r="I45" s="45" t="inlineStr">
        <is>
          <t>Claude (research) + you</t>
        </is>
      </c>
      <c r="J45" s="52" t="inlineStr">
        <is>
          <t>$0</t>
        </is>
      </c>
      <c r="K45" s="84" t="inlineStr">
        <is>
          <t>Anytime</t>
        </is>
      </c>
      <c r="L45" s="44" t="inlineStr">
        <is>
          <t>Done</t>
        </is>
      </c>
      <c r="M45" s="18" t="inlineStr">
        <is>
          <t>Merged in PR #2735: quarterly AI litigation/regulatory monitoring process, memo template, and escalation triggers added.</t>
        </is>
      </c>
    </row>
    <row r="46">
      <c r="A46" s="18" t="inlineStr">
        <is>
          <t>T215</t>
        </is>
      </c>
      <c r="B46" s="18" t="inlineStr">
        <is>
          <t>AI Liability Defense</t>
        </is>
      </c>
      <c r="C46" s="18" t="inlineStr">
        <is>
          <t>Tenant admin signs 'system role acknowledgment' at onboarding</t>
        </is>
      </c>
      <c r="D46" s="18" t="inlineStr">
        <is>
          <t>Admin confirms understanding: AbarVa = advisor, client = decision-maker. Captured during SSO setup. Separate from per-user click-wrap.</t>
        </is>
      </c>
      <c r="E46" s="31" t="inlineStr">
        <is>
          <t>P0</t>
        </is>
      </c>
      <c r="F46" s="40" t="inlineStr">
        <is>
          <t>3. CLAUDE + YOU</t>
        </is>
      </c>
      <c r="G46" s="18" t="inlineStr">
        <is>
          <t>Anand</t>
        </is>
      </c>
      <c r="H46" s="18" t="inlineStr"/>
      <c r="I46" s="47" t="inlineStr">
        <is>
          <t>Claude + you (template)</t>
        </is>
      </c>
      <c r="J46" s="52" t="inlineStr">
        <is>
          <t>$0</t>
        </is>
      </c>
      <c r="K46" s="84" t="inlineStr">
        <is>
          <t>Anytime</t>
        </is>
      </c>
      <c r="L46" s="44" t="inlineStr">
        <is>
          <t>Done</t>
        </is>
      </c>
      <c r="M46" s="18" t="inlineStr">
        <is>
          <t>PR #2834 merged 2026-06-02 at merge commit 0e4cfc681e76: Tenant admin/system-owner acknowledgment implemented for onboarding. Adds /admin/system-role-acknowledgment, guarded POST API, immutable per-client/per-admin system role ledger migration, and copy confirming data loading/approval is limited to one client workspace only with no cross-tenant loading. CI green after branch update: migration replay, typecheck + reasoning tests, ESLint, release control, axe, Lighthouse, browser matrix, bundle budget, hygiene, production readiness, gitleaks, Wave 0, and Vercel abarva/nexus statuses passed. Remote branch codex/ai-admin-system-role deleted after merge.</t>
        </is>
      </c>
    </row>
    <row r="47">
      <c r="A47" s="18" t="inlineStr">
        <is>
          <t>T219</t>
        </is>
      </c>
      <c r="B47" s="18" t="inlineStr">
        <is>
          <t>AI Liability Defense</t>
        </is>
      </c>
      <c r="C47" s="18" t="inlineStr">
        <is>
          <t>SOW boilerplate: AI-specific advisory clauses (warranty disclaimer, advisor-not-decider, validation duty, hallucination disclosure)</t>
        </is>
      </c>
      <c r="D47" s="18" t="inlineStr">
        <is>
          <t>Standard block in every SOW. Drafted by Claude, lawyer-reviewed. Reusable.</t>
        </is>
      </c>
      <c r="E47" s="31" t="inlineStr">
        <is>
          <t>P0</t>
        </is>
      </c>
      <c r="F47" s="41" t="inlineStr">
        <is>
          <t>4. CLAUDE + PRO</t>
        </is>
      </c>
      <c r="G47" s="18" t="inlineStr">
        <is>
          <t>Anand</t>
        </is>
      </c>
      <c r="H47" s="18" t="inlineStr">
        <is>
          <t>T006</t>
        </is>
      </c>
      <c r="I47" s="50" t="inlineStr">
        <is>
          <t>Claude + lawyer</t>
        </is>
      </c>
      <c r="J47" s="51" t="inlineStr">
        <is>
          <t>$1-2k (lawyer review)</t>
        </is>
      </c>
      <c r="K47" s="84" t="inlineStr">
        <is>
          <t>Anytime</t>
        </is>
      </c>
      <c r="L47" s="44" t="inlineStr">
        <is>
          <t>In progress</t>
        </is>
      </c>
      <c r="M47" s="18" t="inlineStr">
        <is>
          <t>Merged in PR #2736: counsel-review AI SOW clause playbook drafts advisor-not-decider, validation duty, hallucination disclosure, and high-risk-use themes. Lawyer review still required. 2026-06-04: PR #3006 opened for AI Liability live-evidence matrix/verifier/release record. It separates remaining open rows into live product E2E proof, durable evidence/export proof, source-binding proof, and counsel/insurance proof, making explicit which work Codex can advance versus what requires Anand/counsel/broker/carrier/client-side evidence. Keep In progress until row-specific proof exists. 2026-06-04: PR #3006 merged to main at cc52e53f with the AI Liability live-evidence matrix, verifier, and release record. Keep In progress until row-specific live UI, legal, policy, insurance, counsel, or approval evidence is captured and attached.</t>
        </is>
      </c>
    </row>
    <row r="48">
      <c r="A48" s="18" t="inlineStr">
        <is>
          <t>T220</t>
        </is>
      </c>
      <c r="B48" s="18" t="inlineStr">
        <is>
          <t>AI Liability Defense</t>
        </is>
      </c>
      <c r="C48" s="18" t="inlineStr">
        <is>
          <t>SOW: client indemnifies AbarVa for claims arising from client's reliance on outputs</t>
        </is>
      </c>
      <c r="D48" s="18" t="inlineStr">
        <is>
          <t>Specific clause separate from general indemnity. Client takes responsibility for their decisions.</t>
        </is>
      </c>
      <c r="E48" s="31" t="inlineStr">
        <is>
          <t>P0</t>
        </is>
      </c>
      <c r="F48" s="41" t="inlineStr">
        <is>
          <t>4. CLAUDE + PRO</t>
        </is>
      </c>
      <c r="G48" s="18" t="inlineStr">
        <is>
          <t>Anand</t>
        </is>
      </c>
      <c r="H48" s="18" t="inlineStr">
        <is>
          <t>T006</t>
        </is>
      </c>
      <c r="I48" s="50" t="inlineStr">
        <is>
          <t>Claude + lawyer</t>
        </is>
      </c>
      <c r="J48" s="52" t="inlineStr">
        <is>
          <t>$0 (within lawyer review above)</t>
        </is>
      </c>
      <c r="K48" s="84" t="inlineStr">
        <is>
          <t>Anytime</t>
        </is>
      </c>
      <c r="L48" s="44" t="inlineStr">
        <is>
          <t>In progress</t>
        </is>
      </c>
      <c r="M48" s="18" t="inlineStr">
        <is>
          <t>Merged in PR #2736: playbook includes client reliance indemnity review points for counsel; not final approved contract language. 2026-06-04: PR #3006 opened for AI Liability live-evidence matrix/verifier/release record. It separates remaining open rows into live product E2E proof, durable evidence/export proof, source-binding proof, and counsel/insurance proof, making explicit which work Codex can advance versus what requires Anand/counsel/broker/carrier/client-side evidence. Keep In progress until row-specific proof exists. 2026-06-04: PR #3006 merged to main at cc52e53f with the AI Liability live-evidence matrix, verifier, and release record. Keep In progress until row-specific live UI, legal, policy, insurance, counsel, or approval evidence is captured and attached.</t>
        </is>
      </c>
    </row>
    <row r="49">
      <c r="A49" s="18" t="inlineStr">
        <is>
          <t>T221</t>
        </is>
      </c>
      <c r="B49" s="18" t="inlineStr">
        <is>
          <t>AI Liability Defense</t>
        </is>
      </c>
      <c r="C49" s="18" t="inlineStr">
        <is>
          <t>SOW: liability cap carve-out for AI-output reliance claims</t>
        </is>
      </c>
      <c r="D49" s="18" t="inlineStr">
        <is>
          <t>Caps your exposure to AI-specific risk separately. Should not count against general 12-month liability cap.</t>
        </is>
      </c>
      <c r="E49" s="31" t="inlineStr">
        <is>
          <t>P0</t>
        </is>
      </c>
      <c r="F49" s="41" t="inlineStr">
        <is>
          <t>4. CLAUDE + PRO</t>
        </is>
      </c>
      <c r="G49" s="18" t="inlineStr">
        <is>
          <t>Anand</t>
        </is>
      </c>
      <c r="H49" s="18" t="inlineStr">
        <is>
          <t>T006</t>
        </is>
      </c>
      <c r="I49" s="50" t="inlineStr">
        <is>
          <t>Claude + lawyer</t>
        </is>
      </c>
      <c r="J49" s="52" t="inlineStr">
        <is>
          <t>$0</t>
        </is>
      </c>
      <c r="K49" s="84" t="inlineStr">
        <is>
          <t>Anytime</t>
        </is>
      </c>
      <c r="L49" s="44" t="inlineStr">
        <is>
          <t>In progress</t>
        </is>
      </c>
      <c r="M49" s="18" t="inlineStr">
        <is>
          <t>Merged in PR #2736: playbook includes AI-output liability cap treatment questions for counsel; not final approved contract language. 2026-06-04: PR #3006 opened for AI Liability live-evidence matrix/verifier/release record. It separates remaining open rows into live product E2E proof, durable evidence/export proof, source-binding proof, and counsel/insurance proof, making explicit which work Codex can advance versus what requires Anand/counsel/broker/carrier/client-side evidence. Keep In progress until row-specific proof exists. 2026-06-04: PR #3006 merged to main at cc52e53f with the AI Liability live-evidence matrix, verifier, and release record. Keep In progress until row-specific live UI, legal, policy, insurance, counsel, or approval evidence is captured and attached.</t>
        </is>
      </c>
    </row>
    <row r="50">
      <c r="A50" s="18" t="inlineStr">
        <is>
          <t>T222</t>
        </is>
      </c>
      <c r="B50" s="18" t="inlineStr">
        <is>
          <t>AI Liability Defense</t>
        </is>
      </c>
      <c r="C50" s="18" t="inlineStr">
        <is>
          <t>SOW: client warrants users will complete training before access</t>
        </is>
      </c>
      <c r="D50" s="18" t="inlineStr">
        <is>
          <t>Forces client to enforce the training requirement on their side. Shifts breach to them if they grant access without training.</t>
        </is>
      </c>
      <c r="E50" s="31" t="inlineStr">
        <is>
          <t>P0</t>
        </is>
      </c>
      <c r="F50" s="41" t="inlineStr">
        <is>
          <t>4. CLAUDE + PRO</t>
        </is>
      </c>
      <c r="G50" s="18" t="inlineStr">
        <is>
          <t>Anand</t>
        </is>
      </c>
      <c r="H50" s="18" t="inlineStr">
        <is>
          <t>T006</t>
        </is>
      </c>
      <c r="I50" s="50" t="inlineStr">
        <is>
          <t>Claude + lawyer</t>
        </is>
      </c>
      <c r="J50" s="52" t="inlineStr">
        <is>
          <t>$0</t>
        </is>
      </c>
      <c r="K50" s="84" t="inlineStr">
        <is>
          <t>Anytime</t>
        </is>
      </c>
      <c r="L50" s="44" t="inlineStr">
        <is>
          <t>In progress</t>
        </is>
      </c>
      <c r="M50" s="18" t="inlineStr">
        <is>
          <t>Merged in PR #2736: playbook includes responsible-AI training warranty concept for counsel; not final approved contract language. 2026-06-04: PR #3006 opened for AI Liability live-evidence matrix/verifier/release record. It separates remaining open rows into live product E2E proof, durable evidence/export proof, source-binding proof, and counsel/insurance proof, making explicit which work Codex can advance versus what requires Anand/counsel/broker/carrier/client-side evidence. Keep In progress until row-specific proof exists. 2026-06-04: PR #3006 merged to main at cc52e53f with the AI Liability live-evidence matrix, verifier, and release record. Keep In progress until row-specific live UI, legal, policy, insurance, counsel, or approval evidence is captured and attached.</t>
        </is>
      </c>
    </row>
    <row r="51">
      <c r="A51" s="18" t="inlineStr">
        <is>
          <t>T227</t>
        </is>
      </c>
      <c r="B51" s="18" t="inlineStr">
        <is>
          <t>AI Liability Defense</t>
        </is>
      </c>
      <c r="C51" s="18" t="inlineStr">
        <is>
          <t>Confirm E&amp;O policy explicitly covers AI/ML technology claims</t>
        </is>
      </c>
      <c r="D51" s="18" t="inlineStr">
        <is>
          <t>Some older policies exclude. Get carrier letter confirming coverage. May require rider/endorsement.</t>
        </is>
      </c>
      <c r="E51" s="31" t="inlineStr">
        <is>
          <t>P0</t>
        </is>
      </c>
      <c r="F51" s="42" t="inlineStr">
        <is>
          <t>5. EXTERNAL</t>
        </is>
      </c>
      <c r="G51" s="18" t="inlineStr">
        <is>
          <t>Anand</t>
        </is>
      </c>
      <c r="H51" s="18" t="inlineStr">
        <is>
          <t>T007</t>
        </is>
      </c>
      <c r="I51" s="48" t="inlineStr">
        <is>
          <t>3rd party: broker</t>
        </is>
      </c>
      <c r="J51" s="52" t="inlineStr">
        <is>
          <t>$0 (within E&amp;O premium) or rider $500-2k</t>
        </is>
      </c>
      <c r="K51" s="84" t="inlineStr">
        <is>
          <t>Anytime</t>
        </is>
      </c>
      <c r="L51" s="44" t="inlineStr">
        <is>
          <t>In progress</t>
        </is>
      </c>
      <c r="M51" s="18" t="inlineStr">
        <is>
          <t>2026-06-04: In progress. E&amp;O AI-coverage confirmation checklist created at /Users/anand/Downloads/abarva-insurance-readiness/AI_LIABILITY_INSURANCE_MARKET_SCAN_2026-06-04.xlsx. Not Done until actual quote/policy/broker response explicitly confirms whether AI/ML technology claims, AI-output reliance, hallucination/misinformation, bias, IP, privacy/security, and contractual liability are covered, excluded, sublimited, or endorsement-dependent. 2026-06-04: PR #3006 opened for AI Liability live-evidence matrix/verifier/release record. It separates remaining open rows into live product E2E proof, durable evidence/export proof, source-binding proof, and counsel/insurance proof, making explicit which work Codex can advance versus what requires Anand/counsel/broker/carrier/client-side evidence. Keep In progress until row-specific proof exists. 2026-06-04: PR #3006 merged to main at cc52e53f with the AI Liability live-evidence matrix, verifier, and release record. Keep In progress until row-specific live UI, legal, policy, insurance, counsel, or approval evidence is captured and attached.</t>
        </is>
      </c>
    </row>
    <row r="52">
      <c r="A52" s="18" t="inlineStr">
        <is>
          <t>T251</t>
        </is>
      </c>
      <c r="B52" s="18" t="inlineStr">
        <is>
          <t>AI Liability Defense</t>
        </is>
      </c>
      <c r="C52" s="18" t="inlineStr">
        <is>
          <t>Retrofit completion checkpoint: every cataloged action gated, every cataloged AI element labeled</t>
        </is>
      </c>
      <c r="D52" s="18" t="inlineStr">
        <is>
          <t>Rollup task. Plan reviewable: % retrofit complete per module. Pilot launches only when 100% across all 5 surfaces.</t>
        </is>
      </c>
      <c r="E52" s="31" t="inlineStr">
        <is>
          <t>P0</t>
        </is>
      </c>
      <c r="F52" s="42" t="inlineStr">
        <is>
          <t>5. EXTERNAL</t>
        </is>
      </c>
      <c r="G52" s="18" t="inlineStr">
        <is>
          <t>Anand</t>
        </is>
      </c>
      <c r="H52" s="18" t="inlineStr"/>
      <c r="I52" s="48" t="inlineStr">
        <is>
          <t>You only (review)</t>
        </is>
      </c>
      <c r="J52" s="52" t="inlineStr">
        <is>
          <t>$0</t>
        </is>
      </c>
      <c r="K52" s="84" t="inlineStr">
        <is>
          <t>Anytime</t>
        </is>
      </c>
      <c r="L52" s="44" t="inlineStr">
        <is>
          <t>In progress</t>
        </is>
      </c>
      <c r="M52" s="18" t="inlineStr">
        <is>
          <t>2026-06-03: PR #2907 merged at 989538cc953addab02bdbc69577f682ba52d5d4b with checkpoint/verifier showing strict completion 11/20 (55%) and weighted signal 15.5/20 (77.5%). Remains In progress until T231-T250 are all Done with implementation or accepted external evidence. 2026-06-04: PR #3006 opened for AI Liability live-evidence matrix/verifier/release record. It separates remaining open rows into live product E2E proof, durable evidence/export proof, source-binding proof, and counsel/insurance proof, making explicit which work Codex can advance versus what requires Anand/counsel/broker/carrier/client-side evidence. Keep In progress until row-specific proof exists. 2026-06-04: PR #3006 merged to main at cc52e53f with the AI Liability live-evidence matrix, verifier, and release record. Keep In progress until row-specific live UI, legal, policy, insurance, counsel, or approval evidence is captured and attached.</t>
        </is>
      </c>
    </row>
    <row r="53">
      <c r="A53" s="18" t="inlineStr">
        <is>
          <t>T228</t>
        </is>
      </c>
      <c r="B53" s="18" t="inlineStr">
        <is>
          <t>AI Liability Defense</t>
        </is>
      </c>
      <c r="C53" s="18" t="inlineStr">
        <is>
          <t>Investigate dedicated AI Liability insurance (emerging product)</t>
        </is>
      </c>
      <c r="D53" s="18" t="inlineStr">
        <is>
          <t>Munich Re, Vouch, others offer AI-specific E&amp;O. Get a quote — may not buy now, but know the market for renewal/Series A.</t>
        </is>
      </c>
      <c r="E53" s="32" t="inlineStr">
        <is>
          <t>P1</t>
        </is>
      </c>
      <c r="F53" s="42" t="inlineStr">
        <is>
          <t>5. EXTERNAL</t>
        </is>
      </c>
      <c r="G53" s="18" t="inlineStr">
        <is>
          <t>Anand</t>
        </is>
      </c>
      <c r="H53" s="18" t="inlineStr"/>
      <c r="I53" s="48" t="inlineStr">
        <is>
          <t>3rd party: broker</t>
        </is>
      </c>
      <c r="J53" s="52" t="inlineStr">
        <is>
          <t>$0 (quote)</t>
        </is>
      </c>
      <c r="K53" s="82" t="inlineStr">
        <is>
          <t>Pre-Resign</t>
        </is>
      </c>
      <c r="L53" s="44" t="inlineStr">
        <is>
          <t>Done</t>
        </is>
      </c>
      <c r="M53" s="18" t="inlineStr">
        <is>
          <t>2026-06-04: Done. Dedicated AI liability insurance investigation completed with market scan, E&amp;O AI coverage checklist, and broker path at /Users/anand/Downloads/abarva-insurance-readiness/AI_LIABILITY_INSURANCE_MARKET_SCAN_2026-06-04.xlsx. Source/evidence index saved at /Users/anand/Downloads/abarva-insurance-readiness/AI_INSURANCE_READINESS_INDEX_2026-06-04.md. Finding: near-term path is Tech E&amp;O + cyber with explicit AI coverage review/endorsements; specialty AI/performance coverage may be available but requires broker/carrier underwriting.</t>
        </is>
      </c>
    </row>
    <row r="54">
      <c r="A54" s="18" t="inlineStr">
        <is>
          <t>T168</t>
        </is>
      </c>
      <c r="B54" s="18" t="inlineStr">
        <is>
          <t>Adversarial Test</t>
        </is>
      </c>
      <c r="C54" s="18" t="inlineStr">
        <is>
          <t>Build agent-driven test harness using Claude Agent SDK</t>
        </is>
      </c>
      <c r="D54" s="18" t="inlineStr">
        <is>
          <t>Persona agents (CIO/CDO/CDIO/CDAO/SME) read UI snapshots, make decisions, execute workflows. Tests INTENT and SEMANTICS, not just bytes.</t>
        </is>
      </c>
      <c r="E54" s="31" t="inlineStr">
        <is>
          <t>P0</t>
        </is>
      </c>
      <c r="F54" s="39" t="inlineStr">
        <is>
          <t>2. CLAUDE DOES IT</t>
        </is>
      </c>
      <c r="G54" s="18" t="inlineStr">
        <is>
          <t>Anand</t>
        </is>
      </c>
      <c r="H54" s="18" t="inlineStr"/>
      <c r="I54" s="45" t="inlineStr">
        <is>
          <t>Claude (code)</t>
        </is>
      </c>
      <c r="J54" s="52" t="inlineStr">
        <is>
          <t>$0</t>
        </is>
      </c>
      <c r="K54" s="84" t="inlineStr">
        <is>
          <t>Anytime</t>
        </is>
      </c>
      <c r="L54" s="44" t="inlineStr">
        <is>
          <t>In progress</t>
        </is>
      </c>
      <c r="M54" s="18" t="inlineStr">
        <is>
          <t>In progress - deterministic adversarial quality dashboard + corpus/runbook PR prepared; Claude Agent SDK live harness still open.</t>
        </is>
      </c>
    </row>
    <row r="55">
      <c r="A55" s="18" t="inlineStr">
        <is>
          <t>T169</t>
        </is>
      </c>
      <c r="B55" s="18" t="inlineStr">
        <is>
          <t>Adversarial Test</t>
        </is>
      </c>
      <c r="C55" s="18" t="inlineStr">
        <is>
          <t>10 persona-agent army hammering FakeClient tenant for 24h</t>
        </is>
      </c>
      <c r="D55" s="18" t="inlineStr">
        <is>
          <t>Realistic concurrent usage patterns vs k6 byte-pushing. Catches UX dead ends, broken workflows, semantic bugs.</t>
        </is>
      </c>
      <c r="E55" s="31" t="inlineStr">
        <is>
          <t>P0</t>
        </is>
      </c>
      <c r="F55" s="39" t="inlineStr">
        <is>
          <t>2. CLAUDE DOES IT</t>
        </is>
      </c>
      <c r="G55" s="18" t="inlineStr">
        <is>
          <t>Anand</t>
        </is>
      </c>
      <c r="H55" s="18" t="inlineStr">
        <is>
          <t>T142</t>
        </is>
      </c>
      <c r="I55" s="45" t="inlineStr">
        <is>
          <t>Claude (code)</t>
        </is>
      </c>
      <c r="J55" s="52" t="inlineStr">
        <is>
          <t>$0 (consumes credits)</t>
        </is>
      </c>
      <c r="K55" s="84" t="inlineStr">
        <is>
          <t>Anytime</t>
        </is>
      </c>
      <c r="L55" s="44" t="inlineStr">
        <is>
          <t>In progress</t>
        </is>
      </c>
      <c r="M55" s="18" t="inlineStr">
        <is>
          <t>PR #2957 merged 2026-06-03 at 386fd90b0f3c2356a50fec80217f2352409c873d: deterministic persona-army harness defines 10 persona jobs across Atlas/Nexus/Steward, 3 tenants, 5 risk classes, and a 24-hour/240-run schedule anchored to existing golden fixtures. Local QA and GitHub CI passed. Keep In progress until the live 24-hour run executes with real auth, navigation, agent responses, trace capture, quality grading, and defect triage.</t>
        </is>
      </c>
    </row>
    <row r="56">
      <c r="A56" s="18" t="inlineStr">
        <is>
          <t>T170</t>
        </is>
      </c>
      <c r="B56" s="18" t="inlineStr">
        <is>
          <t>Adversarial Test</t>
        </is>
      </c>
      <c r="C56" s="18" t="inlineStr">
        <is>
          <t>Hallucination detection: agent outputs fact-checked against ground truth corpus</t>
        </is>
      </c>
      <c r="D56" s="18" t="inlineStr">
        <is>
          <t>Each agent response auto-graded vs known-correct answers from synthetic data. Track hallucination rate as KPI.</t>
        </is>
      </c>
      <c r="E56" s="31" t="inlineStr">
        <is>
          <t>P0</t>
        </is>
      </c>
      <c r="F56" s="39" t="inlineStr">
        <is>
          <t>2. CLAUDE DOES IT</t>
        </is>
      </c>
      <c r="G56" s="18" t="inlineStr">
        <is>
          <t>Anand</t>
        </is>
      </c>
      <c r="H56" s="18" t="inlineStr"/>
      <c r="I56" s="45" t="inlineStr">
        <is>
          <t>Claude (code)</t>
        </is>
      </c>
      <c r="J56" s="52" t="inlineStr">
        <is>
          <t>$0</t>
        </is>
      </c>
      <c r="K56" s="84" t="inlineStr">
        <is>
          <t>Anytime</t>
        </is>
      </c>
      <c r="L56" s="44" t="inlineStr">
        <is>
          <t>In progress</t>
        </is>
      </c>
      <c r="M56" s="18" t="inlineStr">
        <is>
          <t>In progress - hallucination/off-domain/current-affairs traps added to golden corpus; live answer scoring still required for full closure.</t>
        </is>
      </c>
    </row>
    <row r="57">
      <c r="A57" s="18" t="inlineStr">
        <is>
          <t>T171</t>
        </is>
      </c>
      <c r="B57" s="18" t="inlineStr">
        <is>
          <t>Adversarial Test</t>
        </is>
      </c>
      <c r="C57" s="18" t="inlineStr">
        <is>
          <t>Agent-loop detection: kill any specialist routing chain &gt;N hops</t>
        </is>
      </c>
      <c r="D57" s="18" t="inlineStr">
        <is>
          <t>Defensive guardrail. Specialist routing back to specialist forever = budget destroyer. Hard cap with alert.</t>
        </is>
      </c>
      <c r="E57" s="31" t="inlineStr">
        <is>
          <t>P0</t>
        </is>
      </c>
      <c r="F57" s="39" t="inlineStr">
        <is>
          <t>2. CLAUDE DOES IT</t>
        </is>
      </c>
      <c r="G57" s="18" t="inlineStr">
        <is>
          <t>Anand</t>
        </is>
      </c>
      <c r="H57" s="18" t="inlineStr"/>
      <c r="I57" s="45" t="inlineStr">
        <is>
          <t>Claude (code)</t>
        </is>
      </c>
      <c r="J57" s="52" t="inlineStr">
        <is>
          <t>$0</t>
        </is>
      </c>
      <c r="K57" s="84" t="inlineStr">
        <is>
          <t>Anytime</t>
        </is>
      </c>
      <c r="L57" s="44" t="inlineStr">
        <is>
          <t>Done</t>
        </is>
      </c>
      <c r="M57" s="18" t="inlineStr">
        <is>
          <t>Executed in codex/adversarial-safety-wave: deterministic agent-loop guard covers max hops and repeated transitions.</t>
        </is>
      </c>
    </row>
    <row r="58">
      <c r="A58" s="18" t="inlineStr">
        <is>
          <t>T172</t>
        </is>
      </c>
      <c r="B58" s="18" t="inlineStr">
        <is>
          <t>Adversarial Test</t>
        </is>
      </c>
      <c r="C58" s="18" t="inlineStr">
        <is>
          <t>Prompt injection resilience test (OWASP LLM Top 10)</t>
        </is>
      </c>
      <c r="D58" s="18" t="inlineStr">
        <is>
          <t>Adversarial inputs in user uploads + chat: jailbreak attempts, instruction override, data exfil. Document defenses.</t>
        </is>
      </c>
      <c r="E58" s="31" t="inlineStr">
        <is>
          <t>P0</t>
        </is>
      </c>
      <c r="F58" s="39" t="inlineStr">
        <is>
          <t>2. CLAUDE DOES IT</t>
        </is>
      </c>
      <c r="G58" s="18" t="inlineStr">
        <is>
          <t>Anand</t>
        </is>
      </c>
      <c r="H58" s="18" t="inlineStr"/>
      <c r="I58" s="45" t="inlineStr">
        <is>
          <t>Claude (test suite)</t>
        </is>
      </c>
      <c r="J58" s="52" t="inlineStr">
        <is>
          <t>$0</t>
        </is>
      </c>
      <c r="K58" s="84" t="inlineStr">
        <is>
          <t>Anytime</t>
        </is>
      </c>
      <c r="L58" s="44" t="inlineStr">
        <is>
          <t>Done</t>
        </is>
      </c>
      <c r="M58" s="18" t="inlineStr">
        <is>
          <t>Executed in codex/adversarial-safety-wave: prompt-injection detection plus response-leak resilience checks added.</t>
        </is>
      </c>
    </row>
    <row r="59">
      <c r="A59" s="18" t="inlineStr">
        <is>
          <t>T173</t>
        </is>
      </c>
      <c r="B59" s="18" t="inlineStr">
        <is>
          <t>Adversarial Test</t>
        </is>
      </c>
      <c r="C59" s="18" t="inlineStr">
        <is>
          <t>Cost-attack simulation: adversarial user maximizing token spend in 1h</t>
        </is>
      </c>
      <c r="D59" s="18" t="inlineStr">
        <is>
          <t>Validates token cap + rate limiting + alert path. Critical for COGS protection.</t>
        </is>
      </c>
      <c r="E59" s="31" t="inlineStr">
        <is>
          <t>P0</t>
        </is>
      </c>
      <c r="F59" s="39" t="inlineStr">
        <is>
          <t>2. CLAUDE DOES IT</t>
        </is>
      </c>
      <c r="G59" s="18" t="inlineStr">
        <is>
          <t>Anand</t>
        </is>
      </c>
      <c r="H59" s="18" t="inlineStr"/>
      <c r="I59" s="45" t="inlineStr">
        <is>
          <t>Claude (code)</t>
        </is>
      </c>
      <c r="J59" s="52" t="inlineStr">
        <is>
          <t>$0 (consumes credits)</t>
        </is>
      </c>
      <c r="K59" s="84" t="inlineStr">
        <is>
          <t>Anytime</t>
        </is>
      </c>
      <c r="L59" s="44" t="inlineStr">
        <is>
          <t>Done</t>
        </is>
      </c>
      <c r="M59" s="18" t="inlineStr">
        <is>
          <t>Executed in codex/adversarial-safety-wave: cost-attack guard covers prompt size, request rate, and file-rate storms.</t>
        </is>
      </c>
    </row>
    <row r="60">
      <c r="A60" s="18" t="inlineStr">
        <is>
          <t>T174</t>
        </is>
      </c>
      <c r="B60" s="18" t="inlineStr">
        <is>
          <t>Adversarial Test</t>
        </is>
      </c>
      <c r="C60" s="18" t="inlineStr">
        <is>
          <t>Chaos engineering: inject failures (network drop, DB slow, LLM 429s)</t>
        </is>
      </c>
      <c r="D60" s="18" t="inlineStr">
        <is>
          <t>Use Toxiproxy or Azure Chaos Studio. Observe recovery + alerting. Document MTTR.</t>
        </is>
      </c>
      <c r="E60" s="31" t="inlineStr">
        <is>
          <t>P0</t>
        </is>
      </c>
      <c r="F60" s="39" t="inlineStr">
        <is>
          <t>2. CLAUDE DOES IT</t>
        </is>
      </c>
      <c r="G60" s="18" t="inlineStr">
        <is>
          <t>Anand</t>
        </is>
      </c>
      <c r="H60" s="18" t="inlineStr"/>
      <c r="I60" s="45" t="inlineStr">
        <is>
          <t>Claude (code)</t>
        </is>
      </c>
      <c r="J60" s="52" t="inlineStr">
        <is>
          <t>$0 (Toxiproxy free)</t>
        </is>
      </c>
      <c r="K60" s="84" t="inlineStr">
        <is>
          <t>Anytime</t>
        </is>
      </c>
      <c r="L60" s="44" t="inlineStr">
        <is>
          <t>In progress</t>
        </is>
      </c>
      <c r="M60" s="18" t="inlineStr">
        <is>
          <t>In progress - dashboard now verifies provider-overload and Postgres-disruption smoke readiness; actual Azure chaos execution still required.</t>
        </is>
      </c>
    </row>
    <row r="61">
      <c r="A61" s="18" t="inlineStr">
        <is>
          <t>T175</t>
        </is>
      </c>
      <c r="B61" s="18" t="inlineStr">
        <is>
          <t>Adversarial Test</t>
        </is>
      </c>
      <c r="C61" s="18" t="inlineStr">
        <is>
          <t>Cross-tenant isolation stress: agent in tenant A attempts to read tenant B data</t>
        </is>
      </c>
      <c r="D61" s="18" t="inlineStr">
        <is>
          <t>Validates broker boundary + per-user RLS under load. Should always be denied; log every attempt.</t>
        </is>
      </c>
      <c r="E61" s="31" t="inlineStr">
        <is>
          <t>P0</t>
        </is>
      </c>
      <c r="F61" s="39" t="inlineStr">
        <is>
          <t>2. CLAUDE DOES IT</t>
        </is>
      </c>
      <c r="G61" s="18" t="inlineStr">
        <is>
          <t>Anand</t>
        </is>
      </c>
      <c r="H61" s="18" t="inlineStr"/>
      <c r="I61" s="45" t="inlineStr">
        <is>
          <t>Claude (code)</t>
        </is>
      </c>
      <c r="J61" s="52" t="inlineStr">
        <is>
          <t>$0</t>
        </is>
      </c>
      <c r="K61" s="84" t="inlineStr">
        <is>
          <t>Anytime</t>
        </is>
      </c>
      <c r="L61" s="44" t="inlineStr">
        <is>
          <t>Done</t>
        </is>
      </c>
      <c r="M61" s="18" t="inlineStr">
        <is>
          <t>Executed in codex/adversarial-safety-wave: cross-tenant target probe guard added.</t>
        </is>
      </c>
    </row>
    <row r="62">
      <c r="A62" s="18" t="inlineStr">
        <is>
          <t>T177</t>
        </is>
      </c>
      <c r="B62" s="18" t="inlineStr">
        <is>
          <t>Adversarial Test</t>
        </is>
      </c>
      <c r="C62" s="18" t="inlineStr">
        <is>
          <t>Security stress: simulate attacker patterns (SQLi, IDOR, SSRF, auth bypass)</t>
        </is>
      </c>
      <c r="D62" s="18" t="inlineStr">
        <is>
          <t>Automated security regression suite. Complements pen test. Run on every release.</t>
        </is>
      </c>
      <c r="E62" s="31" t="inlineStr">
        <is>
          <t>P0</t>
        </is>
      </c>
      <c r="F62" s="39" t="inlineStr">
        <is>
          <t>2. CLAUDE DOES IT</t>
        </is>
      </c>
      <c r="G62" s="18" t="inlineStr">
        <is>
          <t>Anand</t>
        </is>
      </c>
      <c r="H62" s="18" t="inlineStr"/>
      <c r="I62" s="45" t="inlineStr">
        <is>
          <t>Claude (code) + 3rd party tools</t>
        </is>
      </c>
      <c r="J62" s="52" t="inlineStr">
        <is>
          <t>$0</t>
        </is>
      </c>
      <c r="K62" s="84" t="inlineStr">
        <is>
          <t>Anytime</t>
        </is>
      </c>
      <c r="L62" s="44" t="inlineStr">
        <is>
          <t>Done</t>
        </is>
      </c>
      <c r="M62" s="18" t="inlineStr">
        <is>
          <t>Executed in codex/adversarial-safety-wave: SQLi, SSRF, path traversal, and auth-bypass probe checks added.</t>
        </is>
      </c>
    </row>
    <row r="63">
      <c r="A63" s="18" t="inlineStr">
        <is>
          <t>T178</t>
        </is>
      </c>
      <c r="B63" s="18" t="inlineStr">
        <is>
          <t>Adversarial Test</t>
        </is>
      </c>
      <c r="C63" s="18" t="inlineStr">
        <is>
          <t>Document storm test: 100 large PDFs uploaded simultaneously by 10 users</t>
        </is>
      </c>
      <c r="D63" s="18" t="inlineStr">
        <is>
          <t>Ingestion back-pressure, embedding queue depth, blob storage limits, processing fairness across tenants.</t>
        </is>
      </c>
      <c r="E63" s="31" t="inlineStr">
        <is>
          <t>P0</t>
        </is>
      </c>
      <c r="F63" s="39" t="inlineStr">
        <is>
          <t>2. CLAUDE DOES IT</t>
        </is>
      </c>
      <c r="G63" s="18" t="inlineStr">
        <is>
          <t>Anand</t>
        </is>
      </c>
      <c r="H63" s="18" t="inlineStr"/>
      <c r="I63" s="45" t="inlineStr">
        <is>
          <t>Claude (code)</t>
        </is>
      </c>
      <c r="J63" s="52" t="inlineStr">
        <is>
          <t>$0 (credits)</t>
        </is>
      </c>
      <c r="K63" s="84" t="inlineStr">
        <is>
          <t>Anytime</t>
        </is>
      </c>
      <c r="L63" s="44" t="inlineStr">
        <is>
          <t>In progress</t>
        </is>
      </c>
      <c r="M63" s="18" t="inlineStr">
        <is>
          <t>2026-06-03: PR #2956 merged, commit 58bc34ed58d987d6f831a4e7c54a68ca6dd9fcfe. Repository-level document storm harness landed: deterministic 100 large PDFs / 10 users fixture, global parser concurrency cap, per-user fairness cap, defer behavior for excess valid uploads, and reject behavior for oversized or 1000-page uploads. Local QA passed before merge: focused Jest (5 tests), eslint, tsc --noEmit, release:check, diff check; GitHub CI green before merge. Still In progress until the same storm is run against preview/production with real auth, storage, queue metrics, parser workers, and tenant-fairness evidence.</t>
        </is>
      </c>
    </row>
    <row r="64">
      <c r="A64" s="18" t="inlineStr">
        <is>
          <t>T190</t>
        </is>
      </c>
      <c r="B64" s="18" t="inlineStr">
        <is>
          <t>Adversarial Test</t>
        </is>
      </c>
      <c r="C64" s="18" t="inlineStr">
        <is>
          <t>Parser robustness test: corrupted PDFs, encrypted PDFs, 1000-page docs, scanned-only PDFs, multi-language</t>
        </is>
      </c>
      <c r="D64" s="18" t="inlineStr">
        <is>
          <t>Edge cases that break parsers in production. Each failure mode has a defined behavior (skip + alert vs fallback vs reject).</t>
        </is>
      </c>
      <c r="E64" s="31" t="inlineStr">
        <is>
          <t>P0</t>
        </is>
      </c>
      <c r="F64" s="39" t="inlineStr">
        <is>
          <t>2. CLAUDE DOES IT</t>
        </is>
      </c>
      <c r="G64" s="18" t="inlineStr">
        <is>
          <t>Anand</t>
        </is>
      </c>
      <c r="H64" s="18" t="inlineStr"/>
      <c r="I64" s="45" t="inlineStr">
        <is>
          <t>Claude (test suite)</t>
        </is>
      </c>
      <c r="J64" s="52" t="inlineStr">
        <is>
          <t>$0</t>
        </is>
      </c>
      <c r="K64" s="84" t="inlineStr">
        <is>
          <t>Anytime</t>
        </is>
      </c>
      <c r="L64" s="44" t="inlineStr">
        <is>
          <t>In progress</t>
        </is>
      </c>
      <c r="M64" s="18" t="inlineStr">
        <is>
          <t>2026-06-03: PR #2953 merged, commit df2a9ba67b9dd28591230aa26858a822ed6c1885. Repository-level parser robustness harness landed: corrupted PDFs, encrypted PDFs, oversized/1000-page PDFs, scanned-only PDFs, multilingual PDFs, and executable-wrapped PDFs all block auto-commit and route to quarantine/manual review/private OCR/private fallback. Local QA passed before merge: focused parser Jest (14 tests), eslint, tsc --noEmit, release:check, diff check; GitHub CI green before merge. Still In progress until live/preview upload tests run representative files against configured Azure Document Intelligence/OCR/fallback parser stack and capture evidence.</t>
        </is>
      </c>
    </row>
    <row r="65">
      <c r="A65" s="18" t="inlineStr">
        <is>
          <t>T201</t>
        </is>
      </c>
      <c r="B65" s="18" t="inlineStr">
        <is>
          <t>Adversarial Test</t>
        </is>
      </c>
      <c r="C65" s="18" t="inlineStr">
        <is>
          <t>Paperclip abuse test: rapid-fire 50 uploads in 60 seconds + 1000-page upload + .exe in PDF wrapper</t>
        </is>
      </c>
      <c r="D65" s="18" t="inlineStr">
        <is>
          <t>Validates upload limits, virus scan, cost caps, queue fairness. Should not degrade other tenants.</t>
        </is>
      </c>
      <c r="E65" s="31" t="inlineStr">
        <is>
          <t>P0</t>
        </is>
      </c>
      <c r="F65" s="39" t="inlineStr">
        <is>
          <t>2. CLAUDE DOES IT</t>
        </is>
      </c>
      <c r="G65" s="18" t="inlineStr">
        <is>
          <t>Anand</t>
        </is>
      </c>
      <c r="H65" s="18" t="inlineStr"/>
      <c r="I65" s="45" t="inlineStr">
        <is>
          <t>Claude (code)</t>
        </is>
      </c>
      <c r="J65" s="52" t="inlineStr">
        <is>
          <t>$0</t>
        </is>
      </c>
      <c r="K65" s="84" t="inlineStr">
        <is>
          <t>Anytime</t>
        </is>
      </c>
      <c r="L65" s="44" t="inlineStr">
        <is>
          <t>In progress</t>
        </is>
      </c>
      <c r="M65" s="18" t="inlineStr">
        <is>
          <t>2026-06-03: PR #2955 merged, commit 755e6bfab7f0fa4283c3b3bb2660d40e5a5eb665. Repository-level paperclip abuse harness landed: rapid-fire 50 uploads/60s, file above byte cap, 1000-page PDF, executable wrapped as PDF, and normal PDF allow path. Local QA passed before merge: focused Jest (6 tests), eslint, tsc --noEmit, release:check, diff check; GitHub CI green before merge. Still In progress until live/preview tests exercise the same cases against real auth, storage, parser queue, and quarantine/audit paths.</t>
        </is>
      </c>
    </row>
    <row r="66">
      <c r="A66" s="18" t="inlineStr">
        <is>
          <t>T176</t>
        </is>
      </c>
      <c r="B66" s="18" t="inlineStr">
        <is>
          <t>Adversarial Test</t>
        </is>
      </c>
      <c r="C66" s="18" t="inlineStr">
        <is>
          <t>Long-session memory test: 24h continuous agent conversation</t>
        </is>
      </c>
      <c r="D66" s="18" t="inlineStr">
        <is>
          <t>Agent context growth, prompt cache behavior, semantic drift. Detect when agent 'loses the plot'.</t>
        </is>
      </c>
      <c r="E66" s="32" t="inlineStr">
        <is>
          <t>P1</t>
        </is>
      </c>
      <c r="F66" s="39" t="inlineStr">
        <is>
          <t>2. CLAUDE DOES IT</t>
        </is>
      </c>
      <c r="G66" s="18" t="inlineStr">
        <is>
          <t>Anand</t>
        </is>
      </c>
      <c r="H66" s="18" t="inlineStr"/>
      <c r="I66" s="45" t="inlineStr">
        <is>
          <t>Claude (code)</t>
        </is>
      </c>
      <c r="J66" s="52" t="inlineStr">
        <is>
          <t>$0 (credits)</t>
        </is>
      </c>
      <c r="K66" s="84" t="inlineStr">
        <is>
          <t>Anytime</t>
        </is>
      </c>
      <c r="L66" s="44" t="inlineStr">
        <is>
          <t>In progress</t>
        </is>
      </c>
      <c r="M66" s="18" t="inlineStr">
        <is>
          <t>In progress - adversarial stretch register created for 24h memory continuity test with cost caps, stop conditions, evidence capture, and triage gates. Done requires actual 24h run or controlled abort evidence. Evidence: /Users/anand/Downloads/abarva-adversarial-stretch-readiness/ADVERSARIAL_STRETCH_ACTION_REGISTER_2026-06-04.xlsx; index: /Users/anand/Downloads/abarva-adversarial-stretch-readiness/ADVERSARIAL_STRETCH_READINESS_INDEX_2026-06-04.md.</t>
        </is>
      </c>
    </row>
    <row r="67">
      <c r="A67" s="18" t="inlineStr">
        <is>
          <t>T179</t>
        </is>
      </c>
      <c r="B67" s="18" t="inlineStr">
        <is>
          <t>Adversarial Test</t>
        </is>
      </c>
      <c r="C67" s="18" t="inlineStr">
        <is>
          <t>100x agent army (chaos load) — stretch test capacity ceiling</t>
        </is>
      </c>
      <c r="D67" s="18" t="inlineStr">
        <is>
          <t>Push past 50-user target until something breaks. Document the cliff. Inform capacity planning.</t>
        </is>
      </c>
      <c r="E67" s="32" t="inlineStr">
        <is>
          <t>P1</t>
        </is>
      </c>
      <c r="F67" s="39" t="inlineStr">
        <is>
          <t>2. CLAUDE DOES IT</t>
        </is>
      </c>
      <c r="G67" s="18" t="inlineStr">
        <is>
          <t>Anand</t>
        </is>
      </c>
      <c r="H67" s="18" t="inlineStr"/>
      <c r="I67" s="45" t="inlineStr">
        <is>
          <t>Claude (code)</t>
        </is>
      </c>
      <c r="J67" s="52" t="inlineStr">
        <is>
          <t>$0 (consumes significant credits)</t>
        </is>
      </c>
      <c r="K67" s="84" t="inlineStr">
        <is>
          <t>Anytime</t>
        </is>
      </c>
      <c r="L67" s="44" t="inlineStr">
        <is>
          <t>In progress</t>
        </is>
      </c>
      <c r="M67" s="18" t="inlineStr">
        <is>
          <t>In progress - adversarial stretch register created for 100-agent chaos-load ceiling test with cost caps, provider/rate controls, isolation checks, and capacity evidence gates. Done requires actual 100-agent run or controlled abort evidence. Evidence: /Users/anand/Downloads/abarva-adversarial-stretch-readiness/ADVERSARIAL_STRETCH_ACTION_REGISTER_2026-06-04.xlsx; index: /Users/anand/Downloads/abarva-adversarial-stretch-readiness/ADVERSARIAL_STRETCH_READINESS_INDEX_2026-06-04.md.</t>
        </is>
      </c>
    </row>
    <row r="68">
      <c r="A68" s="18" t="inlineStr">
        <is>
          <t>T180</t>
        </is>
      </c>
      <c r="B68" s="18" t="inlineStr">
        <is>
          <t>Adversarial Test</t>
        </is>
      </c>
      <c r="C68" s="18" t="inlineStr">
        <is>
          <t>Browser matrix smoke test (Chrome/Safari/Firefox/mobile)</t>
        </is>
      </c>
      <c r="D68" s="18" t="inlineStr">
        <is>
          <t>Playwright cross-browser run on every release. Catches browser-specific regressions.</t>
        </is>
      </c>
      <c r="E68" s="32" t="inlineStr">
        <is>
          <t>P1</t>
        </is>
      </c>
      <c r="F68" s="39" t="inlineStr">
        <is>
          <t>2. CLAUDE DOES IT</t>
        </is>
      </c>
      <c r="G68" s="18" t="inlineStr">
        <is>
          <t>Anand</t>
        </is>
      </c>
      <c r="H68" s="18" t="inlineStr"/>
      <c r="I68" s="45" t="inlineStr">
        <is>
          <t>Claude (workflow)</t>
        </is>
      </c>
      <c r="J68" s="52" t="inlineStr">
        <is>
          <t>$0</t>
        </is>
      </c>
      <c r="K68" s="84" t="inlineStr">
        <is>
          <t>Anytime</t>
        </is>
      </c>
      <c r="L68" s="44" t="inlineStr">
        <is>
          <t>Done</t>
        </is>
      </c>
      <c r="M68" s="18" t="inlineStr">
        <is>
          <t>PR #2805 merged on 2026-06-02: added Browser Matrix Smoke workflow, Playwright config, public bootstrap smoke suite, package scripts, runbook, and release record. Local validation passed: npm run build, npm run browser:matrix:list, npm run browser:matrix (35/35 across desktop Chrome, desktop Firefox, WebKit/Safari, mobile Chrome, mobile Safari), git diff --check, release:check, and secrets:staged. GitHub CI passed, including the new Chrome Firefox Safari mobile smoke job.</t>
        </is>
      </c>
    </row>
    <row r="69">
      <c r="A69" s="18" t="inlineStr">
        <is>
          <t>T182</t>
        </is>
      </c>
      <c r="B69" s="18" t="inlineStr">
        <is>
          <t>Adversarial Test</t>
        </is>
      </c>
      <c r="C69" s="18" t="inlineStr">
        <is>
          <t>Capture all adversarial test results in continuous quality dashboard</t>
        </is>
      </c>
      <c r="D69" s="18" t="inlineStr">
        <is>
          <t>Hallucination rate, agent-loop count, cost-attack defense, prompt-injection block rate. Trend over releases.</t>
        </is>
      </c>
      <c r="E69" s="32" t="inlineStr">
        <is>
          <t>P1</t>
        </is>
      </c>
      <c r="F69" s="39" t="inlineStr">
        <is>
          <t>2. CLAUDE DOES IT</t>
        </is>
      </c>
      <c r="G69" s="18" t="inlineStr">
        <is>
          <t>Anand</t>
        </is>
      </c>
      <c r="H69" s="18" t="inlineStr"/>
      <c r="I69" s="45" t="inlineStr">
        <is>
          <t>Claude (code+docs)</t>
        </is>
      </c>
      <c r="J69" s="52" t="inlineStr">
        <is>
          <t>$0</t>
        </is>
      </c>
      <c r="K69" s="84" t="inlineStr">
        <is>
          <t>Anytime</t>
        </is>
      </c>
      <c r="L69" s="44" t="inlineStr">
        <is>
          <t>In progress</t>
        </is>
      </c>
      <c r="M69" s="18" t="inlineStr">
        <is>
          <t>In progress - docs/build/ADVERSARIAL_QUALITY_DASHBOARD_2026-06-03.md generated from corpus metrics; continuous/live result ingestion still open.</t>
        </is>
      </c>
    </row>
    <row r="70">
      <c r="A70" s="18" t="inlineStr">
        <is>
          <t>T181</t>
        </is>
      </c>
      <c r="B70" s="18" t="inlineStr">
        <is>
          <t>Adversarial Test</t>
        </is>
      </c>
      <c r="C70" s="18" t="inlineStr">
        <is>
          <t>Accessibility stress: screen reader + keyboard-only navigation through full workflows</t>
        </is>
      </c>
      <c r="D70" s="18" t="inlineStr">
        <is>
          <t>Beyond axe-core static check — actually navigate as a screen-reader user would. WCAG 2.1 AA compliance for F500.</t>
        </is>
      </c>
      <c r="E70" s="32" t="inlineStr">
        <is>
          <t>P1</t>
        </is>
      </c>
      <c r="F70" s="40" t="inlineStr">
        <is>
          <t>3. CLAUDE + YOU</t>
        </is>
      </c>
      <c r="G70" s="18" t="inlineStr">
        <is>
          <t>Anand</t>
        </is>
      </c>
      <c r="H70" s="18" t="inlineStr"/>
      <c r="I70" s="47" t="inlineStr">
        <is>
          <t>Claude + you (manual+auto)</t>
        </is>
      </c>
      <c r="J70" s="52" t="inlineStr">
        <is>
          <t>$0</t>
        </is>
      </c>
      <c r="K70" s="84" t="inlineStr">
        <is>
          <t>Anytime</t>
        </is>
      </c>
      <c r="L70" s="44" t="inlineStr">
        <is>
          <t>In progress</t>
        </is>
      </c>
      <c r="M70" s="18" t="inlineStr">
        <is>
          <t>2026-06-03: PR #2954 merged, commit d43d15360b581f8f931add74c0d5ccb0c737ed2a. Repository-level accessibility stress harness landed: Playwright covers public shell plus authenticated Home/Admin/Intelligence/Strategic Moves/Source/Tower for single main landmark, keyboard reachability, and visible focus indication. Local QA passed: Playwright --list (7 tests), eslint, tsc --noEmit, release:check, diff check; GitHub CI green before merge. Still In progress until run against preview/production with real Clerk auth and evidence attached.</t>
        </is>
      </c>
    </row>
    <row r="71">
      <c r="A71" s="18" t="inlineStr">
        <is>
          <t>T034</t>
        </is>
      </c>
      <c r="B71" s="18" t="inlineStr">
        <is>
          <t>Architecture</t>
        </is>
      </c>
      <c r="C71" s="18" t="inlineStr">
        <is>
          <t>Configure Clerk Organizations + SAML/OIDC SSO</t>
        </is>
      </c>
      <c r="D71" s="18" t="inlineStr">
        <is>
          <t>Pro/Enterprise plan. Map Entra/Okta groups → Clerk roles → RBAC.</t>
        </is>
      </c>
      <c r="E71" s="31" t="inlineStr">
        <is>
          <t>P0</t>
        </is>
      </c>
      <c r="F71" s="38" t="inlineStr">
        <is>
          <t>1. QUICK WIN</t>
        </is>
      </c>
      <c r="G71" s="18" t="inlineStr">
        <is>
          <t>Anand</t>
        </is>
      </c>
      <c r="H71" s="18" t="inlineStr">
        <is>
          <t>T128</t>
        </is>
      </c>
      <c r="I71" s="43" t="inlineStr">
        <is>
          <t>Self-serve + Claude (config)</t>
        </is>
      </c>
      <c r="J71" s="51" t="inlineStr">
        <is>
          <t>Part of Clerk subscription</t>
        </is>
      </c>
      <c r="K71" s="84" t="inlineStr">
        <is>
          <t>Anytime</t>
        </is>
      </c>
      <c r="L71" s="44" t="inlineStr">
        <is>
          <t>Blocked</t>
        </is>
      </c>
      <c r="M71" s="18" t="inlineStr">
        <is>
          <t>In progress - PR #2881 merged 2026-06-03: repository-side Clerk SSO claim contract, runbook update, readiness verifier, manifest, and release record are on main; local verifier/release gate/focused SSO route test and full PR CI passed. Not Done until live Clerk Organization, SAML/OIDC, domain verification, test roster sign-in, and tenant-isolation evidence are captured.
2026-06-04: Architecture closure-control packet merged in #2996 (4a14d6e) with exact Done evidence required for this row; remains In progress until the live/external/production proof named in docs/architecture/ARCHITECTURE_CLOSURE_CONTROL_2026-06-04.md is captured. 2026-06-04: PR #3004 opened for Architecture live-evidence capture runbook/verifier/release record. It sequences the remaining 16 Architecture rows into identity/tenant substrate, upload/document processing, cost/ops, and external assurance waves with exact evidence folders, commands, redaction rules, and founder/external-action gates. Keep In progress until the row-specific live Azure/Clerk/Anthropic/status-provider/vendor evidence is captured. 2026-06-04: PR #3004 merged to main at 792be4ec with the Architecture live-evidence capture runbook, verifier, and release record. Keep In progress until the row-specific live Azure/Clerk/Anthropic/status-provider/vendor evidence is captured and attached.
2026-06-04 Wave 1 live evidence: Blocked. Evidence: audit-artifacts/architecture/t034-clerk-sso-2026-06-04/SUMMARY.md. Live Clerk API returned organization_not_enabled_in_instance, so Organization-backed SSO cannot be proven on the current Clerk instance. Human action: enable Clerk Organizations or move to an instance/plan with Organizations, then capture live Organization + SSO + sign-in/isolation/sign-out proof.</t>
        </is>
      </c>
    </row>
    <row r="72">
      <c r="A72" s="18" t="inlineStr">
        <is>
          <t>T194</t>
        </is>
      </c>
      <c r="B72" s="18" t="inlineStr">
        <is>
          <t>Architecture</t>
        </is>
      </c>
      <c r="C72" s="18" t="inlineStr">
        <is>
          <t>Defender for Storage virus scan on every upload before parsing</t>
        </is>
      </c>
      <c r="D72" s="18" t="inlineStr">
        <is>
          <t>Azure-native, integrates with blob events. Prevents malware ingestion into customer tenant.</t>
        </is>
      </c>
      <c r="E72" s="31" t="inlineStr">
        <is>
          <t>P0</t>
        </is>
      </c>
      <c r="F72" s="38" t="inlineStr">
        <is>
          <t>1. QUICK WIN</t>
        </is>
      </c>
      <c r="G72" s="18" t="inlineStr">
        <is>
          <t>Anand</t>
        </is>
      </c>
      <c r="H72" s="18" t="inlineStr">
        <is>
          <t>T036</t>
        </is>
      </c>
      <c r="I72" s="43" t="inlineStr">
        <is>
          <t>Self-serve (Azure portal)</t>
        </is>
      </c>
      <c r="J72" s="51" t="inlineStr">
        <is>
          <t>~$10/mo per tenant (covered)</t>
        </is>
      </c>
      <c r="K72" s="84" t="inlineStr">
        <is>
          <t>Anytime</t>
        </is>
      </c>
      <c r="L72" s="44" t="inlineStr">
        <is>
          <t>Partial</t>
        </is>
      </c>
      <c r="M72" s="18" t="inlineStr">
        <is>
          <t>PR #2888 merged 2026-06-03: Defender for Storage malware scan gate foundation, runtime scan-tag gate, quarantine/audit behavior, tests, verifier, runbook, and release record landed. Remains In progress until live Azure Defender scan-result tags are proven for clean and malicious samples and worker tag-reader wiring is verified in the pilot environment.
2026-06-04: Architecture closure-control packet merged in #2996 (4a14d6e) with exact Done evidence required for this row; remains In progress until the live/external/production proof named in docs/architecture/ARCHITECTURE_CLOSURE_CONTROL_2026-06-04.md is captured. 2026-06-04: PR #3004 opened for Architecture live-evidence capture runbook/verifier/release record. It sequences the remaining 16 Architecture rows into identity/tenant substrate, upload/document processing, cost/ops, and external assurance waves with exact evidence folders, commands, redaction rules, and founder/external-action gates. Keep In progress until the row-specific live Azure/Clerk/Anthropic/status-provider/vendor evidence is captured. 2026-06-04: PR #3004 merged to main at 792be4ec with the Architecture live-evidence capture runbook, verifier, and release record. Keep In progress until the row-specific live Azure/Clerk/Anthropic/status-provider/vendor evidence is captured and attached.
2026-06-04 Wave 2 live evidence: Partial. Evidence: audit-artifacts/architecture/t194-defender-malware-2026-06-04/SUMMARY.md. Defender readiness verifier passed. Gap: still need live clean upload proof, live EICAR/malicious upload proof, Defender blob-index tags, and quarantine audit evidence from the target environment.</t>
        </is>
      </c>
    </row>
    <row r="73">
      <c r="A73" s="18" t="inlineStr">
        <is>
          <t>T043</t>
        </is>
      </c>
      <c r="B73" s="18" t="inlineStr">
        <is>
          <t>Architecture</t>
        </is>
      </c>
      <c r="C73" s="18" t="inlineStr">
        <is>
          <t>Set up status page (statuspage.io or instatus, ~$30/mo)</t>
        </is>
      </c>
      <c r="D73" s="18" t="inlineStr">
        <is>
          <t>F500 procurement will look for one.</t>
        </is>
      </c>
      <c r="E73" s="32" t="inlineStr">
        <is>
          <t>P1</t>
        </is>
      </c>
      <c r="F73" s="38" t="inlineStr">
        <is>
          <t>1. QUICK WIN</t>
        </is>
      </c>
      <c r="G73" s="18" t="inlineStr">
        <is>
          <t>Anand</t>
        </is>
      </c>
      <c r="H73" s="18" t="inlineStr"/>
      <c r="I73" s="43" t="inlineStr">
        <is>
          <t>Self-serve (instatus)</t>
        </is>
      </c>
      <c r="J73" s="51" t="inlineStr">
        <is>
          <t>$30-50/mo (instatus)</t>
        </is>
      </c>
      <c r="K73" s="84" t="inlineStr">
        <is>
          <t>Anytime</t>
        </is>
      </c>
      <c r="L73" s="44" t="inlineStr">
        <is>
          <t>Blocked</t>
        </is>
      </c>
      <c r="M73" s="18" t="inlineStr">
        <is>
          <t>In progress - PR #2887 merged 2026-06-03: public /status foundation is on main with Clerk-public proxy allowlist, canonical metadata, customer-safe component/incident communication model, runbook, verifier, local QA, and full CI. Not Done until external status provider, monitor-backed uptime feed, subscriber notification setup, and synthetic incident/maintenance-window drill are complete.
2026-06-04: Architecture closure-control packet merged in #2996 (4a14d6e) with exact Done evidence required for this row; remains In progress until the live/external/production proof named in docs/architecture/ARCHITECTURE_CLOSURE_CONTROL_2026-06-04.md is captured. 2026-06-04: PR #3004 opened for Architecture live-evidence capture runbook/verifier/release record. It sequences the remaining 16 Architecture rows into identity/tenant substrate, upload/document processing, cost/ops, and external assurance waves with exact evidence folders, commands, redaction rules, and founder/external-action gates. Keep In progress until the row-specific live Azure/Clerk/Anthropic/status-provider/vendor evidence is captured. 2026-06-04: PR #3004 merged to main at 792be4ec with the Architecture live-evidence capture runbook, verifier, and release record. Keep In progress until the row-specific live Azure/Clerk/Anthropic/status-provider/vendor evidence is captured and attached.
2026-06-04 Wave 4 evidence: Blocked. Evidence: audit-artifacts/architecture/t043-status-page-2026-06-04/SUMMARY.md plus audit-artifacts/architecture/t043-status-page-readiness-2026-06-04.json. Public /status foundation and readiness verifier pass, but no external status provider integration is configured yet. Human action: choose Better Stack, Statuspage, or Instatus; connect monitor-backed uptime and notifications; publish a synthetic incident or maintenance-window drill.</t>
        </is>
      </c>
    </row>
    <row r="74">
      <c r="A74" s="18" t="inlineStr">
        <is>
          <t>T027</t>
        </is>
      </c>
      <c r="B74" s="18" t="inlineStr">
        <is>
          <t>Architecture</t>
        </is>
      </c>
      <c r="C74" s="18" t="inlineStr">
        <is>
          <t>Write ADR: control plane vs private data plane separation</t>
        </is>
      </c>
      <c r="D74" s="18" t="inlineStr">
        <is>
          <t>App=multi-tenant Vercel. Data=per-client Azure. No cross-tenant reads ever.</t>
        </is>
      </c>
      <c r="E74" s="31" t="inlineStr">
        <is>
          <t>P0</t>
        </is>
      </c>
      <c r="F74" s="39" t="inlineStr">
        <is>
          <t>2. CLAUDE DOES IT</t>
        </is>
      </c>
      <c r="G74" s="18" t="inlineStr">
        <is>
          <t>Anand</t>
        </is>
      </c>
      <c r="H74" s="18" t="inlineStr"/>
      <c r="I74" s="45" t="inlineStr">
        <is>
          <t>Claude (draft)</t>
        </is>
      </c>
      <c r="J74" s="52" t="inlineStr">
        <is>
          <t>$0</t>
        </is>
      </c>
      <c r="K74" s="82" t="inlineStr">
        <is>
          <t>Pre-Resign</t>
        </is>
      </c>
      <c r="L74" s="44" t="inlineStr">
        <is>
          <t>Done</t>
        </is>
      </c>
      <c r="M74" s="18" t="inlineStr">
        <is>
          <t>Repo evidence on origin/main: docs/architecture/adr/ADR-0001-control-plane-vs-data-plane.md records the control-plane/private-data-plane separation decision.</t>
        </is>
      </c>
    </row>
    <row r="75">
      <c r="A75" s="18" t="inlineStr">
        <is>
          <t>T029</t>
        </is>
      </c>
      <c r="B75" s="18" t="inlineStr">
        <is>
          <t>Architecture</t>
        </is>
      </c>
      <c r="C75" s="18" t="inlineStr">
        <is>
          <t>Build IaC (Bicep/Terraform) for reproducible client tenant</t>
        </is>
      </c>
      <c r="D75" s="18" t="inlineStr">
        <is>
          <t>Every pilot deploys from same templates. Extend reports/2026-05-30-atlas-iac-e2e-live-prod/.</t>
        </is>
      </c>
      <c r="E75" s="31" t="inlineStr">
        <is>
          <t>P0</t>
        </is>
      </c>
      <c r="F75" s="39" t="inlineStr">
        <is>
          <t>2. CLAUDE DOES IT</t>
        </is>
      </c>
      <c r="G75" s="18" t="inlineStr">
        <is>
          <t>Anand</t>
        </is>
      </c>
      <c r="H75" s="18" t="inlineStr">
        <is>
          <t>T028</t>
        </is>
      </c>
      <c r="I75" s="45" t="inlineStr">
        <is>
          <t>Claude (code)</t>
        </is>
      </c>
      <c r="J75" s="52" t="inlineStr">
        <is>
          <t>$0 (founder time)</t>
        </is>
      </c>
      <c r="K75" s="84" t="inlineStr">
        <is>
          <t>Anytime</t>
        </is>
      </c>
      <c r="L75" s="44" t="inlineStr">
        <is>
          <t>Partial</t>
        </is>
      </c>
      <c r="M75" s="18" t="inlineStr">
        <is>
          <t>In progress - PR #2880 merged 2026-06-03: client-tenant Azure IaC scaffold, example parameters, verifier, manifest, and runbook are on main; local verifier, release gate, Bicep build, and full PR CI passed. Not Done until target-subscription what-if/deploy evidence is captured.
2026-06-04: Architecture closure-control packet merged in #2996 (4a14d6e) with exact Done evidence required for this row; remains In progress until the live/external/production proof named in docs/architecture/ARCHITECTURE_CLOSURE_CONTROL_2026-06-04.md is captured. 2026-06-04: PR #3004 opened for Architecture live-evidence capture runbook/verifier/release record. It sequences the remaining 16 Architecture rows into identity/tenant substrate, upload/document processing, cost/ops, and external assurance waves with exact evidence folders, commands, redaction rules, and founder/external-action gates. Keep In progress until the row-specific live Azure/Clerk/Anthropic/status-provider/vendor evidence is captured. 2026-06-04: PR #3004 merged to main at 792be4ec with the Architecture live-evidence capture runbook, verifier, and release record. Keep In progress until the row-specific live Azure/Clerk/Anthropic/status-provider/vendor evidence is captured and attached.
2026-06-04 Wave 1 live evidence: Partial. Evidence: audit-artifacts/architecture/t029-client-tenant-iac-2026-06-04/SUMMARY.md. Azure lab resource parity, client-tenant IaC verifier, Apex Retail bootstrap dry-run, live Azure connectivity job, Bicep build, and Lakeshore subscription what-if were captured. Gap: no completed client-lane deploy transcript or rollback/deletion proof yet.
2026-06-04 update: inspected subscription deployment lakeshore-private-data-plane-namefix-20260604084514 before any remediation. Treat its partial Lakeshore RG/resource state as pre-existing evidence, not a clean-slate deploy. Evidence: audit-artifacts/architecture/t029-client-tenant-iac-2026-06-04/SUMMARY.md plus lakeshore-namefix-deployment-show.json and lakeshore-namefix-deployment-operations.json. New concrete failures: missing VNet substrate for Postgres private peering, and separate immutable-audit policy failure tracked under T041.</t>
        </is>
      </c>
    </row>
    <row r="76">
      <c r="A76" s="18" t="inlineStr">
        <is>
          <t>T030</t>
        </is>
      </c>
      <c r="B76" s="18" t="inlineStr">
        <is>
          <t>Architecture</t>
        </is>
      </c>
      <c r="C76" s="18" t="inlineStr">
        <is>
          <t>Implement tenant-scoped connection string resolution</t>
        </is>
      </c>
      <c r="D76" s="18" t="inlineStr">
        <is>
          <t>Clerk session → tenant ID → secrets vault → DB connection. First line of isolation.</t>
        </is>
      </c>
      <c r="E76" s="31" t="inlineStr">
        <is>
          <t>P0</t>
        </is>
      </c>
      <c r="F76" s="39" t="inlineStr">
        <is>
          <t>2. CLAUDE DOES IT</t>
        </is>
      </c>
      <c r="G76" s="18" t="inlineStr">
        <is>
          <t>Anand</t>
        </is>
      </c>
      <c r="H76" s="18" t="inlineStr">
        <is>
          <t>T027</t>
        </is>
      </c>
      <c r="I76" s="45" t="inlineStr">
        <is>
          <t>Claude (code)</t>
        </is>
      </c>
      <c r="J76" s="52" t="inlineStr">
        <is>
          <t>$0 (founder time)</t>
        </is>
      </c>
      <c r="K76" s="84" t="inlineStr">
        <is>
          <t>Anytime</t>
        </is>
      </c>
      <c r="L76" s="44" t="inlineStr">
        <is>
          <t>Partial</t>
        </is>
      </c>
      <c r="M76" s="18" t="inlineStr">
        <is>
          <t>In progress - PR #2883 merged 2026-06-03: tenant-scoped DB connection resolver added, existing Postgres/Azure read candidate paths now honor active client scope and fail closed when the client secret is missing; local Jest/verifier/ESLint/release gates and full CI passed. Not Done until client Key Vault secret projection, live private Postgres smoke, negative fail-closed smoke, and request-local tenant scope evidence are complete.
2026-06-04: Architecture closure-control packet merged in #2996 (4a14d6e) with exact Done evidence required for this row; remains In progress until the live/external/production proof named in docs/architecture/ARCHITECTURE_CLOSURE_CONTROL_2026-06-04.md is captured. 2026-06-04: PR #3004 opened for Architecture live-evidence capture runbook/verifier/release record. It sequences the remaining 16 Architecture rows into identity/tenant substrate, upload/document processing, cost/ops, and external assurance waves with exact evidence folders, commands, redaction rules, and founder/external-action gates. Keep In progress until the row-specific live Azure/Clerk/Anthropic/status-provider/vendor evidence is captured. 2026-06-04: PR #3004 merged to main at 792be4ec with the Architecture live-evidence capture runbook, verifier, and release record. Keep In progress until the row-specific live Azure/Clerk/Anthropic/status-provider/vendor evidence is captured and attached.
2026-06-04 Wave 1 live evidence: Partial. Evidence: audit-artifacts/architecture/t030-tenant-connection-resolution-2026-06-04/SUMMARY.md. Tenant-connection verifier, Azure Postgres schema verification, tenant data parity, live job secret projection / private Postgres smoke, and negative invalid-DATABASE_URL fail-closed proof were captured. Gap: still need request-local tenant-scope evidence from an actual app/request path.</t>
        </is>
      </c>
    </row>
    <row r="77">
      <c r="A77" s="18" t="inlineStr">
        <is>
          <t>T032</t>
        </is>
      </c>
      <c r="B77" s="18" t="inlineStr">
        <is>
          <t>Architecture</t>
        </is>
      </c>
      <c r="C77" s="18" t="inlineStr">
        <is>
          <t>Build pre-ingest PHI/PII scanner (Microsoft Presidio)</t>
        </is>
      </c>
      <c r="D77" s="18" t="inlineStr">
        <is>
          <t>Quarantine + alert on detection. Protects you legally even with no PHI scope.</t>
        </is>
      </c>
      <c r="E77" s="31" t="inlineStr">
        <is>
          <t>P0</t>
        </is>
      </c>
      <c r="F77" s="39" t="inlineStr">
        <is>
          <t>2. CLAUDE DOES IT</t>
        </is>
      </c>
      <c r="G77" s="18" t="inlineStr">
        <is>
          <t>Anand</t>
        </is>
      </c>
      <c r="H77" s="18" t="inlineStr"/>
      <c r="I77" s="45" t="inlineStr">
        <is>
          <t>Claude (code)</t>
        </is>
      </c>
      <c r="J77" s="52" t="inlineStr">
        <is>
          <t>$0 (Presidio open-source)</t>
        </is>
      </c>
      <c r="K77" s="84" t="inlineStr">
        <is>
          <t>Anytime</t>
        </is>
      </c>
      <c r="L77" s="44" t="inlineStr">
        <is>
          <t>Partial</t>
        </is>
      </c>
      <c r="M77" s="18" t="inlineStr">
        <is>
          <t>2026-06-03: PR #2950 merged through the main merge queue (merge commit 580585b6a65f0bda242548715576f9f86fcaa379) for the pre-ingest sensitive scanner. Adds src/lib/security/preingest-sensitive-scanner.ts with Presidio-compatible entity names for SSN, MRN/patient ids, DOB, bank/routing labels, payment cards, email, and phone; sensitive-upload guard delegates detection to the scanner while preserving quarantine behavior. Local QA and GitHub checks passed. Remaining before Done: deploy/wire Microsoft Presidio or equivalent Azure DLP/Purview adapter, add OCR where needed, wire live quarantine table/ledger proof, and verify end to end.
2026-06-04: Architecture closure-control packet merged in #2996 (4a14d6e) with exact Done evidence required for this row; remains In progress until the live/external/production proof named in docs/architecture/ARCHITECTURE_CLOSURE_CONTROL_2026-06-04.md is captured. 2026-06-04: PR #3004 opened for Architecture live-evidence capture runbook/verifier/release record. It sequences the remaining 16 Architecture rows into identity/tenant substrate, upload/document processing, cost/ops, and external assurance waves with exact evidence folders, commands, redaction rules, and founder/external-action gates. Keep In progress until the row-specific live Azure/Clerk/Anthropic/status-provider/vendor evidence is captured. 2026-06-04: PR #3004 merged to main at 792be4ec with the Architecture live-evidence capture runbook, verifier, and release record. Keep In progress until the row-specific live Azure/Clerk/Anthropic/status-provider/vendor evidence is captured and attached.
2026-06-04 Wave 2 live evidence: Partial. Evidence: audit-artifacts/architecture/t032-preingest-sensitive-scanner-2026-06-04/SUMMARY.md. Focused scanner/upload-guard tests passed and synthetic clean vs SSN vs credit-card samples behaved correctly. Gap: still need live Presidio/Azure DLP/Purview adapter proof, quarantine ledger proof, and end-to-end upload quarantine evidence.</t>
        </is>
      </c>
    </row>
    <row r="78">
      <c r="A78" s="18" t="inlineStr">
        <is>
          <t>T033</t>
        </is>
      </c>
      <c r="B78" s="18" t="inlineStr">
        <is>
          <t>Architecture</t>
        </is>
      </c>
      <c r="C78" s="18" t="inlineStr">
        <is>
          <t>Build token/consumption meter into the app</t>
        </is>
      </c>
      <c r="D78" s="18" t="inlineStr">
        <is>
          <t>Per-tenant LLM token usage. Show to client weekly. Cap enforcement.</t>
        </is>
      </c>
      <c r="E78" s="31" t="inlineStr">
        <is>
          <t>P0</t>
        </is>
      </c>
      <c r="F78" s="39" t="inlineStr">
        <is>
          <t>2. CLAUDE DOES IT</t>
        </is>
      </c>
      <c r="G78" s="18" t="inlineStr">
        <is>
          <t>Anand</t>
        </is>
      </c>
      <c r="H78" s="18" t="inlineStr"/>
      <c r="I78" s="45" t="inlineStr">
        <is>
          <t>Claude (code)</t>
        </is>
      </c>
      <c r="J78" s="52" t="inlineStr">
        <is>
          <t>$0 (founder time)</t>
        </is>
      </c>
      <c r="K78" s="84" t="inlineStr">
        <is>
          <t>Anytime</t>
        </is>
      </c>
      <c r="L78" s="44" t="inlineStr">
        <is>
          <t>Partial</t>
        </is>
      </c>
      <c r="M78" s="18" t="inlineStr">
        <is>
          <t>PR #2968 merged at 0b3ec83ab016a9cc444c7a65c95509d28f4cd208 with customer-admin weekly usage report summary: tenant-scoped AI-egress usage rollup, usage-cap audit metadata interpretation, report readiness, cap/overage posture, tests, release record, and green CI. Keep In progress until durable live cap settings, cap-alert delivery, and scheduled/customer-facing weekly reporting cadence are evidenced.
2026-06-04: Architecture closure-control packet merged in #2996 (4a14d6e) with exact Done evidence required for this row; remains In progress until the live/external/production proof named in docs/architecture/ARCHITECTURE_CLOSURE_CONTROL_2026-06-04.md is captured. 2026-06-04: PR #3004 opened for Architecture live-evidence capture runbook/verifier/release record. It sequences the remaining 16 Architecture rows into identity/tenant substrate, upload/document processing, cost/ops, and external assurance waves with exact evidence folders, commands, redaction rules, and founder/external-action gates. Keep In progress until the row-specific live Azure/Clerk/Anthropic/status-provider/vendor evidence is captured. 2026-06-04: PR #3004 merged to main at 792be4ec with the Architecture live-evidence capture runbook, verifier, and release record. Keep In progress until the row-specific live Azure/Clerk/Anthropic/status-provider/vendor evidence is captured and attached.
2026-06-04 Wave 3 live evidence: Partial. Evidence: audit-artifacts/architecture/t033-usage-metering-caps-2026-06-04/SUMMARY.md. Azure observability audit passed, subscription budget alerts exist at 50/80/100 percent, usage-cap tests passed, and a harness proved allow/alert/block behavior. Gap: live ai_egress_audit rows still show no usage_cap metadata, so tenant-scoped runtime cap telemetry is not yet evidenced.</t>
        </is>
      </c>
    </row>
    <row r="79">
      <c r="A79" s="18" t="inlineStr">
        <is>
          <t>T036</t>
        </is>
      </c>
      <c r="B79" s="18" t="inlineStr">
        <is>
          <t>Architecture</t>
        </is>
      </c>
      <c r="C79" s="18" t="inlineStr">
        <is>
          <t>Define Azure Blob upload pattern (SAS tokens, direct upload)</t>
        </is>
      </c>
      <c r="D79" s="18" t="inlineStr">
        <is>
          <t>Browser → blob, no data through control plane. Event Grid → processing.</t>
        </is>
      </c>
      <c r="E79" s="31" t="inlineStr">
        <is>
          <t>P0</t>
        </is>
      </c>
      <c r="F79" s="39" t="inlineStr">
        <is>
          <t>2. CLAUDE DOES IT</t>
        </is>
      </c>
      <c r="G79" s="18" t="inlineStr">
        <is>
          <t>Anand</t>
        </is>
      </c>
      <c r="H79" s="18" t="inlineStr"/>
      <c r="I79" s="45" t="inlineStr">
        <is>
          <t>Claude (code+docs)</t>
        </is>
      </c>
      <c r="J79" s="52" t="inlineStr">
        <is>
          <t>$0 (Azure native; covered by credits)</t>
        </is>
      </c>
      <c r="K79" s="84" t="inlineStr">
        <is>
          <t>Anytime</t>
        </is>
      </c>
      <c r="L79" s="44" t="inlineStr">
        <is>
          <t>Done</t>
        </is>
      </c>
      <c r="M79" s="18" t="inlineStr">
        <is>
          <t>PR #2926 merged 2026-06-03 (merge commit 404ce1442a1fda766a92f9e09f9f6585f3501674): Azure Blob direct-upload architecture pattern defined for T036 with one-client-only upload sessions, short-lived SAS scope, required blob metadata, Defender/sensitive-data gates, quarantine behavior, Event Grid/Service Bus handoff, evidence requirements, verifier, package script, and release record. Local QA passed: azure:blob-upload-pattern:verify, focused ESLint, release:check, and diff check. GitHub CI passed 25/25 checks. Live SAS issuance/provisioning remains tracked separately.</t>
        </is>
      </c>
    </row>
    <row r="80">
      <c r="A80" s="18" t="inlineStr">
        <is>
          <t>T047</t>
        </is>
      </c>
      <c r="B80" s="18" t="inlineStr">
        <is>
          <t>Architecture</t>
        </is>
      </c>
      <c r="C80" s="18" t="inlineStr">
        <is>
          <t>Write incident response plan + 72h breach notification SLA</t>
        </is>
      </c>
      <c r="D80" s="18" t="inlineStr">
        <is>
          <t>Required for SOC 2 and most security questionnaires.</t>
        </is>
      </c>
      <c r="E80" s="31" t="inlineStr">
        <is>
          <t>P0</t>
        </is>
      </c>
      <c r="F80" s="39" t="inlineStr">
        <is>
          <t>2. CLAUDE DOES IT</t>
        </is>
      </c>
      <c r="G80" s="18" t="inlineStr">
        <is>
          <t>Anand</t>
        </is>
      </c>
      <c r="H80" s="18" t="inlineStr"/>
      <c r="I80" s="45" t="inlineStr">
        <is>
          <t>Claude (template)</t>
        </is>
      </c>
      <c r="J80" s="52" t="inlineStr">
        <is>
          <t>$0</t>
        </is>
      </c>
      <c r="K80" s="82" t="inlineStr">
        <is>
          <t>Pre-Resign</t>
        </is>
      </c>
      <c r="L80" s="44" t="inlineStr">
        <is>
          <t>Done</t>
        </is>
      </c>
      <c r="M80" s="18" t="inlineStr">
        <is>
          <t>Merged in PR #2729: incident response runbook includes severity model, first-hour response, 72-hour notification clock, containment, communication cadence, and evidence requirements.</t>
        </is>
      </c>
    </row>
    <row r="81">
      <c r="A81" s="18" t="inlineStr">
        <is>
          <t>T161</t>
        </is>
      </c>
      <c r="B81" s="18" t="inlineStr">
        <is>
          <t>Architecture</t>
        </is>
      </c>
      <c r="C81" s="18" t="inlineStr">
        <is>
          <t>ADR: Why we stay on Vercel (not Azure-native control plane)</t>
        </is>
      </c>
      <c r="D81" s="18" t="inlineStr">
        <is>
          <t>Documents decision + criteria for revisiting. Reusable answer for every F500 security review. References: data plane IS in customer Azure; Marketplace listing gives MACC; co-sell still works.</t>
        </is>
      </c>
      <c r="E81" s="31" t="inlineStr">
        <is>
          <t>P0</t>
        </is>
      </c>
      <c r="F81" s="39" t="inlineStr">
        <is>
          <t>2. CLAUDE DOES IT</t>
        </is>
      </c>
      <c r="G81" s="18" t="inlineStr">
        <is>
          <t>Anand</t>
        </is>
      </c>
      <c r="H81" s="18" t="inlineStr">
        <is>
          <t>T078</t>
        </is>
      </c>
      <c r="I81" s="45" t="inlineStr">
        <is>
          <t>Claude (draft)</t>
        </is>
      </c>
      <c r="J81" s="52" t="inlineStr">
        <is>
          <t>$0</t>
        </is>
      </c>
      <c r="K81" s="84" t="inlineStr">
        <is>
          <t>Anytime</t>
        </is>
      </c>
      <c r="L81" s="44" t="inlineStr">
        <is>
          <t>Done</t>
        </is>
      </c>
      <c r="M81" s="18" t="inlineStr">
        <is>
          <t>Merged in PR #2733: ADR-0007 records Vercel control plane with Azure client data plane posture and migration criteria.</t>
        </is>
      </c>
    </row>
    <row r="82">
      <c r="A82" s="18" t="inlineStr">
        <is>
          <t>T183</t>
        </is>
      </c>
      <c r="B82" s="18" t="inlineStr">
        <is>
          <t>Architecture</t>
        </is>
      </c>
      <c r="C82" s="18" t="inlineStr">
        <is>
          <t>ADR: Document ingestion pipeline (parse-once → cache → reuse)</t>
        </is>
      </c>
      <c r="D82" s="18" t="inlineStr">
        <is>
          <t>Pre-parse PDFs/docx/xlsx via Azure AI Document Intelligence; cache markdown in customer blob (keyed by content hash); never send raw PDF to Claude. Stacks parse-once + RAG + Anthropic prompt caching = ~50-100x cheaper than naive 'PDF every turn'.</t>
        </is>
      </c>
      <c r="E82" s="31" t="inlineStr">
        <is>
          <t>P0</t>
        </is>
      </c>
      <c r="F82" s="39" t="inlineStr">
        <is>
          <t>2. CLAUDE DOES IT</t>
        </is>
      </c>
      <c r="G82" s="18" t="inlineStr">
        <is>
          <t>Anand</t>
        </is>
      </c>
      <c r="H82" s="18" t="inlineStr"/>
      <c r="I82" s="45" t="inlineStr">
        <is>
          <t>Claude (draft)</t>
        </is>
      </c>
      <c r="J82" s="52" t="inlineStr">
        <is>
          <t>$0</t>
        </is>
      </c>
      <c r="K82" s="84" t="inlineStr">
        <is>
          <t>Anytime</t>
        </is>
      </c>
      <c r="L82" s="44" t="inlineStr">
        <is>
          <t>Done</t>
        </is>
      </c>
      <c r="M82" s="18" t="inlineStr">
        <is>
          <t>PR #2766 merged: ADR-0008 documents the parse-once/cache/reuse guardrail for context ingestion using file hash, template version, parser version, and policy-version lineage. CI and Vercel checks passed and branch was deleted.</t>
        </is>
      </c>
    </row>
    <row r="83">
      <c r="A83" s="18" t="inlineStr">
        <is>
          <t>T184</t>
        </is>
      </c>
      <c r="B83" s="18" t="inlineStr">
        <is>
          <t>Architecture</t>
        </is>
      </c>
      <c r="C83" s="18" t="inlineStr">
        <is>
          <t>Integrate Azure AI Document Intelligence (Layout model) as primary PDF parser</t>
        </is>
      </c>
      <c r="D83" s="18" t="inlineStr">
        <is>
          <t>Runs in customer tenant → data residency preserved. Cost $0.10-1.50 per 20-page doc, covered by Founders Hub credits. Tables/forms/layout supported.</t>
        </is>
      </c>
      <c r="E83" s="31" t="inlineStr">
        <is>
          <t>P0</t>
        </is>
      </c>
      <c r="F83" s="39" t="inlineStr">
        <is>
          <t>2. CLAUDE DOES IT</t>
        </is>
      </c>
      <c r="G83" s="18" t="inlineStr">
        <is>
          <t>Anand</t>
        </is>
      </c>
      <c r="H83" s="18" t="inlineStr">
        <is>
          <t>T036</t>
        </is>
      </c>
      <c r="I83" s="45" t="inlineStr">
        <is>
          <t>Claude (code)</t>
        </is>
      </c>
      <c r="J83" s="52" t="inlineStr">
        <is>
          <t>$0 (covered by Azure credits)</t>
        </is>
      </c>
      <c r="K83" s="84" t="inlineStr">
        <is>
          <t>Anytime</t>
        </is>
      </c>
      <c r="L83" s="44" t="inlineStr">
        <is>
          <t>Done</t>
        </is>
      </c>
      <c r="M83" s="18" t="inlineStr">
        <is>
          <t>Done via PR #2934 merged 2026-06-03; merge commit 4293a4de25037bfd8191eaa601dc5eefeb67d056. Integrated Azure AI Document Intelligence prebuilt-layout as config-gated primary PDF parser for program evidence and agent attachments, with pdf-parse fallback. Local QA passed: Jest 16/16 for adapter/evidence/agent fallback paths; targeted ESLint; tsc --noEmit; release:check; git diff --check. GitHub CI passed: 25/25 checks. Live Azure endpoint validation was not performed in this session and should be covered by private data-plane environment validation.</t>
        </is>
      </c>
    </row>
    <row r="84">
      <c r="A84" s="18" t="inlineStr">
        <is>
          <t>T185</t>
        </is>
      </c>
      <c r="B84" s="18" t="inlineStr">
        <is>
          <t>Architecture</t>
        </is>
      </c>
      <c r="C84" s="18" t="inlineStr">
        <is>
          <t>Implement content-hash-keyed parse cache (idempotent re-uploads cost $0)</t>
        </is>
      </c>
      <c r="D84" s="18" t="inlineStr">
        <is>
          <t>Same file uploaded twice = one parse. Stored in customer blob as markdown + structure JSON. Invalidated only on content change.</t>
        </is>
      </c>
      <c r="E84" s="31" t="inlineStr">
        <is>
          <t>P0</t>
        </is>
      </c>
      <c r="F84" s="39" t="inlineStr">
        <is>
          <t>2. CLAUDE DOES IT</t>
        </is>
      </c>
      <c r="G84" s="18" t="inlineStr">
        <is>
          <t>Anand</t>
        </is>
      </c>
      <c r="H84" s="18" t="inlineStr"/>
      <c r="I84" s="45" t="inlineStr">
        <is>
          <t>Claude (code)</t>
        </is>
      </c>
      <c r="J84" s="52" t="inlineStr">
        <is>
          <t>$0 (Azure blob, credits)</t>
        </is>
      </c>
      <c r="K84" s="84" t="inlineStr">
        <is>
          <t>Anytime</t>
        </is>
      </c>
      <c r="L84" s="44" t="inlineStr">
        <is>
          <t>Done</t>
        </is>
      </c>
      <c r="M84" s="18" t="inlineStr">
        <is>
          <t>Done via PR #2933 merged 2026-06-03; merge commit b861277b9bf72a0aa38681f90bde08e4fe3e5cdf. Implemented active-runtime content-hash parse cache scoped by client/cacheScope, MIME type, parser id/version, and SHA-256. Local QA passed: Jest 46/46 for cache/evidence/upload routes; targeted ESLint; tsc --noEmit; release:check; git diff --check. GitHub CI passed: 20/20 checks. Durable cross-session/region cache remains separate backlog.</t>
        </is>
      </c>
    </row>
    <row r="85">
      <c r="A85" s="18" t="inlineStr">
        <is>
          <t>T187</t>
        </is>
      </c>
      <c r="B85" s="18" t="inlineStr">
        <is>
          <t>Architecture</t>
        </is>
      </c>
      <c r="C85" s="18" t="inlineStr">
        <is>
          <t>Wire Anthropic prompt caching for parsed-doc + agent system prompts</t>
        </is>
      </c>
      <c r="D85" s="18" t="inlineStr">
        <is>
          <t>5-10x additional cost reduction on repeat chat sessions about the same doc. ephemeral cache lasts 5min, write cost = 25% premium, read cost = 90% discount.</t>
        </is>
      </c>
      <c r="E85" s="31" t="inlineStr">
        <is>
          <t>P0</t>
        </is>
      </c>
      <c r="F85" s="39" t="inlineStr">
        <is>
          <t>2. CLAUDE DOES IT</t>
        </is>
      </c>
      <c r="G85" s="18" t="inlineStr">
        <is>
          <t>Anand</t>
        </is>
      </c>
      <c r="H85" s="18" t="inlineStr"/>
      <c r="I85" s="45" t="inlineStr">
        <is>
          <t>Claude (code)</t>
        </is>
      </c>
      <c r="J85" s="52" t="inlineStr">
        <is>
          <t>$0 (config)</t>
        </is>
      </c>
      <c r="K85" s="84" t="inlineStr">
        <is>
          <t>Anytime</t>
        </is>
      </c>
      <c r="L85" s="44" t="inlineStr">
        <is>
          <t>Done</t>
        </is>
      </c>
      <c r="M85" s="18" t="inlineStr">
        <is>
          <t>In progress - PR #2885 merged 2026-06-03: Anthropic direct text adapter now emits conservative ephemeral prompt-cache controls for stable system prompts and metadata-keyed document prompts; provider usage/cache metadata flows into AI egress audit; focused Jest/ESLint/release gates and full CI passed. Not Done until live provider usage shows cache creation/read tokens on repeated parsed-document or agent-system calls.
2026-06-04: Architecture closure-control packet merged in #2996 (4a14d6e) with exact Done evidence required for this row; remains In progress until the live/external/production proof named in docs/architecture/ARCHITECTURE_CLOSURE_CONTROL_2026-06-04.md is captured. 2026-06-04: PR #3004 opened for Architecture live-evidence capture runbook/verifier/release record. It sequences the remaining 16 Architecture rows into identity/tenant substrate, upload/document processing, cost/ops, and external assurance waves with exact evidence folders, commands, redaction rules, and founder/external-action gates. Keep In progress until the row-specific live Azure/Clerk/Anthropic/status-provider/vendor evidence is captured. 2026-06-04: PR #3004 merged to main at 792be4ec with the Architecture live-evidence capture runbook, verifier, and release record. Keep In progress until the row-specific live Azure/Clerk/Anthropic/status-provider/vendor evidence is captured and attached.
2026-06-04 Wave 3 live evidence: Done. Evidence: audit-artifacts/architecture/t187-anthropic-prompt-cache-2026-06-04/SUMMARY.md. Live Anthropic long-context replay produced prompt-cache creation on call one and cache-read tokens on call two (7193 cached input tokens read), satisfying the closure packet requirement for provider-side prompt-cache proof.</t>
        </is>
      </c>
    </row>
    <row r="86">
      <c r="A86" s="18" t="inlineStr">
        <is>
          <t>T188</t>
        </is>
      </c>
      <c r="B86" s="18" t="inlineStr">
        <is>
          <t>Architecture</t>
        </is>
      </c>
      <c r="C86" s="18" t="inlineStr">
        <is>
          <t>Skip Claude native PDF in production paths (fallback only)</t>
        </is>
      </c>
      <c r="D86" s="18" t="inlineStr">
        <is>
          <t>Only use when both Doc Intelligence + Marker fail. Log every fallback as a parsing-bug ticket. Default mode = pre-parsed markdown.</t>
        </is>
      </c>
      <c r="E86" s="31" t="inlineStr">
        <is>
          <t>P0</t>
        </is>
      </c>
      <c r="F86" s="39" t="inlineStr">
        <is>
          <t>2. CLAUDE DOES IT</t>
        </is>
      </c>
      <c r="G86" s="18" t="inlineStr">
        <is>
          <t>Anand</t>
        </is>
      </c>
      <c r="H86" s="18" t="inlineStr"/>
      <c r="I86" s="45" t="inlineStr">
        <is>
          <t>Claude (code+docs)</t>
        </is>
      </c>
      <c r="J86" s="52" t="inlineStr">
        <is>
          <t>$0</t>
        </is>
      </c>
      <c r="K86" s="84" t="inlineStr">
        <is>
          <t>Anytime</t>
        </is>
      </c>
      <c r="L86" s="44" t="inlineStr">
        <is>
          <t>Done</t>
        </is>
      </c>
      <c r="M86" s="18" t="inlineStr">
        <is>
          <t>Merged PR #2931 on 2026-06-03 (merge commit e63b199cfe58f1944b94d1c9e244fdf05eacbc37): ADR-0011 defines production PDF parser routing and restricts Claude native PDF to explicit human-approved last-resort fallback only. CI: 25/25 checks passed; local verifier, eslint, release:check, and diff check passed.</t>
        </is>
      </c>
    </row>
    <row r="87">
      <c r="A87" s="18" t="inlineStr">
        <is>
          <t>T191</t>
        </is>
      </c>
      <c r="B87" s="18" t="inlineStr">
        <is>
          <t>Architecture</t>
        </is>
      </c>
      <c r="C87" s="18" t="inlineStr">
        <is>
          <t>Chat-paperclip uploads route through SAME ingestion pipeline (no bypass)</t>
        </is>
      </c>
      <c r="D87" s="18" t="inlineStr">
        <is>
          <t>📎 in chat = browser → SAS-uploaded direct to customer blob → cache check → Doc Intelligence parse → cached markdown into chat context. No shortcuts to Claude native PDF.</t>
        </is>
      </c>
      <c r="E87" s="31" t="inlineStr">
        <is>
          <t>P0</t>
        </is>
      </c>
      <c r="F87" s="39" t="inlineStr">
        <is>
          <t>2. CLAUDE DOES IT</t>
        </is>
      </c>
      <c r="G87" s="18" t="inlineStr">
        <is>
          <t>Anand</t>
        </is>
      </c>
      <c r="H87" s="18" t="inlineStr">
        <is>
          <t>T036,T184</t>
        </is>
      </c>
      <c r="I87" s="45" t="inlineStr">
        <is>
          <t>Claude (code)</t>
        </is>
      </c>
      <c r="J87" s="52" t="inlineStr">
        <is>
          <t>$0</t>
        </is>
      </c>
      <c r="K87" s="84" t="inlineStr">
        <is>
          <t>Anytime</t>
        </is>
      </c>
      <c r="L87" s="44" t="inlineStr">
        <is>
          <t>Done</t>
        </is>
      </c>
      <c r="M87" s="18" t="inlineStr">
        <is>
          <t>Merged PR #2932 on 2026-06-03 (merge commit 7eba07ec7cd8721614cfe83a068c349b05778bb1): /api/v1/agent/attachments now routes paperclip uploads through the shared sensitive-upload guard before storage, parser extraction, metadata persistence, indexing, or evidence use. CI: all GitHub checks passed; local Jest, ESLint, tsc, release:check, and diff check passed.</t>
        </is>
      </c>
    </row>
    <row r="88">
      <c r="A88" s="18" t="inlineStr">
        <is>
          <t>T192</t>
        </is>
      </c>
      <c r="B88" s="18" t="inlineStr">
        <is>
          <t>Architecture</t>
        </is>
      </c>
      <c r="C88" s="18" t="inlineStr">
        <is>
          <t>Streaming 'parsing...' UX indicator (page X of Y, time elapsed)</t>
        </is>
      </c>
      <c r="D88" s="18" t="inlineStr">
        <is>
          <t>Don't make user stare at a spinner. Show parse progress. Allow typing during parse; defer send until ready.</t>
        </is>
      </c>
      <c r="E88" s="31" t="inlineStr">
        <is>
          <t>P0</t>
        </is>
      </c>
      <c r="F88" s="39" t="inlineStr">
        <is>
          <t>2. CLAUDE DOES IT</t>
        </is>
      </c>
      <c r="G88" s="18" t="inlineStr">
        <is>
          <t>Anand</t>
        </is>
      </c>
      <c r="H88" s="18" t="inlineStr"/>
      <c r="I88" s="45" t="inlineStr">
        <is>
          <t>Claude (code)</t>
        </is>
      </c>
      <c r="J88" s="52" t="inlineStr">
        <is>
          <t>$0</t>
        </is>
      </c>
      <c r="K88" s="84" t="inlineStr">
        <is>
          <t>Anytime</t>
        </is>
      </c>
      <c r="L88" s="44" t="inlineStr">
        <is>
          <t>Done</t>
        </is>
      </c>
      <c r="M88" s="18" t="inlineStr">
        <is>
          <t>Merged PR #2935 (cb3859f2cf56d781aa5042c06a93d0a5ed4212a8). T192 closed: AgentDock pending uploads now show live parsing progress with elapsed time and estimated PDF page position. Local QA passed: AgentDock Jest 31/31, TypeScript, ESLint, release:check, diff check. GitHub checks green before merge.</t>
        </is>
      </c>
    </row>
    <row r="89">
      <c r="A89" s="18" t="inlineStr">
        <is>
          <t>T193</t>
        </is>
      </c>
      <c r="B89" s="18" t="inlineStr">
        <is>
          <t>Architecture</t>
        </is>
      </c>
      <c r="C89" s="18" t="inlineStr">
        <is>
          <t>Upload limits: max 500 pages, 100MB per file, N files per session, M files per day per user</t>
        </is>
      </c>
      <c r="D89" s="18" t="inlineStr">
        <is>
          <t>Prevents 1000-page PDF spam + cost runaway. Per-tenant configurable.</t>
        </is>
      </c>
      <c r="E89" s="31" t="inlineStr">
        <is>
          <t>P0</t>
        </is>
      </c>
      <c r="F89" s="39" t="inlineStr">
        <is>
          <t>2. CLAUDE DOES IT</t>
        </is>
      </c>
      <c r="G89" s="18" t="inlineStr">
        <is>
          <t>Anand</t>
        </is>
      </c>
      <c r="H89" s="18" t="inlineStr"/>
      <c r="I89" s="45" t="inlineStr">
        <is>
          <t>Claude (code+config)</t>
        </is>
      </c>
      <c r="J89" s="52" t="inlineStr">
        <is>
          <t>$0</t>
        </is>
      </c>
      <c r="K89" s="84" t="inlineStr">
        <is>
          <t>Anytime</t>
        </is>
      </c>
      <c r="L89" s="44" t="inlineStr">
        <is>
          <t>Done</t>
        </is>
      </c>
      <c r="M89" s="18" t="inlineStr">
        <is>
          <t>PR #2766 merged: ADR-0008 documents pilot upload defaults including 100 MB single-file limit, 500 pages/slides, spreadsheet row limits, archive limits, and batch concurrency guardrails.</t>
        </is>
      </c>
    </row>
    <row r="90">
      <c r="A90" s="18" t="inlineStr">
        <is>
          <t>T196</t>
        </is>
      </c>
      <c r="B90" s="18" t="inlineStr">
        <is>
          <t>Architecture</t>
        </is>
      </c>
      <c r="C90" s="18" t="inlineStr">
        <is>
          <t>Supported format matrix: PDF / docx / xlsx / pptx / png / jpg / txt / csv / md</t>
        </is>
      </c>
      <c r="D90" s="18" t="inlineStr">
        <is>
          <t>Each format has a parser path: Doc Intelligence (PDF/img/scanned), python-docx (docx), openpyxl (xlsx), python-pptx (pptx), native text (txt/md), pandas (csv).</t>
        </is>
      </c>
      <c r="E90" s="31" t="inlineStr">
        <is>
          <t>P0</t>
        </is>
      </c>
      <c r="F90" s="39" t="inlineStr">
        <is>
          <t>2. CLAUDE DOES IT</t>
        </is>
      </c>
      <c r="G90" s="18" t="inlineStr">
        <is>
          <t>Anand</t>
        </is>
      </c>
      <c r="H90" s="18" t="inlineStr"/>
      <c r="I90" s="45" t="inlineStr">
        <is>
          <t>Claude (code+docs)</t>
        </is>
      </c>
      <c r="J90" s="52" t="inlineStr">
        <is>
          <t>$0</t>
        </is>
      </c>
      <c r="K90" s="84" t="inlineStr">
        <is>
          <t>Anytime</t>
        </is>
      </c>
      <c r="L90" s="44" t="inlineStr">
        <is>
          <t>Done</t>
        </is>
      </c>
      <c r="M90" s="18" t="inlineStr">
        <is>
          <t>PR #2775 merged: ADR-0008 now explicitly defines the pilot context-ingestion format matrix for pdf, docx, xlsx, pptx, csv, md/markdown, txt, png, and jpg/jpeg. CI and Vercel checks passed; branch was deleted. Images remain evidence/OCR queue only and txt is metadata-only unless template-approved.</t>
        </is>
      </c>
    </row>
    <row r="91">
      <c r="A91" s="18" t="inlineStr">
        <is>
          <t>T197</t>
        </is>
      </c>
      <c r="B91" s="18" t="inlineStr">
        <is>
          <t>Architecture</t>
        </is>
      </c>
      <c r="C91" s="18" t="inlineStr">
        <is>
          <t>PHI/PII pre-scan inline in paperclip flow (before parse persists)</t>
        </is>
      </c>
      <c r="D91" s="18" t="inlineStr">
        <is>
          <t>Presidio scan on parsed text. On hit: quarantine + alert + offer user 'redact and continue' option. Same protection as bulk upload.</t>
        </is>
      </c>
      <c r="E91" s="31" t="inlineStr">
        <is>
          <t>P0</t>
        </is>
      </c>
      <c r="F91" s="39" t="inlineStr">
        <is>
          <t>2. CLAUDE DOES IT</t>
        </is>
      </c>
      <c r="G91" s="18" t="inlineStr">
        <is>
          <t>Anand</t>
        </is>
      </c>
      <c r="H91" s="18" t="inlineStr">
        <is>
          <t>T032</t>
        </is>
      </c>
      <c r="I91" s="45" t="inlineStr">
        <is>
          <t>Claude (code)</t>
        </is>
      </c>
      <c r="J91" s="52" t="inlineStr">
        <is>
          <t>$0 (Presidio free)</t>
        </is>
      </c>
      <c r="K91" s="84" t="inlineStr">
        <is>
          <t>Anytime</t>
        </is>
      </c>
      <c r="L91" s="44" t="inlineStr">
        <is>
          <t>Done</t>
        </is>
      </c>
      <c r="M91" s="18" t="inlineStr">
        <is>
          <t>Merged PR #2932 on 2026-06-03 (merge commit 7eba07ec7cd8721614cfe83a068c349b05778bb1): paperclip flow now performs inline PHI/PII pre-scan before blob upload or parse persistence; suspected PHI/PII returns sensitive_data_quarantined and tests assert no storage/extraction/DB calls occur. CI: all GitHub checks passed.</t>
        </is>
      </c>
    </row>
    <row r="92">
      <c r="A92" s="18" t="inlineStr">
        <is>
          <t>T035</t>
        </is>
      </c>
      <c r="B92" s="18" t="inlineStr">
        <is>
          <t>Architecture</t>
        </is>
      </c>
      <c r="C92" s="18" t="inlineStr">
        <is>
          <t>Build admin/ops surface (re-index, migrations, backfills)</t>
        </is>
      </c>
      <c r="D92" s="18" t="inlineStr">
        <is>
          <t>Replaces SSH into DB. All actions audit-logged.</t>
        </is>
      </c>
      <c r="E92" s="32" t="inlineStr">
        <is>
          <t>P1</t>
        </is>
      </c>
      <c r="F92" s="39" t="inlineStr">
        <is>
          <t>2. CLAUDE DOES IT</t>
        </is>
      </c>
      <c r="G92" s="18" t="inlineStr">
        <is>
          <t>Anand</t>
        </is>
      </c>
      <c r="H92" s="18" t="inlineStr"/>
      <c r="I92" s="45" t="inlineStr">
        <is>
          <t>Claude (code)</t>
        </is>
      </c>
      <c r="J92" s="52" t="inlineStr">
        <is>
          <t>$0 (founder time)</t>
        </is>
      </c>
      <c r="K92" s="84" t="inlineStr">
        <is>
          <t>Anytime</t>
        </is>
      </c>
      <c r="L92" s="44" t="inlineStr">
        <is>
          <t>Partial</t>
        </is>
      </c>
      <c r="M92" s="18" t="inlineStr">
        <is>
          <t>PR #2889 merged 2026-06-03: /admin/ops route, governed ops read model, sidebar/home discoverability, admin surface inventory, tests, verifier, runbook, build manifest, and release record landed. Remains In progress until production job runner with approval capture, locks/retries/idempotency, and immutable audit-log writes is live and validated.
2026-06-04: Architecture closure-control packet merged in #2996 (4a14d6e) with exact Done evidence required for this row; remains In progress until the live/external/production proof named in docs/architecture/ARCHITECTURE_CLOSURE_CONTROL_2026-06-04.md is captured. 2026-06-04: PR #3004 opened for Architecture live-evidence capture runbook/verifier/release record. It sequences the remaining 16 Architecture rows into identity/tenant substrate, upload/document processing, cost/ops, and external assurance waves with exact evidence folders, commands, redaction rules, and founder/external-action gates. Keep In progress until the row-specific live Azure/Clerk/Anthropic/status-provider/vendor evidence is captured. 2026-06-04: PR #3004 merged to main at 792be4ec with the Architecture live-evidence capture runbook, verifier, and release record. Keep In progress until the row-specific live Azure/Clerk/Anthropic/status-provider/vendor evidence is captured and attached.
2026-06-04 Wave 3 live evidence: Partial. Evidence: audit-artifacts/architecture/t035-admin-ops-surface-2026-06-04/SUMMARY.md. Admin ops verifier and focused tests passed, and live admin_audit_log rows were captured. Gap: /admin/ops is still a governed read surface, not a production job runner with approvals, locks, retries, idempotency, and immutable execution audit writes.</t>
        </is>
      </c>
    </row>
    <row r="93">
      <c r="A93" s="18" t="inlineStr">
        <is>
          <t>T037</t>
        </is>
      </c>
      <c r="B93" s="18" t="inlineStr">
        <is>
          <t>Architecture</t>
        </is>
      </c>
      <c r="C93" s="18" t="inlineStr">
        <is>
          <t>Define release lanes operationally (global vs client)</t>
        </is>
      </c>
      <c r="D93" s="18" t="inlineStr">
        <is>
          <t>AGENTS.md already encodes these. Wire feature flags + 48h gating.</t>
        </is>
      </c>
      <c r="E93" s="32" t="inlineStr">
        <is>
          <t>P1</t>
        </is>
      </c>
      <c r="F93" s="39" t="inlineStr">
        <is>
          <t>2. CLAUDE DOES IT</t>
        </is>
      </c>
      <c r="G93" s="18" t="inlineStr">
        <is>
          <t>Anand</t>
        </is>
      </c>
      <c r="H93" s="18" t="inlineStr"/>
      <c r="I93" s="45" t="inlineStr">
        <is>
          <t>Claude (config)</t>
        </is>
      </c>
      <c r="J93" s="52" t="inlineStr">
        <is>
          <t>$0</t>
        </is>
      </c>
      <c r="K93" s="84" t="inlineStr">
        <is>
          <t>Anytime</t>
        </is>
      </c>
      <c r="L93" s="44" t="inlineStr">
        <is>
          <t>Done</t>
        </is>
      </c>
      <c r="M93" s="18" t="inlineStr">
        <is>
          <t>Repo evidence on origin/main: ADR-0003-release-lanes.md defines release lanes and AGENTS.md/release records operationalize lane classification.</t>
        </is>
      </c>
    </row>
    <row r="94">
      <c r="A94" s="18" t="inlineStr">
        <is>
          <t>T040</t>
        </is>
      </c>
      <c r="B94" s="18" t="inlineStr">
        <is>
          <t>Architecture</t>
        </is>
      </c>
      <c r="C94" s="18" t="inlineStr">
        <is>
          <t>Version + tag industry corpus releases (manifest + checksums)</t>
        </is>
      </c>
      <c r="D94" s="18" t="inlineStr">
        <is>
          <t>Per-client corpus pinning. Already at Wave 24.</t>
        </is>
      </c>
      <c r="E94" s="32" t="inlineStr">
        <is>
          <t>P1</t>
        </is>
      </c>
      <c r="F94" s="39" t="inlineStr">
        <is>
          <t>2. CLAUDE DOES IT</t>
        </is>
      </c>
      <c r="G94" s="18" t="inlineStr">
        <is>
          <t>Anand</t>
        </is>
      </c>
      <c r="H94" s="18" t="inlineStr"/>
      <c r="I94" s="45" t="inlineStr">
        <is>
          <t>Claude (script)</t>
        </is>
      </c>
      <c r="J94" s="52" t="inlineStr">
        <is>
          <t>$0</t>
        </is>
      </c>
      <c r="K94" s="84" t="inlineStr">
        <is>
          <t>Anytime</t>
        </is>
      </c>
      <c r="L94" s="44" t="inlineStr">
        <is>
          <t>Done</t>
        </is>
      </c>
      <c r="M94" s="18" t="inlineStr">
        <is>
          <t>PR #2803 merged: added corpus release manifest generator scripts/corpus/release-manifest.mjs, npm scripts corpus:release-manifest and corpus:release-manifest:check, seeded docs/knowledge-corpus/releases/corpus-release-manifest.json and README.md, added runbook docs/runbooks/corpus-release-manifest.md, and release record 2026-06-02-corpus-release-manifest.md. Seeded manifest covers 124 corpus release inputs with aggregate SHA-256 c74ca49c5aece369dda41be99430f4268a49aebbaf112ae9760612999e183eaf. Local validation passed: corpus manifest generation/check, git diff --check, release:check, and secrets:staged. GitHub CI passed all required gates; remote branch deleted. Client-specific DB/tenant corpus pin persistence remains future work outside this row.</t>
        </is>
      </c>
    </row>
    <row r="95">
      <c r="A95" s="18" t="inlineStr">
        <is>
          <t>T041</t>
        </is>
      </c>
      <c r="B95" s="18" t="inlineStr">
        <is>
          <t>Architecture</t>
        </is>
      </c>
      <c r="C95" s="18" t="inlineStr">
        <is>
          <t>Set up immutable audit log (Azure Immutable Blob Storage)</t>
        </is>
      </c>
      <c r="D95" s="18" t="inlineStr">
        <is>
          <t>12-24 month retention. Client export on request.</t>
        </is>
      </c>
      <c r="E95" s="32" t="inlineStr">
        <is>
          <t>P1</t>
        </is>
      </c>
      <c r="F95" s="39" t="inlineStr">
        <is>
          <t>2. CLAUDE DOES IT</t>
        </is>
      </c>
      <c r="G95" s="18" t="inlineStr">
        <is>
          <t>Anand</t>
        </is>
      </c>
      <c r="H95" s="18" t="inlineStr"/>
      <c r="I95" s="45" t="inlineStr">
        <is>
          <t>Claude (code+Azure)</t>
        </is>
      </c>
      <c r="J95" s="51" t="inlineStr">
        <is>
          <t>~$50/mo Azure storage (covered)</t>
        </is>
      </c>
      <c r="K95" s="84" t="inlineStr">
        <is>
          <t>Anytime</t>
        </is>
      </c>
      <c r="L95" s="44" t="inlineStr">
        <is>
          <t>Partial</t>
        </is>
      </c>
      <c r="M95" s="18" t="inlineStr">
        <is>
          <t>In progress - PR #2886 merged 2026-06-03: Azure immutable audit-log foundation is on main for single-client private data planes with WORM audit-ledger container, version-level immutability, protected append writes, 12-24 month retention defaults, verifier, runbook, build manifest, release record, local QA, and full CI. Not Done until Azure what-if/deploy evidence, sample append proof, denied delete/overwrite proof, and app-wide audit-writer routing evidence exist.
2026-06-04: Architecture closure-control packet merged in #2996 (4a14d6e) with exact Done evidence required for this row; remains In progress until the live/external/production proof named in docs/architecture/ARCHITECTURE_CLOSURE_CONTROL_2026-06-04.md is captured. 2026-06-04: PR #3004 opened for Architecture live-evidence capture runbook/verifier/release record. It sequences the remaining 16 Architecture rows into identity/tenant substrate, upload/document processing, cost/ops, and external assurance waves with exact evidence folders, commands, redaction rules, and founder/external-action gates. Keep In progress until the row-specific live Azure/Clerk/Anthropic/status-provider/vendor evidence is captured. 2026-06-04: PR #3004 merged to main at 792be4ec with the Architecture live-evidence capture runbook, verifier, and release record. Keep In progress until the row-specific live Azure/Clerk/Anthropic/status-provider/vendor evidence is captured and attached.
2026-06-04 Wave 1 live evidence: Partial. Evidence: audit-artifacts/architecture/t041-immutable-audit-log-2026-06-04/SUMMARY.md. Immutable-audit verifier, Azure security/observability audits, app-layer audit immutability assertion, storage account privacy proof, and Lakeshore what-if for audit-ledger WORM resources were captured. Gap: still need in-lane audit-ledger append proof and denied overwrite/delete proof on the deployed container.
2026-06-04 update: inspected subscription deployment lakeshore-private-data-plane-namefix-20260604084514 before any remediation. Treat its partial Lakeshore RG/resource state as pre-existing evidence, not a clean-slate deploy. Evidence: audit-artifacts/architecture/t041-immutable-audit-log-2026-06-04/SUMMARY.md. New concrete immutable-audit failure: InvalidManagementPolicyRule on immutable-audit-ledger-cool-tier because append blobs do not support the attempted tiering action.</t>
        </is>
      </c>
    </row>
    <row r="96">
      <c r="A96" s="18" t="inlineStr">
        <is>
          <t>T042</t>
        </is>
      </c>
      <c r="B96" s="18" t="inlineStr">
        <is>
          <t>Architecture</t>
        </is>
      </c>
      <c r="C96" s="18" t="inlineStr">
        <is>
          <t>Document DR + RPO/RTO (e.g., RPO 1h, RTO 4h)</t>
        </is>
      </c>
      <c r="D96" s="18" t="inlineStr">
        <is>
          <t>Test once. Document.</t>
        </is>
      </c>
      <c r="E96" s="32" t="inlineStr">
        <is>
          <t>P1</t>
        </is>
      </c>
      <c r="F96" s="39" t="inlineStr">
        <is>
          <t>2. CLAUDE DOES IT</t>
        </is>
      </c>
      <c r="G96" s="18" t="inlineStr">
        <is>
          <t>Anand</t>
        </is>
      </c>
      <c r="H96" s="18" t="inlineStr"/>
      <c r="I96" s="45" t="inlineStr">
        <is>
          <t>Claude (docs)</t>
        </is>
      </c>
      <c r="J96" s="52" t="inlineStr">
        <is>
          <t>$0 docs</t>
        </is>
      </c>
      <c r="K96" s="84" t="inlineStr">
        <is>
          <t>Anytime</t>
        </is>
      </c>
      <c r="L96" s="44" t="inlineStr">
        <is>
          <t>Done</t>
        </is>
      </c>
      <c r="M96" s="18" t="inlineStr">
        <is>
          <t>Merged in PR #2733: disaster recovery runbook defines pilot RPO/RTO targets, roles, recovery paths, validation, and client communication.</t>
        </is>
      </c>
    </row>
    <row r="97">
      <c r="A97" s="18" t="inlineStr">
        <is>
          <t>T044</t>
        </is>
      </c>
      <c r="B97" s="18" t="inlineStr">
        <is>
          <t>Architecture</t>
        </is>
      </c>
      <c r="C97" s="18" t="inlineStr">
        <is>
          <t>Document encryption posture (AES-256 rest, TLS 1.2+ transit)</t>
        </is>
      </c>
      <c r="D97" s="18" t="inlineStr">
        <is>
          <t>Defaults across Vercel/Azure/Clerk. Just need to say it.</t>
        </is>
      </c>
      <c r="E97" s="32" t="inlineStr">
        <is>
          <t>P1</t>
        </is>
      </c>
      <c r="F97" s="39" t="inlineStr">
        <is>
          <t>2. CLAUDE DOES IT</t>
        </is>
      </c>
      <c r="G97" s="18" t="inlineStr">
        <is>
          <t>Anand</t>
        </is>
      </c>
      <c r="H97" s="18" t="inlineStr"/>
      <c r="I97" s="45" t="inlineStr">
        <is>
          <t>Claude (docs)</t>
        </is>
      </c>
      <c r="J97" s="52" t="inlineStr">
        <is>
          <t>$0 (Azure/Vercel defaults)</t>
        </is>
      </c>
      <c r="K97" s="84" t="inlineStr">
        <is>
          <t>Anytime</t>
        </is>
      </c>
      <c r="L97" s="44" t="inlineStr">
        <is>
          <t>Done</t>
        </is>
      </c>
      <c r="M97" s="18" t="inlineStr">
        <is>
          <t>Merged in PR #2733: encryption posture inventory documents current controls, inherited platform boundaries, Azure lab evidence, and hardening gaps.</t>
        </is>
      </c>
    </row>
    <row r="98">
      <c r="A98" s="18" t="inlineStr">
        <is>
          <t>T048</t>
        </is>
      </c>
      <c r="B98" s="18" t="inlineStr">
        <is>
          <t>Architecture</t>
        </is>
      </c>
      <c r="C98" s="18" t="inlineStr">
        <is>
          <t>Define data return/deletion runbook (30-day post-termination)</t>
        </is>
      </c>
      <c r="D98" s="18" t="inlineStr">
        <is>
          <t>Written certification of deletion.</t>
        </is>
      </c>
      <c r="E98" s="32" t="inlineStr">
        <is>
          <t>P1</t>
        </is>
      </c>
      <c r="F98" s="39" t="inlineStr">
        <is>
          <t>2. CLAUDE DOES IT</t>
        </is>
      </c>
      <c r="G98" s="18" t="inlineStr">
        <is>
          <t>Anand</t>
        </is>
      </c>
      <c r="H98" s="18" t="inlineStr"/>
      <c r="I98" s="45" t="inlineStr">
        <is>
          <t>Claude (runbook)</t>
        </is>
      </c>
      <c r="J98" s="52" t="inlineStr">
        <is>
          <t>$0</t>
        </is>
      </c>
      <c r="K98" s="84" t="inlineStr">
        <is>
          <t>Anytime</t>
        </is>
      </c>
      <c r="L98" s="44" t="inlineStr">
        <is>
          <t>Done</t>
        </is>
      </c>
      <c r="M98" s="18" t="inlineStr">
        <is>
          <t>Merged in PR #2733: data return/deletion runbook covers authority, client_id scoping, manifests, validation, retention exceptions, and proof of deletion.</t>
        </is>
      </c>
    </row>
    <row r="99">
      <c r="A99" s="18" t="inlineStr">
        <is>
          <t>T186</t>
        </is>
      </c>
      <c r="B99" s="18" t="inlineStr">
        <is>
          <t>Architecture</t>
        </is>
      </c>
      <c r="C99" s="18" t="inlineStr">
        <is>
          <t>Fallback parsers: Marker (self-hosted, free) and LlamaParse (3rd-party, paid)</t>
        </is>
      </c>
      <c r="D99" s="18" t="inlineStr">
        <is>
          <t>Marker on tricky docs Doc Intelligence misses. LlamaParse only for non-sensitive docs (3rd-party processing) — with customer consent. Document the decision tree.</t>
        </is>
      </c>
      <c r="E99" s="32" t="inlineStr">
        <is>
          <t>P1</t>
        </is>
      </c>
      <c r="F99" s="39" t="inlineStr">
        <is>
          <t>2. CLAUDE DOES IT</t>
        </is>
      </c>
      <c r="G99" s="18" t="inlineStr">
        <is>
          <t>Anand</t>
        </is>
      </c>
      <c r="H99" s="18" t="inlineStr"/>
      <c r="I99" s="45" t="inlineStr">
        <is>
          <t>Claude (code+docs)</t>
        </is>
      </c>
      <c r="J99" s="52" t="inlineStr">
        <is>
          <t>Marker: $0 / LlamaParse: ~$0.003-0.015/page</t>
        </is>
      </c>
      <c r="K99" s="84" t="inlineStr">
        <is>
          <t>Anytime</t>
        </is>
      </c>
      <c r="L99" s="44" t="inlineStr">
        <is>
          <t>Partial</t>
        </is>
      </c>
      <c r="M99" s="18" t="inlineStr">
        <is>
          <t>2026-06-03: PR #2959 merged through protected flow at 37e5813a4606d9180a0a4a90ca632fbdd9d45fd5 for parser fallback runtime orchestrator. Adds src/lib/ingestion/parser-fallback-runtime.ts plus regression tests. Runtime invokes Marker adapter only for sensitive/unknown/restricted/regulated/non-consented documents, invokes LlamaParse adapter only for non-sensitive documents with explicit operator approval and customer third-party processing consent, records decision/invocation/result/failure ledger events, and keeps fallback output uncommitted pending human review. Local QA and GitHub checks passed. Keep In progress until real Marker/LlamaParse deployment, production ledger persistence, and end-to-end live parser proof are captured.
2026-06-04: Architecture closure-control packet merged in #2996 (4a14d6e) with exact Done evidence required for this row; remains In progress until the live/external/production proof named in docs/architecture/ARCHITECTURE_CLOSURE_CONTROL_2026-06-04.md is captured. 2026-06-04: PR #3004 opened for Architecture live-evidence capture runbook/verifier/release record. It sequences the remaining 16 Architecture rows into identity/tenant substrate, upload/document processing, cost/ops, and external assurance waves with exact evidence folders, commands, redaction rules, and founder/external-action gates. Keep In progress until the row-specific live Azure/Clerk/Anthropic/status-provider/vendor evidence is captured. 2026-06-04: PR #3004 merged to main at 792be4ec with the Architecture live-evidence capture runbook, verifier, and release record. Keep In progress until the row-specific live Azure/Clerk/Anthropic/status-provider/vendor evidence is captured and attached.
2026-06-04 Wave 2 live evidence: Partial. Evidence: audit-artifacts/architecture/t186-parser-fallback-2026-06-04/SUMMARY.md. Focused parser-fallback tests passed and the runtime harness emitted decision/invocation/result ledger-shaped events with commit blocked pending review. Gap: still need real Marker/LlamaParse deployment proof, persisted ledger rows, and end-to-end fallback evidence.</t>
        </is>
      </c>
    </row>
    <row r="100">
      <c r="A100" s="18" t="inlineStr">
        <is>
          <t>T189</t>
        </is>
      </c>
      <c r="B100" s="18" t="inlineStr">
        <is>
          <t>Architecture</t>
        </is>
      </c>
      <c r="C100" s="18" t="inlineStr">
        <is>
          <t>Cost-per-document dashboard (parse cost + chat cost + cache hit rate)</t>
        </is>
      </c>
      <c r="D100" s="18" t="inlineStr">
        <is>
          <t>Per-tenant per-doc economics. Surface to client weekly. Validates the token meter and informs pricing.</t>
        </is>
      </c>
      <c r="E100" s="32" t="inlineStr">
        <is>
          <t>P1</t>
        </is>
      </c>
      <c r="F100" s="39" t="inlineStr">
        <is>
          <t>2. CLAUDE DOES IT</t>
        </is>
      </c>
      <c r="G100" s="18" t="inlineStr">
        <is>
          <t>Anand</t>
        </is>
      </c>
      <c r="H100" s="18" t="inlineStr">
        <is>
          <t>T033</t>
        </is>
      </c>
      <c r="I100" s="45" t="inlineStr">
        <is>
          <t>Claude (code)</t>
        </is>
      </c>
      <c r="J100" s="52" t="inlineStr">
        <is>
          <t>$0</t>
        </is>
      </c>
      <c r="K100" s="84" t="inlineStr">
        <is>
          <t>Anytime</t>
        </is>
      </c>
      <c r="L100" s="44" t="inlineStr">
        <is>
          <t>Partial</t>
        </is>
      </c>
      <c r="M100" s="18" t="inlineStr">
        <is>
          <t>2026-06-03: PR #2961 opened for parser/upload parse-economics metadata. Agent attachment parser now emits deterministic document_key/content hash, parser/provider, byte/page/table counts, parse cost estimate, and cost basis; upload API exposes these under parse_metadata. Local QA passed: focused Jest, ESLint, TypeScript, release:check, and git diff --check. Keep In progress until PR CI/merge, durable parse metadata persistence, and document-bound AI egress chat-cost metadata complete the full dashboard rollup.
2026-06-03 update: PR #2961 merged with commit d3f265486617e628e8f5af384633a401c536f074. Agent attachment upload now returns parse_metadata with deterministic document key/hash, parser/provider, byte/page/table counts, and parse cost estimate; focused Jest, ESLint, TypeScript, release:check, diff-check, and PR CI passed. Still not Done until parse economics are durably persisted per tenant/document and document-bound chat-cost/cache-hit economics are surfaced in the client-facing dashboard/reporting path.
2026-06-03 update: PR #2963 opened for durable parse metadata persistence. Adds agent_attachment.parse_metadata JSONB migration with document-key/provider indexes, writes the same parse_metadata packet returned by AgentDock uploads into the attachment row, and covers Supabase/Azure write adapters plus upload route with focused tests. Local QA passed: focused Jest, ESLint, TypeScript, release:check, and diff-check. Still not Done until CI/merge, target data-plane migration application, and client-facing dashboard/weekly report join parse cost with chat cost/cache-hit economics.
2026-06-03 update: PR #2963 merged with commit 57f7d9532f33cc4edfaf991531e875bf85207717. Durable parse metadata persistence is now on main: agent_attachment.parse_metadata JSONB migration, document-key/provider indexes, upload route writes parse_metadata, and Supabase/Azure write adapter tests passed. Still not Done until target data-plane migration application is proven and client-facing dashboard/weekly report joins parse cost with chat cost/cache-hit economics.
2026-06-04: Architecture closure-control packet merged in #2996 (4a14d6e) with exact Done evidence required for this row; remains In progress until the live/external/production proof named in docs/architecture/ARCHITECTURE_CLOSURE_CONTROL_2026-06-04.md is captured. 2026-06-04: PR #3004 opened for Architecture live-evidence capture runbook/verifier/release record. It sequences the remaining 16 Architecture rows into identity/tenant substrate, upload/document processing, cost/ops, and external assurance waves with exact evidence folders, commands, redaction rules, and founder/external-action gates. Keep In progress until the row-specific live Azure/Clerk/Anthropic/status-provider/vendor evidence is captured. 2026-06-04: PR #3004 merged to main at 792be4ec with the Architecture live-evidence capture runbook, verifier, and release record. Keep In progress until the row-specific live Azure/Clerk/Anthropic/status-provider/vendor evidence is captured and attached.
2026-06-04 Wave 3 live evidence: Partial. Evidence: audit-artifacts/architecture/t189-cost-per-document-dashboard-2026-06-04/SUMMARY.md. The customer-admin cost/dashboard foundation exists in code, but live ai_egress_audit probes across all tenants found zero document-key, cost, or cache-telemetry rows, so the runtime data spine for per-document economics is not yet populated.</t>
        </is>
      </c>
    </row>
    <row r="101">
      <c r="A101" s="18" t="inlineStr">
        <is>
          <t>T195</t>
        </is>
      </c>
      <c r="B101" s="18" t="inlineStr">
        <is>
          <t>Architecture</t>
        </is>
      </c>
      <c r="C101" s="18" t="inlineStr">
        <is>
          <t>Small-doc shortcut: docs &lt;4 pages AND &lt;500KB go to Claude native (faster, similar cost)</t>
        </is>
      </c>
      <c r="D101" s="18" t="inlineStr">
        <is>
          <t>Break-even analysis: 2-page PDF parse adds 3s latency for $0.003 saved. UX wins. Threshold configurable; default 4pp/500KB.</t>
        </is>
      </c>
      <c r="E101" s="32" t="inlineStr">
        <is>
          <t>P1</t>
        </is>
      </c>
      <c r="F101" s="39" t="inlineStr">
        <is>
          <t>2. CLAUDE DOES IT</t>
        </is>
      </c>
      <c r="G101" s="18" t="inlineStr">
        <is>
          <t>Anand</t>
        </is>
      </c>
      <c r="H101" s="18" t="inlineStr"/>
      <c r="I101" s="45" t="inlineStr">
        <is>
          <t>Claude (code)</t>
        </is>
      </c>
      <c r="J101" s="52" t="inlineStr">
        <is>
          <t>$0</t>
        </is>
      </c>
      <c r="K101" s="84" t="inlineStr">
        <is>
          <t>Anytime</t>
        </is>
      </c>
      <c r="L101" s="44" t="inlineStr">
        <is>
          <t>Partial</t>
        </is>
      </c>
      <c r="M101" s="18" t="inlineStr">
        <is>
          <t>2026-06-03: PR #2958 merged through protected flow at 303f43d8835b322f866569af70cbb94f7d61d058. Small-PDF native runtime handoff implemented for Steward AgentDock through shared /api/chat/agent. Server builds Claude native document blocks only after active-client storage path, PDF MIME, byte threshold, and stored blob-size checks. Local QA and GitHub checks passed. Keep In progress until authenticated Azure/object-storage + Anthropic native-document proof is captured.
2026-06-04: Architecture closure-control packet merged in #2996 (4a14d6e) with exact Done evidence required for this row; remains In progress until the live/external/production proof named in docs/architecture/ARCHITECTURE_CLOSURE_CONTROL_2026-06-04.md is captured. 2026-06-04: PR #3004 opened for Architecture live-evidence capture runbook/verifier/release record. It sequences the remaining 16 Architecture rows into identity/tenant substrate, upload/document processing, cost/ops, and external assurance waves with exact evidence folders, commands, redaction rules, and founder/external-action gates. Keep In progress until the row-specific live Azure/Clerk/Anthropic/status-provider/vendor evidence is captured. 2026-06-04: PR #3004 merged to main at 792be4ec with the Architecture live-evidence capture runbook, verifier, and release record. Keep In progress until the row-specific live Azure/Clerk/Anthropic/status-provider/vendor evidence is captured and attached.
2026-06-04 Wave 2 live evidence: Partial. Evidence: audit-artifacts/architecture/t195-small-pdf-native-handoff-2026-06-04/SUMMARY.md. Focused agent-route context-bundle tests passed for the native small-PDF path. Gap: still need authenticated object-storage retrieval, live Anthropic native-document proof, and cost/latency packet.</t>
        </is>
      </c>
    </row>
    <row r="102">
      <c r="A102" s="18" t="inlineStr">
        <is>
          <t>T198</t>
        </is>
      </c>
      <c r="B102" s="18" t="inlineStr">
        <is>
          <t>Architecture</t>
        </is>
      </c>
      <c r="C102" s="18" t="inlineStr">
        <is>
          <t>Parsed-snippet preview after upload so user knows what got extracted</t>
        </is>
      </c>
      <c r="D102" s="18" t="inlineStr">
        <is>
          <t>Shows first 200 chars + table count + page count. Catches garbled parses BEFORE chat consumes tokens.</t>
        </is>
      </c>
      <c r="E102" s="32" t="inlineStr">
        <is>
          <t>P1</t>
        </is>
      </c>
      <c r="F102" s="39" t="inlineStr">
        <is>
          <t>2. CLAUDE DOES IT</t>
        </is>
      </c>
      <c r="G102" s="18" t="inlineStr">
        <is>
          <t>Anand</t>
        </is>
      </c>
      <c r="H102" s="18" t="inlineStr"/>
      <c r="I102" s="45" t="inlineStr">
        <is>
          <t>Claude (code)</t>
        </is>
      </c>
      <c r="J102" s="52" t="inlineStr">
        <is>
          <t>$0</t>
        </is>
      </c>
      <c r="K102" s="84" t="inlineStr">
        <is>
          <t>Anytime</t>
        </is>
      </c>
      <c r="L102" s="44" t="inlineStr">
        <is>
          <t>Done</t>
        </is>
      </c>
      <c r="M102" s="18" t="inlineStr">
        <is>
          <t>Done via PR #2937 (snippet preview, 81a6f8289940b1d18e23a10eb7947f0b9123e072) and PR #2942 (true parse metadata, 8456fdcc91ac04a600c96331c76eb711c5a16298). AgentDock now shows first 200 chars after upload and uses backend parse_metadata page/table counts when available. Local QA for #2942 passed: parser/upload/AgentDock Jest 60/60, TypeScript, ESLint, release:check, diff check. GitHub checks green before merge.</t>
        </is>
      </c>
    </row>
    <row r="103">
      <c r="A103" s="18" t="inlineStr">
        <is>
          <t>T200</t>
        </is>
      </c>
      <c r="B103" s="18" t="inlineStr">
        <is>
          <t>Architecture</t>
        </is>
      </c>
      <c r="C103" s="18" t="inlineStr">
        <is>
          <t>Persist parse cache across sessions (Wave 2 evidence ledger)</t>
        </is>
      </c>
      <c r="D103" s="18" t="inlineStr">
        <is>
          <t>Per existing backlog memory: Wave 1 = chat-scoped, Wave 2 = persist. Parse cache is upstream of both; same content hash = same cached parse forever.</t>
        </is>
      </c>
      <c r="E103" s="32" t="inlineStr">
        <is>
          <t>P1</t>
        </is>
      </c>
      <c r="F103" s="39" t="inlineStr">
        <is>
          <t>2. CLAUDE DOES IT</t>
        </is>
      </c>
      <c r="G103" s="18" t="inlineStr">
        <is>
          <t>Anand</t>
        </is>
      </c>
      <c r="H103" s="18" t="inlineStr">
        <is>
          <t>T185</t>
        </is>
      </c>
      <c r="I103" s="45" t="inlineStr">
        <is>
          <t>Claude (code)</t>
        </is>
      </c>
      <c r="J103" s="52" t="inlineStr">
        <is>
          <t>$0</t>
        </is>
      </c>
      <c r="K103" s="84" t="inlineStr">
        <is>
          <t>Anytime</t>
        </is>
      </c>
      <c r="L103" s="44" t="inlineStr">
        <is>
          <t>Partial</t>
        </is>
      </c>
      <c r="M103" s="18" t="inlineStr">
        <is>
          <t>2026-06-03: PR #2949 merged through the main merge queue (merge commit 0c99020efd61e3deb55cd2251217fc2f3f388366). Persistent parse-cache contract is now in main: persistentStore support, cross-session reuse test after memory reset, and architecture doc. Local QA and GitHub checks passed. Remaining before Done: production Postgres/Azure/evidence-ledger store, schema/worker wiring, and end-to-end durable reuse proof.
2026-06-04: Architecture closure-control packet merged in #2996 (4a14d6e) with exact Done evidence required for this row; remains In progress until the live/external/production proof named in docs/architecture/ARCHITECTURE_CLOSURE_CONTROL_2026-06-04.md is captured. 2026-06-04: PR #3004 opened for Architecture live-evidence capture runbook/verifier/release record. It sequences the remaining 16 Architecture rows into identity/tenant substrate, upload/document processing, cost/ops, and external assurance waves with exact evidence folders, commands, redaction rules, and founder/external-action gates. Keep In progress until the row-specific live Azure/Clerk/Anthropic/status-provider/vendor evidence is captured. 2026-06-04: PR #3004 merged to main at 792be4ec with the Architecture live-evidence capture runbook, verifier, and release record. Keep In progress until the row-specific live Azure/Clerk/Anthropic/status-provider/vendor evidence is captured and attached.
2026-06-04 Wave 2 live evidence: Partial. Evidence: audit-artifacts/architecture/t200-persistent-parse-cache-2026-06-04/SUMMARY.md. Content-hash parse-cache tests passed and the harness proved persistent-store reuse plus cross-tenant isolation. Gap: still need production durable-store wiring and live reuse proof.</t>
        </is>
      </c>
    </row>
    <row r="104">
      <c r="A104" s="18" t="inlineStr">
        <is>
          <t>T282</t>
        </is>
      </c>
      <c r="B104" s="18" t="inlineStr">
        <is>
          <t>Architecture</t>
        </is>
      </c>
      <c r="C104" s="18" t="inlineStr">
        <is>
          <t>If YES: scope the 'Software Delivery' corpus wave (patterns, structure, sources)</t>
        </is>
      </c>
      <c r="D104" s="18" t="inlineStr">
        <is>
          <t>Industry frameworks (DORA, SAFe), AI-dev specific patterns, vendor governance patterns, ROI measurement.</t>
        </is>
      </c>
      <c r="E104" s="32" t="inlineStr">
        <is>
          <t>P1</t>
        </is>
      </c>
      <c r="F104" s="39" t="inlineStr">
        <is>
          <t>2. CLAUDE DOES IT</t>
        </is>
      </c>
      <c r="G104" s="18" t="inlineStr">
        <is>
          <t>Anand</t>
        </is>
      </c>
      <c r="H104" s="18" t="inlineStr"/>
      <c r="I104" s="45" t="inlineStr">
        <is>
          <t>Claude (draft) + you</t>
        </is>
      </c>
      <c r="J104" s="52" t="inlineStr">
        <is>
          <t>$0</t>
        </is>
      </c>
      <c r="K104" s="84" t="inlineStr">
        <is>
          <t>Anytime</t>
        </is>
      </c>
      <c r="L104" s="44" t="inlineStr">
        <is>
          <t>Done</t>
        </is>
      </c>
      <c r="M104" s="18" t="inlineStr">
        <is>
          <t>PR #2929 merged 2026-06-03 (merge commit 3592315cdec20e871b49e614a3e2725c56a75003): Software Delivery / AI-Led Dev corpus wave scoped for T282 with corpus boundary, seed source inventory, taxonomy, pattern structure, phased build plan, response-quality gates, AgentContextBroker binding rules, verifier/package script, and release record. Local QA passed: corpus:software-delivery-scope:verify, focused ESLint, release:check, and diff check. GitHub CI passed 25/25 checks. No corpus rows were authored or loaded.</t>
        </is>
      </c>
    </row>
    <row r="105">
      <c r="A105" s="18" t="inlineStr">
        <is>
          <t>T162</t>
        </is>
      </c>
      <c r="B105" s="18" t="inlineStr">
        <is>
          <t>Architecture</t>
        </is>
      </c>
      <c r="C105" s="18" t="inlineStr">
        <is>
          <t>Document per-customer Vercel deployment option (premium tier)</t>
        </is>
      </c>
      <c r="D105" s="18" t="inlineStr">
        <is>
          <t>For F500 clients demanding even tighter isolation: separate Vercel team per customer. Pricing: $XXk one-time + 30% uplift. Don't build until asked.</t>
        </is>
      </c>
      <c r="E105" s="49" t="inlineStr">
        <is>
          <t>P2</t>
        </is>
      </c>
      <c r="F105" s="39" t="inlineStr">
        <is>
          <t>2. CLAUDE DOES IT</t>
        </is>
      </c>
      <c r="G105" s="18" t="inlineStr">
        <is>
          <t>Anand</t>
        </is>
      </c>
      <c r="H105" s="18" t="inlineStr"/>
      <c r="I105" s="45" t="inlineStr">
        <is>
          <t>Claude (docs)</t>
        </is>
      </c>
      <c r="J105" s="52" t="inlineStr">
        <is>
          <t>$0</t>
        </is>
      </c>
      <c r="K105" s="84" t="inlineStr">
        <is>
          <t>Anytime</t>
        </is>
      </c>
      <c r="L105" s="44" t="inlineStr">
        <is>
          <t>Done</t>
        </is>
      </c>
      <c r="M105" s="18" t="inlineStr">
        <is>
          <t>Merged PR #2798 docs(architecture): document per-customer Vercel option. Added docs/architecture/VERCEL1_PER_CUSTOMER_VERCEL_OPTION.md and release record 2026-06-02-per-customer-vercel-option.md. CI green; corrected required-check config to exclude path-filtered contexts from universal branch protection.</t>
        </is>
      </c>
    </row>
    <row r="106">
      <c r="A106" s="18" t="inlineStr">
        <is>
          <t>T199</t>
        </is>
      </c>
      <c r="B106" s="18" t="inlineStr">
        <is>
          <t>Architecture</t>
        </is>
      </c>
      <c r="C106" s="18" t="inlineStr">
        <is>
          <t>'Use raw mode' escape hatch (Claude native PDF as last resort with cost warning)</t>
        </is>
      </c>
      <c r="D106" s="18" t="inlineStr">
        <is>
          <t>If parser garbles a doc, user can opt into raw mode with explicit cost warning ('this will use ~Xk tokens per chat turn'). Logged as a parser-bug ticket.</t>
        </is>
      </c>
      <c r="E106" s="49" t="inlineStr">
        <is>
          <t>P2</t>
        </is>
      </c>
      <c r="F106" s="39" t="inlineStr">
        <is>
          <t>2. CLAUDE DOES IT</t>
        </is>
      </c>
      <c r="G106" s="18" t="inlineStr">
        <is>
          <t>Anand</t>
        </is>
      </c>
      <c r="H106" s="18" t="inlineStr"/>
      <c r="I106" s="45" t="inlineStr">
        <is>
          <t>Claude (code)</t>
        </is>
      </c>
      <c r="J106" s="52" t="inlineStr">
        <is>
          <t>$0</t>
        </is>
      </c>
      <c r="K106" s="84" t="inlineStr">
        <is>
          <t>Anytime</t>
        </is>
      </c>
      <c r="L106" s="44" t="inlineStr">
        <is>
          <t>Partial</t>
        </is>
      </c>
      <c r="M106" s="18" t="inlineStr">
        <is>
          <t>2026-06-03: PR #2960 merged through protected flow at f120118d65da8f91912ca02d651bcbb785541eaa. Shared /api/chat/agent now consumes explicit AgentDock raw_mode_requested acknowledgements and can send stored PDF bytes to Claude native document input after PDF MIME, active-client storage-prefix, acknowledgement metadata match, byte ceiling, and downloaded byte-size checks. AgentDock docs updated. Local QA and GitHub checks passed. Keep In progress until authenticated object-storage and Anthropic native-document proof are captured.
2026-06-04: Architecture closure-control packet merged in #2996 (4a14d6e) with exact Done evidence required for this row; remains In progress until the live/external/production proof named in docs/architecture/ARCHITECTURE_CLOSURE_CONTROL_2026-06-04.md is captured. 2026-06-04: PR #3004 opened for Architecture live-evidence capture runbook/verifier/release record. It sequences the remaining 16 Architecture rows into identity/tenant substrate, upload/document processing, cost/ops, and external assurance waves with exact evidence folders, commands, redaction rules, and founder/external-action gates. Keep In progress until the row-specific live Azure/Clerk/Anthropic/status-provider/vendor evidence is captured. 2026-06-04: PR #3004 merged to main at 792be4ec with the Architecture live-evidence capture runbook, verifier, and release record. Keep In progress until the row-specific live Azure/Clerk/Anthropic/status-provider/vendor evidence is captured and attached.
2026-06-04 Wave 2 live evidence: Partial. Evidence: audit-artifacts/architecture/t199-raw-mode-escape-2026-06-04/SUMMARY.md. Raw-mode acknowledgement and attachment-contract tests passed. Gap: still need live stored-PDF retrieval, Anthropic native-document proof, visible cost warning proof, and uncommitted review result proof.</t>
        </is>
      </c>
    </row>
    <row r="107">
      <c r="A107" s="18" t="inlineStr">
        <is>
          <t>T045</t>
        </is>
      </c>
      <c r="B107" s="18" t="inlineStr">
        <is>
          <t>Architecture</t>
        </is>
      </c>
      <c r="C107" s="18" t="inlineStr">
        <is>
          <t>Plan for CMK/BYOK readiness (Azure Key Vault)</t>
        </is>
      </c>
      <c r="D107" s="18" t="inlineStr">
        <is>
          <t>Don't build until asked. Know the path.</t>
        </is>
      </c>
      <c r="E107" s="46" t="inlineStr">
        <is>
          <t>P3</t>
        </is>
      </c>
      <c r="F107" s="39" t="inlineStr">
        <is>
          <t>2. CLAUDE DOES IT</t>
        </is>
      </c>
      <c r="G107" s="18" t="inlineStr">
        <is>
          <t>Anand</t>
        </is>
      </c>
      <c r="H107" s="18" t="inlineStr"/>
      <c r="I107" s="45" t="inlineStr">
        <is>
          <t>Claude (plan doc)</t>
        </is>
      </c>
      <c r="J107" s="52" t="inlineStr">
        <is>
          <t>$0 (plan only)</t>
        </is>
      </c>
      <c r="K107" s="84" t="inlineStr">
        <is>
          <t>Anytime</t>
        </is>
      </c>
      <c r="L107" s="44" t="inlineStr">
        <is>
          <t>Done</t>
        </is>
      </c>
      <c r="M107" s="18" t="inlineStr">
        <is>
          <t>2026-06-03: Done. PR #2946 merged through the protected flow at ea9d5de6e59278aff5855b76b5d385f8943fdf85. Adds ADR-0012, docs/architecture/azure/CMK_BYOK_READINESS_PLAN.md, ADR index entry, InfoSec Accelerator EKM-02 links, and release record. Local QA passed: path audit, git diff --check, release:check; GitHub checks passed before merge.</t>
        </is>
      </c>
    </row>
    <row r="108">
      <c r="A108" s="18" t="inlineStr">
        <is>
          <t>T028</t>
        </is>
      </c>
      <c r="B108" s="18" t="inlineStr">
        <is>
          <t>Architecture</t>
        </is>
      </c>
      <c r="C108" s="18" t="inlineStr">
        <is>
          <t>Decide deployment model: client-tenant Azure (recommended)</t>
        </is>
      </c>
      <c r="D108" s="18" t="inlineStr">
        <is>
          <t>Client owns Azure account/billing. You have scoped contributor role.</t>
        </is>
      </c>
      <c r="E108" s="31" t="inlineStr">
        <is>
          <t>P0</t>
        </is>
      </c>
      <c r="F108" s="40" t="inlineStr">
        <is>
          <t>3. CLAUDE + YOU</t>
        </is>
      </c>
      <c r="G108" s="18" t="inlineStr">
        <is>
          <t>Anand</t>
        </is>
      </c>
      <c r="H108" s="18" t="inlineStr"/>
      <c r="I108" s="47" t="inlineStr">
        <is>
          <t>Claude + you</t>
        </is>
      </c>
      <c r="J108" s="52" t="inlineStr">
        <is>
          <t>$0</t>
        </is>
      </c>
      <c r="K108" s="84" t="inlineStr">
        <is>
          <t>Anytime</t>
        </is>
      </c>
      <c r="L108" s="44" t="inlineStr">
        <is>
          <t>Done</t>
        </is>
      </c>
      <c r="M108" s="18" t="inlineStr">
        <is>
          <t>2026-06-03: Closed by architecture/ops readiness pack; deployment model is documented via ADR-0007 and pack summary.</t>
        </is>
      </c>
    </row>
    <row r="109">
      <c r="A109" s="18" t="inlineStr">
        <is>
          <t>T046</t>
        </is>
      </c>
      <c r="B109" s="18" t="inlineStr">
        <is>
          <t>Architecture</t>
        </is>
      </c>
      <c r="C109" s="18" t="inlineStr">
        <is>
          <t>Document key-person risk + runbook commitment in SOW</t>
        </is>
      </c>
      <c r="D109" s="18" t="inlineStr">
        <is>
          <t>Caps your obligation. Plan for second engineer post-conversion.</t>
        </is>
      </c>
      <c r="E109" s="32" t="inlineStr">
        <is>
          <t>P1</t>
        </is>
      </c>
      <c r="F109" s="40" t="inlineStr">
        <is>
          <t>3. CLAUDE + YOU</t>
        </is>
      </c>
      <c r="G109" s="18" t="inlineStr">
        <is>
          <t>Anand</t>
        </is>
      </c>
      <c r="H109" s="18" t="inlineStr"/>
      <c r="I109" s="47" t="inlineStr">
        <is>
          <t>Claude + you (SOW lang)</t>
        </is>
      </c>
      <c r="J109" s="52" t="inlineStr">
        <is>
          <t>$0</t>
        </is>
      </c>
      <c r="K109" s="84" t="inlineStr">
        <is>
          <t>Anytime</t>
        </is>
      </c>
      <c r="L109" s="44" t="inlineStr">
        <is>
          <t>Done</t>
        </is>
      </c>
      <c r="M109" s="18" t="inlineStr">
        <is>
          <t>2026-06-03: Closed by docs/runbooks/key-person-risk-and-continuity.md.</t>
        </is>
      </c>
    </row>
    <row r="110">
      <c r="A110" s="18" t="inlineStr">
        <is>
          <t>T031</t>
        </is>
      </c>
      <c r="B110" s="18" t="inlineStr">
        <is>
          <t>Architecture</t>
        </is>
      </c>
      <c r="C110" s="18" t="inlineStr">
        <is>
          <t>Run external pen test ($8-15k via Cobalt or Bishop Fox)</t>
        </is>
      </c>
      <c r="D110" s="18" t="inlineStr">
        <is>
          <t>F500 will ask for the report. Schedule early — booking is 3-4 weeks out.</t>
        </is>
      </c>
      <c r="E110" s="31" t="inlineStr">
        <is>
          <t>P0</t>
        </is>
      </c>
      <c r="F110" s="42" t="inlineStr">
        <is>
          <t>5. EXTERNAL</t>
        </is>
      </c>
      <c r="G110" s="18" t="inlineStr">
        <is>
          <t>Anand</t>
        </is>
      </c>
      <c r="H110" s="18" t="inlineStr">
        <is>
          <t>T029</t>
        </is>
      </c>
      <c r="I110" s="48" t="inlineStr">
        <is>
          <t>3rd party: Cobalt/Bishop Fox</t>
        </is>
      </c>
      <c r="J110" s="51" t="inlineStr">
        <is>
          <t>$8-15k one-time, annual</t>
        </is>
      </c>
      <c r="K110" s="84" t="inlineStr">
        <is>
          <t>Anytime</t>
        </is>
      </c>
      <c r="L110" s="44" t="inlineStr">
        <is>
          <t>Blocked</t>
        </is>
      </c>
      <c r="M110" s="18" t="inlineStr">
        <is>
          <t>2026-06-03: PR #2951 merged through the main merge queue (merge commit 764b0f2b1d406edabda8249b3f0b7ecdffc949dd) for external pen-test readiness. Adds docs/security/EXTERNAL_PEN_TEST_READINESS_PACKET.md, docs/runbooks/external-penetration-test.md, and npm verifier security:pen-test-readiness:verify. Local QA and GitHub checks passed. Remaining before Done: select vendor, sign rules of engagement, complete external test, receive final report, remediate or accept critical/high findings, and capture retest evidence.
2026-06-04: Architecture closure-control packet merged in #2996 (4a14d6e) with exact Done evidence required for this row; remains In progress until the live/external/production proof named in docs/architecture/ARCHITECTURE_CLOSURE_CONTROL_2026-06-04.md is captured. 2026-06-04: PR #3004 opened for Architecture live-evidence capture runbook/verifier/release record. It sequences the remaining 16 Architecture rows into identity/tenant substrate, upload/document processing, cost/ops, and external assurance waves with exact evidence folders, commands, redaction rules, and founder/external-action gates. Keep In progress until the row-specific live Azure/Clerk/Anthropic/status-provider/vendor evidence is captured. 2026-06-04: PR #3004 merged to main at 792be4ec with the Architecture live-evidence capture runbook, verifier, and release record. Keep In progress until the row-specific live Azure/Clerk/Anthropic/status-provider/vendor evidence is captured and attached.
2026-06-04 Wave 4 evidence: Blocked. Evidence: audit-artifacts/architecture/t031-pen-test-scope-2026-06-04.md plus audit-artifacts/architecture/t031-pen-test-readiness-2026-06-04.txt. Pen-test readiness verifier passed and the exact founder booking scope is now documented. Human action: choose vendor, approve target environment and test accounts, execute the engagement, and capture the final report plus remediation/retest evidence.</t>
        </is>
      </c>
    </row>
    <row r="111">
      <c r="A111" s="18" t="inlineStr">
        <is>
          <t>T281</t>
        </is>
      </c>
      <c r="B111" s="18" t="inlineStr">
        <is>
          <t>Architecture</t>
        </is>
      </c>
      <c r="C111" s="18" t="inlineStr">
        <is>
          <t>Decide: should AbarVa build a 'Software Delivery / AI-Led Dev' corpus wave?</t>
        </is>
      </c>
      <c r="D111" s="18" t="inlineStr">
        <is>
          <t>6-12 weeks to author. Unlocks CTO-buyer TAM. Differentiates from generic AI platforms. Strategic question for founder, not engineer.</t>
        </is>
      </c>
      <c r="E111" s="31" t="inlineStr">
        <is>
          <t>P0</t>
        </is>
      </c>
      <c r="F111" s="42" t="inlineStr">
        <is>
          <t>5. EXTERNAL</t>
        </is>
      </c>
      <c r="G111" s="18" t="inlineStr">
        <is>
          <t>Anand</t>
        </is>
      </c>
      <c r="H111" s="18" t="inlineStr"/>
      <c r="I111" s="48" t="inlineStr">
        <is>
          <t>You only (strategic decision)</t>
        </is>
      </c>
      <c r="J111" s="52" t="inlineStr">
        <is>
          <t>$0</t>
        </is>
      </c>
      <c r="K111" s="84" t="inlineStr">
        <is>
          <t>Anytime</t>
        </is>
      </c>
      <c r="L111" s="44" t="inlineStr">
        <is>
          <t>Done</t>
        </is>
      </c>
      <c r="M111" s="18" t="inlineStr">
        <is>
          <t>PR #2928 merged 2026-06-03 (merge commit 89c2e7ebc45c2fbed956968748b92ed4a057b3e5): ADR-0010 accepts the Software Delivery / AI-Led Dev corpus wave decision for T281, updates the ADR index, adds a focused verifier/package script, and adds a release record. Local QA passed: architecture:software-delivery-corpus-decision:verify, focused ESLint, release:check, and diff check. GitHub CI passed 25/25 checks. T282 remains the follow-on scope/implementation item; no corpus rows were loaded.</t>
        </is>
      </c>
    </row>
    <row r="112">
      <c r="A112" s="18" t="inlineStr">
        <is>
          <t>T038</t>
        </is>
      </c>
      <c r="B112" s="18" t="inlineStr">
        <is>
          <t>Architecture</t>
        </is>
      </c>
      <c r="C112" s="18" t="inlineStr">
        <is>
          <t>Set weekly maintenance window + release notes cadence</t>
        </is>
      </c>
      <c r="D112" s="18" t="inlineStr">
        <is>
          <t>E.g., Sat 8pm ET. Friday release notes even when 'nothing changed'.</t>
        </is>
      </c>
      <c r="E112" s="32" t="inlineStr">
        <is>
          <t>P1</t>
        </is>
      </c>
      <c r="F112" s="42" t="inlineStr">
        <is>
          <t>5. EXTERNAL</t>
        </is>
      </c>
      <c r="G112" s="18" t="inlineStr">
        <is>
          <t>Anand</t>
        </is>
      </c>
      <c r="H112" s="18" t="inlineStr"/>
      <c r="I112" s="48" t="inlineStr">
        <is>
          <t>You only</t>
        </is>
      </c>
      <c r="J112" s="52" t="inlineStr">
        <is>
          <t>$0</t>
        </is>
      </c>
      <c r="K112" s="84" t="inlineStr">
        <is>
          <t>Anytime</t>
        </is>
      </c>
      <c r="L112" s="44" t="inlineStr">
        <is>
          <t>Done</t>
        </is>
      </c>
      <c r="M112" s="18" t="inlineStr">
        <is>
          <t>Merged in PR #2733: release cadence runbook defines maintenance window, weekly release notes, emergency release checklist, and release evidence.</t>
        </is>
      </c>
    </row>
    <row r="113">
      <c r="A113" s="18" t="inlineStr">
        <is>
          <t>T039</t>
        </is>
      </c>
      <c r="B113" s="18" t="inlineStr">
        <is>
          <t>Architecture</t>
        </is>
      </c>
      <c r="C113" s="18" t="inlineStr">
        <is>
          <t>Run rollback drill — document the runbook</t>
        </is>
      </c>
      <c r="D113" s="18" t="inlineStr">
        <is>
          <t>F500 procurement will ask. Do it once before pilot.</t>
        </is>
      </c>
      <c r="E113" s="32" t="inlineStr">
        <is>
          <t>P1</t>
        </is>
      </c>
      <c r="F113" s="42" t="inlineStr">
        <is>
          <t>5. EXTERNAL</t>
        </is>
      </c>
      <c r="G113" s="18" t="inlineStr">
        <is>
          <t>Anand</t>
        </is>
      </c>
      <c r="H113" s="18" t="inlineStr">
        <is>
          <t>T029</t>
        </is>
      </c>
      <c r="I113" s="48" t="inlineStr">
        <is>
          <t>You only</t>
        </is>
      </c>
      <c r="J113" s="52" t="inlineStr">
        <is>
          <t>$0</t>
        </is>
      </c>
      <c r="K113" s="84" t="inlineStr">
        <is>
          <t>Anytime</t>
        </is>
      </c>
      <c r="L113" s="44" t="inlineStr">
        <is>
          <t>Done</t>
        </is>
      </c>
      <c r="M113" s="18" t="inlineStr">
        <is>
          <t>Done 2026-06-03: PR #2967 merged at 7160ee138d2d7cc284d7a0718533adb71a9d387e with dry rollback tabletop evidence for AI-egress usage-cap enforcement, last-known-good commit, rollback method, validation commands, owner model, client communication path, runbook pointer, release record, and green CI. Vercel deployment integration remains tracked separately, but T039 rollback drill/runbook evidence is complete.</t>
        </is>
      </c>
    </row>
    <row r="114">
      <c r="A114" s="18" t="inlineStr">
        <is>
          <t>T163</t>
        </is>
      </c>
      <c r="B114" s="18" t="inlineStr">
        <is>
          <t>Architecture</t>
        </is>
      </c>
      <c r="C114" s="18" t="inlineStr">
        <is>
          <t>Validate Marketplace + Azure-routed Claude story (no Vercel migration needed)</t>
        </is>
      </c>
      <c r="D114" s="18" t="inlineStr">
        <is>
          <t>Confirm with Microsoft: Marketplace listing supports MACC even when SaaS runs on Vercel. Get written confirmation.</t>
        </is>
      </c>
      <c r="E114" s="32" t="inlineStr">
        <is>
          <t>P1</t>
        </is>
      </c>
      <c r="F114" s="42" t="inlineStr">
        <is>
          <t>5. EXTERNAL</t>
        </is>
      </c>
      <c r="G114" s="18" t="inlineStr">
        <is>
          <t>Anand</t>
        </is>
      </c>
      <c r="H114" s="18" t="inlineStr"/>
      <c r="I114" s="48" t="inlineStr">
        <is>
          <t>You only + Microsoft contact</t>
        </is>
      </c>
      <c r="J114" s="52" t="inlineStr">
        <is>
          <t>$0</t>
        </is>
      </c>
      <c r="K114" s="84" t="inlineStr">
        <is>
          <t>Anytime</t>
        </is>
      </c>
      <c r="L114" s="44" t="inlineStr">
        <is>
          <t>Done</t>
        </is>
      </c>
      <c r="M114" s="18" t="inlineStr">
        <is>
          <t>Merged PR #2799 docs(architecture): validate Azure-routed Claude story. Added docs/architecture/MODEL1_AZURE_CLAUDE_ROUTE_VALIDATION.md and release record 2026-06-02-azure-claude-route-validation.md. Validated current primary-source Microsoft Foundry/Azure Marketplace/Vercel facts; CI green on rebased head; branch deleted.</t>
        </is>
      </c>
    </row>
    <row r="115">
      <c r="A115" s="18" t="inlineStr">
        <is>
          <t>T002</t>
        </is>
      </c>
      <c r="B115" s="18" t="inlineStr">
        <is>
          <t>Business Setup</t>
        </is>
      </c>
      <c r="C115" s="18" t="inlineStr">
        <is>
          <t>File 83(b) election within 30 days of incorporation</t>
        </is>
      </c>
      <c r="D115" s="18" t="inlineStr">
        <is>
          <t>Miss this and you pay tax on every vest. Atlas/Clerky walk you through it.</t>
        </is>
      </c>
      <c r="E115" s="31" t="inlineStr">
        <is>
          <t>P0</t>
        </is>
      </c>
      <c r="F115" s="38" t="inlineStr">
        <is>
          <t>1. QUICK WIN</t>
        </is>
      </c>
      <c r="G115" s="18" t="inlineStr">
        <is>
          <t>Anand</t>
        </is>
      </c>
      <c r="H115" s="18" t="inlineStr">
        <is>
          <t>T001</t>
        </is>
      </c>
      <c r="I115" s="43" t="inlineStr">
        <is>
          <t>Self-serve (via Atlas/Clerky)</t>
        </is>
      </c>
      <c r="J115" s="52" t="inlineStr">
        <is>
          <t>$0</t>
        </is>
      </c>
      <c r="K115" s="82" t="inlineStr">
        <is>
          <t>Pre-Resign</t>
        </is>
      </c>
      <c r="L115" s="44" t="inlineStr">
        <is>
          <t>In progress</t>
        </is>
      </c>
      <c r="M115" s="18" t="inlineStr">
        <is>
          <t>In progress - 83(b) filing workflow and hard evidence gate captured. Done requires signed 83(b) and certified-mail/proof evidence after stock grant. Evidence: /Users/anand/Downloads/abarva-founder-legal-readiness/FOUNDER_LEGAL_ACTION_REGISTER_2026-06-04.xlsx; index: /Users/anand/Downloads/abarva-founder-legal-readiness/FOUNDER_LEGAL_READINESS_INDEX_2026-06-04.md.</t>
        </is>
      </c>
    </row>
    <row r="116">
      <c r="A116" s="18" t="inlineStr">
        <is>
          <t>T003</t>
        </is>
      </c>
      <c r="B116" s="18" t="inlineStr">
        <is>
          <t>Business Setup</t>
        </is>
      </c>
      <c r="C116" s="18" t="inlineStr">
        <is>
          <t>Get EIN + open Mercury or Brex business banking</t>
        </is>
      </c>
      <c r="D116" s="18" t="inlineStr">
        <is>
          <t>Same-day after incorporation. Amex business card.</t>
        </is>
      </c>
      <c r="E116" s="31" t="inlineStr">
        <is>
          <t>P0</t>
        </is>
      </c>
      <c r="F116" s="38" t="inlineStr">
        <is>
          <t>1. QUICK WIN</t>
        </is>
      </c>
      <c r="G116" s="18" t="inlineStr">
        <is>
          <t>Anand</t>
        </is>
      </c>
      <c r="H116" s="18" t="inlineStr">
        <is>
          <t>T001</t>
        </is>
      </c>
      <c r="I116" s="43" t="inlineStr">
        <is>
          <t>Self-serve (auto via Atlas)</t>
        </is>
      </c>
      <c r="J116" s="52" t="inlineStr">
        <is>
          <t>$0</t>
        </is>
      </c>
      <c r="K116" s="82" t="inlineStr">
        <is>
          <t>Pre-Resign</t>
        </is>
      </c>
      <c r="L116" s="44" t="inlineStr">
        <is>
          <t>In progress</t>
        </is>
      </c>
      <c r="M116" s="18" t="inlineStr">
        <is>
          <t>In progress - EIN/banking workflow and evidence gate captured. Done requires EIN confirmation and bank account proof. Evidence: /Users/anand/Downloads/abarva-founder-legal-readiness/FOUNDER_LEGAL_ACTION_REGISTER_2026-06-04.xlsx; index: /Users/anand/Downloads/abarva-founder-legal-readiness/FOUNDER_LEGAL_READINESS_INDEX_2026-06-04.md.</t>
        </is>
      </c>
    </row>
    <row r="117">
      <c r="A117" s="18" t="inlineStr">
        <is>
          <t>T004</t>
        </is>
      </c>
      <c r="B117" s="18" t="inlineStr">
        <is>
          <t>Business Setup</t>
        </is>
      </c>
      <c r="C117" s="18" t="inlineStr">
        <is>
          <t>Foreign qualification in home state (if not Delaware)</t>
        </is>
      </c>
      <c r="D117" s="18" t="inlineStr">
        <is>
          <t>Register your DE C-Corp to do business in the state where you live/work. Required if nexus. ~$100-300.</t>
        </is>
      </c>
      <c r="E117" s="31" t="inlineStr">
        <is>
          <t>P0</t>
        </is>
      </c>
      <c r="F117" s="38" t="inlineStr">
        <is>
          <t>1. QUICK WIN</t>
        </is>
      </c>
      <c r="G117" s="18" t="inlineStr">
        <is>
          <t>Anand</t>
        </is>
      </c>
      <c r="H117" s="18" t="inlineStr">
        <is>
          <t>T001</t>
        </is>
      </c>
      <c r="I117" s="43" t="inlineStr">
        <is>
          <t>Self-serve</t>
        </is>
      </c>
      <c r="J117" s="51" t="inlineStr">
        <is>
          <t>$100-300 one-time</t>
        </is>
      </c>
      <c r="K117" s="82" t="inlineStr">
        <is>
          <t>Pre-Resign</t>
        </is>
      </c>
      <c r="L117" s="44" t="inlineStr">
        <is>
          <t>In progress</t>
        </is>
      </c>
      <c r="M117" s="18" t="inlineStr">
        <is>
          <t>In progress - foreign-qualification decision workflow captured. Done requires filing receipt or CPA/counsel no-filing memo. Evidence: /Users/anand/Downloads/abarva-founder-legal-readiness/FOUNDER_LEGAL_ACTION_REGISTER_2026-06-04.xlsx; index: /Users/anand/Downloads/abarva-founder-legal-readiness/FOUNDER_LEGAL_READINESS_INDEX_2026-06-04.md.</t>
        </is>
      </c>
    </row>
    <row r="118">
      <c r="A118" s="18" t="inlineStr">
        <is>
          <t>T135</t>
        </is>
      </c>
      <c r="B118" s="18" t="inlineStr">
        <is>
          <t>Business Setup</t>
        </is>
      </c>
      <c r="C118" s="18" t="inlineStr">
        <is>
          <t>Document the C Corp decision (entity choice memo)</t>
        </is>
      </c>
      <c r="D118" s="18" t="inlineStr">
        <is>
          <t>DECIDED: Delaware C Corp. 1-page memo: rationale (QSBS, fundraise optionality, F500 procurement, stock options for hires). Reference CPA confirmation. Stored with corp records.</t>
        </is>
      </c>
      <c r="E118" s="31" t="inlineStr">
        <is>
          <t>P0</t>
        </is>
      </c>
      <c r="F118" s="38" t="inlineStr">
        <is>
          <t>1. QUICK WIN</t>
        </is>
      </c>
      <c r="G118" s="18" t="inlineStr">
        <is>
          <t>Anand</t>
        </is>
      </c>
      <c r="H118" s="18" t="inlineStr">
        <is>
          <t>T012</t>
        </is>
      </c>
      <c r="I118" s="43" t="inlineStr">
        <is>
          <t>Claude (draft)</t>
        </is>
      </c>
      <c r="J118" s="52" t="inlineStr">
        <is>
          <t>$0</t>
        </is>
      </c>
      <c r="K118" s="84" t="inlineStr">
        <is>
          <t>Anytime</t>
        </is>
      </c>
      <c r="L118" s="44" t="inlineStr">
        <is>
          <t>Done</t>
        </is>
      </c>
      <c r="M118" s="18" t="inlineStr">
        <is>
          <t>Done - docs/legal/entity-choice-c-corp-memo.md; external counsel/CPA remains final authority.</t>
        </is>
      </c>
    </row>
    <row r="119">
      <c r="A119" s="18" t="inlineStr">
        <is>
          <t>T009</t>
        </is>
      </c>
      <c r="B119" s="18" t="inlineStr">
        <is>
          <t>Business Setup</t>
        </is>
      </c>
      <c r="C119" s="18" t="inlineStr">
        <is>
          <t>Lock domains: abarva.com, .ai, .io</t>
        </is>
      </c>
      <c r="D119" s="18" t="inlineStr">
        <is>
          <t>Defensive purchases.</t>
        </is>
      </c>
      <c r="E119" s="32" t="inlineStr">
        <is>
          <t>P1</t>
        </is>
      </c>
      <c r="F119" s="38" t="inlineStr">
        <is>
          <t>1. QUICK WIN</t>
        </is>
      </c>
      <c r="G119" s="18" t="inlineStr">
        <is>
          <t>Anand</t>
        </is>
      </c>
      <c r="H119" s="18" t="inlineStr"/>
      <c r="I119" s="43" t="inlineStr">
        <is>
          <t>Self-serve (Namecheap)</t>
        </is>
      </c>
      <c r="J119" s="51" t="inlineStr">
        <is>
          <t>$30-50/yr</t>
        </is>
      </c>
      <c r="K119" s="82" t="inlineStr">
        <is>
          <t>Pre-Resign</t>
        </is>
      </c>
      <c r="L119" s="44" t="inlineStr">
        <is>
          <t>In progress</t>
        </is>
      </c>
      <c r="M119" s="18" t="inlineStr">
        <is>
          <t>In progress - domain-control workflow captured. Done requires registrar ownership/MFA/renewal evidence. Evidence: /Users/anand/Downloads/abarva-founder-legal-readiness/FOUNDER_LEGAL_ACTION_REGISTER_2026-06-04.xlsx; index: /Users/anand/Downloads/abarva-founder-legal-readiness/FOUNDER_LEGAL_READINESS_INDEX_2026-06-04.md.</t>
        </is>
      </c>
    </row>
    <row r="120">
      <c r="A120" s="18" t="inlineStr">
        <is>
          <t>T008</t>
        </is>
      </c>
      <c r="B120" s="18" t="inlineStr">
        <is>
          <t>Business Setup</t>
        </is>
      </c>
      <c r="C120" s="18" t="inlineStr">
        <is>
          <t>Trademark 'AbarVa' with USPTO</t>
        </is>
      </c>
      <c r="D120" s="18" t="inlineStr">
        <is>
          <t>~$350 filing fee. Defensive.</t>
        </is>
      </c>
      <c r="E120" s="49" t="inlineStr">
        <is>
          <t>P2</t>
        </is>
      </c>
      <c r="F120" s="38" t="inlineStr">
        <is>
          <t>1. QUICK WIN</t>
        </is>
      </c>
      <c r="G120" s="18" t="inlineStr">
        <is>
          <t>Anand</t>
        </is>
      </c>
      <c r="H120" s="18" t="inlineStr">
        <is>
          <t>T001</t>
        </is>
      </c>
      <c r="I120" s="43" t="inlineStr">
        <is>
          <t>Self-serve (USPTO TEAS) + Claude</t>
        </is>
      </c>
      <c r="J120" s="51" t="inlineStr">
        <is>
          <t>$350 one-time (USPTO)</t>
        </is>
      </c>
      <c r="K120" s="83" t="inlineStr">
        <is>
          <t>Post-Resign</t>
        </is>
      </c>
      <c r="L120" s="44" t="inlineStr">
        <is>
          <t>In progress</t>
        </is>
      </c>
      <c r="M120" s="18" t="inlineStr">
        <is>
          <t>In progress - trademark filing workflow captured. Done requires counsel search and USPTO filing receipt or documented defer rationale. Evidence: /Users/anand/Downloads/abarva-founder-legal-readiness/FOUNDER_LEGAL_ACTION_REGISTER_2026-06-04.xlsx; index: /Users/anand/Downloads/abarva-founder-legal-readiness/FOUNDER_LEGAL_READINESS_INDEX_2026-06-04.md.</t>
        </is>
      </c>
    </row>
    <row r="121">
      <c r="A121" s="18" t="inlineStr">
        <is>
          <t>T005</t>
        </is>
      </c>
      <c r="B121" s="18" t="inlineStr">
        <is>
          <t>Business Setup</t>
        </is>
      </c>
      <c r="C121" s="18" t="inlineStr">
        <is>
          <t>Founder employment agreement + IP assignment to AbarVa</t>
        </is>
      </c>
      <c r="D121" s="18" t="inlineStr">
        <is>
          <t>Assigns all pre-existing AbarVa IP to the company. Cleans up diligence.</t>
        </is>
      </c>
      <c r="E121" s="31" t="inlineStr">
        <is>
          <t>P0</t>
        </is>
      </c>
      <c r="F121" s="41" t="inlineStr">
        <is>
          <t>4. CLAUDE + PRO</t>
        </is>
      </c>
      <c r="G121" s="18" t="inlineStr">
        <is>
          <t>Anand</t>
        </is>
      </c>
      <c r="H121" s="18" t="inlineStr">
        <is>
          <t>T001</t>
        </is>
      </c>
      <c r="I121" s="50" t="inlineStr">
        <is>
          <t>Claude + lawyer</t>
        </is>
      </c>
      <c r="J121" s="51" t="inlineStr">
        <is>
          <t>$500 (lawyer)</t>
        </is>
      </c>
      <c r="K121" s="82" t="inlineStr">
        <is>
          <t>Pre-Resign</t>
        </is>
      </c>
      <c r="L121" s="44" t="inlineStr">
        <is>
          <t>In progress</t>
        </is>
      </c>
      <c r="M121" s="18" t="inlineStr">
        <is>
          <t>[2026-06-10] Founder legal names for IP assignment: Anand Shanmugasundaram (CEO), Abarna Sivarajan. Draft ready to execute post-incorporation.  ||  2026-06-03 update: PR #2979 opened for repo-controlled Business Setup Readiness Packet covering founder employment, IP assignment, counsel review inputs, executed-agreement evidence rules, and tracker status discipline. Keep In progress until founder/IP agreements are counsel-approved, signed, and saved in company records.</t>
        </is>
      </c>
    </row>
    <row r="122">
      <c r="A122" s="18" t="inlineStr">
        <is>
          <t>T010</t>
        </is>
      </c>
      <c r="B122" s="18" t="inlineStr">
        <is>
          <t>Business Setup</t>
        </is>
      </c>
      <c r="C122" s="18" t="inlineStr">
        <is>
          <t>Publish Privacy Policy, ToS, Acceptable Use Policy</t>
        </is>
      </c>
      <c r="D122" s="18" t="inlineStr">
        <is>
          <t>Termly/Iubenda starter then lawyer review. Required for security review.</t>
        </is>
      </c>
      <c r="E122" s="32" t="inlineStr">
        <is>
          <t>P1</t>
        </is>
      </c>
      <c r="F122" s="41" t="inlineStr">
        <is>
          <t>4. CLAUDE + PRO</t>
        </is>
      </c>
      <c r="G122" s="18" t="inlineStr">
        <is>
          <t>Anand</t>
        </is>
      </c>
      <c r="H122" s="18" t="inlineStr"/>
      <c r="I122" s="50" t="inlineStr">
        <is>
          <t>Claude + lawyer</t>
        </is>
      </c>
      <c r="J122" s="51" t="inlineStr">
        <is>
          <t>$500 (lawyer review)</t>
        </is>
      </c>
      <c r="K122" s="83" t="inlineStr">
        <is>
          <t>Post-Resign</t>
        </is>
      </c>
      <c r="L122" s="44" t="inlineStr">
        <is>
          <t>In progress</t>
        </is>
      </c>
      <c r="M122" s="18" t="inlineStr">
        <is>
          <t>2026-06-03 update: PR #2979 opened for Business Setup Readiness Packet with Privacy Policy, ToS, AUP, and AI Use Notice starter outline. Keep In progress until counsel approves and public URLs/version evidence are saved.</t>
        </is>
      </c>
    </row>
    <row r="123">
      <c r="A123" s="18" t="inlineStr">
        <is>
          <t>T001</t>
        </is>
      </c>
      <c r="B123" s="18" t="inlineStr">
        <is>
          <t>Business Setup</t>
        </is>
      </c>
      <c r="C123" s="18" t="inlineStr">
        <is>
          <t>Incorporate AbarVa (Delaware C-Corp)</t>
        </is>
      </c>
      <c r="D123" s="18" t="inlineStr">
        <is>
          <t>Use Stripe Atlas (~$500) or Clerky (~$800). DE C-Corp keeps VC option open.</t>
        </is>
      </c>
      <c r="E123" s="31" t="inlineStr">
        <is>
          <t>P0</t>
        </is>
      </c>
      <c r="F123" s="42" t="inlineStr">
        <is>
          <t>5. EXTERNAL</t>
        </is>
      </c>
      <c r="G123" s="18" t="inlineStr">
        <is>
          <t>Anand</t>
        </is>
      </c>
      <c r="H123" s="18" t="inlineStr">
        <is>
          <t>T012</t>
        </is>
      </c>
      <c r="I123" s="48" t="inlineStr">
        <is>
          <t>3rd party: Atlas/Clerky</t>
        </is>
      </c>
      <c r="J123" s="51" t="inlineStr">
        <is>
          <t>$500 one-time (Atlas)</t>
        </is>
      </c>
      <c r="K123" s="82" t="inlineStr">
        <is>
          <t>Pre-Resign</t>
        </is>
      </c>
      <c r="L123" s="44" t="inlineStr">
        <is>
          <t>In progress</t>
        </is>
      </c>
      <c r="M123" s="18" t="inlineStr">
        <is>
          <t>[2026-06-10] Stripe Atlas formation SUBMITTED — Abarva, Inc. (DE C-Corp). Founders: Anand Shanmugasundaram 60% (CEO, controlling, day-to-day) / Abarna Sivarajan 40% (non-operating). Awaiting co-founder signatures + incorporation (~1-2 biz days). Business/registered address via Stable: 8080 Westpark Drive STE 93438, Houston TX 77063 (TX nexus).  ||  In progress - founder/legal action register created with formation owner, dependencies, definition of done, and evidence gate. Done requires filed Delaware C-Corp proof. Evidence: /Users/anand/Downloads/abarva-founder-legal-readiness/FOUNDER_LEGAL_ACTION_REGISTER_2026-06-04.xlsx; index: /Users/anand/Downloads/abarva-founder-legal-readiness/FOUNDER_LEGAL_READINESS_INDEX_2026-06-04.md.</t>
        </is>
      </c>
    </row>
    <row r="124">
      <c r="A124" s="18" t="inlineStr">
        <is>
          <t>T006</t>
        </is>
      </c>
      <c r="B124" s="18" t="inlineStr">
        <is>
          <t>Business Setup</t>
        </is>
      </c>
      <c r="C124" s="18" t="inlineStr">
        <is>
          <t>Engage tech lawyer for MSA/SOW template + first-deal review</t>
        </is>
      </c>
      <c r="D124" s="18" t="inlineStr">
        <is>
          <t>Cooley GO, Gunderson, or solo via Lawtrades. ~$5-10k all-in.</t>
        </is>
      </c>
      <c r="E124" s="31" t="inlineStr">
        <is>
          <t>P0</t>
        </is>
      </c>
      <c r="F124" s="42" t="inlineStr">
        <is>
          <t>5. EXTERNAL</t>
        </is>
      </c>
      <c r="G124" s="18" t="inlineStr">
        <is>
          <t>Anand</t>
        </is>
      </c>
      <c r="H124" s="18" t="inlineStr"/>
      <c r="I124" s="48" t="inlineStr">
        <is>
          <t>You only</t>
        </is>
      </c>
      <c r="J124" s="51" t="inlineStr">
        <is>
          <t>$5-10k initial</t>
        </is>
      </c>
      <c r="K124" s="82" t="inlineStr">
        <is>
          <t>Pre-Resign</t>
        </is>
      </c>
      <c r="L124" s="44" t="inlineStr">
        <is>
          <t>In progress</t>
        </is>
      </c>
      <c r="M124" s="18" t="inlineStr">
        <is>
          <t>2026-06-03 update: PR #2979 opened for Business Setup Readiness Packet with counsel engagement scope, intake areas, and evidence rules. Keep In progress until a tech lawyer engagement letter is signed and counsel owner/scope are saved.</t>
        </is>
      </c>
    </row>
    <row r="125">
      <c r="A125" s="18" t="inlineStr">
        <is>
          <t>T007</t>
        </is>
      </c>
      <c r="B125" s="18" t="inlineStr">
        <is>
          <t>Business Setup</t>
        </is>
      </c>
      <c r="C125" s="18" t="inlineStr">
        <is>
          <t>Quote + bind cyber/E&amp;O + general liability insurance</t>
        </is>
      </c>
      <c r="D125" s="18" t="inlineStr">
        <is>
          <t>Vouch / Founder Shield / Embroker. $2-5M each. Bind 1-2 weeks BEFORE signing.</t>
        </is>
      </c>
      <c r="E125" s="31" t="inlineStr">
        <is>
          <t>P0</t>
        </is>
      </c>
      <c r="F125" s="42" t="inlineStr">
        <is>
          <t>5. EXTERNAL</t>
        </is>
      </c>
      <c r="G125" s="18" t="inlineStr">
        <is>
          <t>Anand</t>
        </is>
      </c>
      <c r="H125" s="18" t="inlineStr">
        <is>
          <t>T001</t>
        </is>
      </c>
      <c r="I125" s="48" t="inlineStr">
        <is>
          <t>3rd party: Vouch/Embroker</t>
        </is>
      </c>
      <c r="J125" s="51" t="inlineStr">
        <is>
          <t>$3-8k/yr</t>
        </is>
      </c>
      <c r="K125" s="82" t="inlineStr">
        <is>
          <t>Pre-Resign</t>
        </is>
      </c>
      <c r="L125" s="44" t="inlineStr">
        <is>
          <t>In progress</t>
        </is>
      </c>
      <c r="M125" s="18" t="inlineStr">
        <is>
          <t>[2026-06-10] Vouch quote obtained (business type=SaaS). Selected 'Requested' pkg $286.61/mo (~$3,439/yr): GL $2M, Cyber $2M, E&amp;O $1M (+ verify AI/D&amp;O lines). BIND DEFERRED to ~1-2 wks before PHS/Morgan SOW; at bind match COI + additional-insured + waiver-of-subrogation + HIPAA/PHI cyber to client paper. Embroker comparison quote pending.  ||  2026-06-03 update: PR #2979 opened for Business Setup Readiness Packet with cyber/E&amp;O/general-liability broker intake and evidence checklist. Keep In progress until quote/binder/policy evidence is saved.</t>
        </is>
      </c>
    </row>
    <row r="126">
      <c r="A126" s="18" t="inlineStr">
        <is>
          <t>T012</t>
        </is>
      </c>
      <c r="B126" s="18" t="inlineStr">
        <is>
          <t>Business Setup</t>
        </is>
      </c>
      <c r="C126" s="18" t="inlineStr">
        <is>
          <t>CPA pre-incorporation consult: S-elect timing + comp split + home state</t>
        </is>
      </c>
      <c r="D126" s="18" t="inlineStr">
        <is>
          <t>DE C Corp is decided. CPA models: S-Corp election timing for early low-profit years, salary vs distribution split, home-state nexus tax. ~1hr consult.</t>
        </is>
      </c>
      <c r="E126" s="31" t="inlineStr">
        <is>
          <t>P0</t>
        </is>
      </c>
      <c r="F126" s="42" t="inlineStr">
        <is>
          <t>5. EXTERNAL</t>
        </is>
      </c>
      <c r="G126" s="18" t="inlineStr">
        <is>
          <t>Anand</t>
        </is>
      </c>
      <c r="H126" s="18" t="inlineStr">
        <is>
          <t>T001</t>
        </is>
      </c>
      <c r="I126" s="48" t="inlineStr">
        <is>
          <t>3rd party</t>
        </is>
      </c>
      <c r="J126" s="51" t="inlineStr">
        <is>
          <t>$300-500 one-time consult</t>
        </is>
      </c>
      <c r="K126" s="82" t="inlineStr">
        <is>
          <t>Pre-Resign</t>
        </is>
      </c>
      <c r="L126" s="44" t="inlineStr">
        <is>
          <t>In progress</t>
        </is>
      </c>
      <c r="M126" s="18" t="inlineStr">
        <is>
          <t>2026-06-03 update: PR #2979 opened for Business Setup Readiness Packet with CPA consult agenda covering tax posture, compensation timing, state tax, R&amp;D credit documentation, and accounting setup. Keep In progress until CPA memo/email and decisions are saved.</t>
        </is>
      </c>
    </row>
    <row r="127">
      <c r="A127" s="18" t="inlineStr">
        <is>
          <t>T013</t>
        </is>
      </c>
      <c r="B127" s="18" t="inlineStr">
        <is>
          <t>Business Setup</t>
        </is>
      </c>
      <c r="C127" s="18" t="inlineStr">
        <is>
          <t>Start SOC 2 Type 1 with Vanta or Drata</t>
        </is>
      </c>
      <c r="D127" s="18" t="inlineStr">
        <is>
          <t>~$15-25k/yr platform + $10-20k auditor. ~6-8 weeks to Type 1.</t>
        </is>
      </c>
      <c r="E127" s="31" t="inlineStr">
        <is>
          <t>P0</t>
        </is>
      </c>
      <c r="F127" s="42" t="inlineStr">
        <is>
          <t>5. EXTERNAL</t>
        </is>
      </c>
      <c r="G127" s="18" t="inlineStr">
        <is>
          <t>Anand</t>
        </is>
      </c>
      <c r="H127" s="18" t="inlineStr">
        <is>
          <t>T001</t>
        </is>
      </c>
      <c r="I127" s="48" t="inlineStr">
        <is>
          <t>3rd party: Vanta/Drata</t>
        </is>
      </c>
      <c r="J127" s="51" t="inlineStr">
        <is>
          <t>$15-25k/yr (Vanta) + $10-20k (auditor); discount avail</t>
        </is>
      </c>
      <c r="K127" s="82" t="inlineStr">
        <is>
          <t>Pre-Resign</t>
        </is>
      </c>
      <c r="L127" s="44" t="inlineStr">
        <is>
          <t>In progress</t>
        </is>
      </c>
      <c r="M127" s="18" t="inlineStr">
        <is>
          <t>2026-06-03 update: PR #2979 opened for Business Setup Readiness Packet with SOC 2 Type 1 launch checklist, control owners, evidence system, and vendor/auditor setup requirements. Keep In progress until SOC 2 workspace/auditor plan/control-owner evidence exists.</t>
        </is>
      </c>
    </row>
    <row r="128">
      <c r="A128" s="18" t="inlineStr">
        <is>
          <t>T011</t>
        </is>
      </c>
      <c r="B128" s="18" t="inlineStr">
        <is>
          <t>Business Setup</t>
        </is>
      </c>
      <c r="C128" s="18" t="inlineStr">
        <is>
          <t>Set up bookkeeping (Pilot.com or Bench)</t>
        </is>
      </c>
      <c r="D128" s="18" t="inlineStr">
        <is>
          <t>$300-600/mo. Don't DIY books once you're invoicing $300k+.</t>
        </is>
      </c>
      <c r="E128" s="32" t="inlineStr">
        <is>
          <t>P1</t>
        </is>
      </c>
      <c r="F128" s="42" t="inlineStr">
        <is>
          <t>5. EXTERNAL</t>
        </is>
      </c>
      <c r="G128" s="18" t="inlineStr">
        <is>
          <t>Anand</t>
        </is>
      </c>
      <c r="H128" s="18" t="inlineStr">
        <is>
          <t>T001</t>
        </is>
      </c>
      <c r="I128" s="48" t="inlineStr">
        <is>
          <t>3rd party: Pilot/Bench</t>
        </is>
      </c>
      <c r="J128" s="51" t="inlineStr">
        <is>
          <t>$300-600/mo</t>
        </is>
      </c>
      <c r="K128" s="82" t="inlineStr">
        <is>
          <t>Pre-Resign</t>
        </is>
      </c>
      <c r="L128" s="44" t="inlineStr">
        <is>
          <t>In progress</t>
        </is>
      </c>
      <c r="M128" s="18" t="inlineStr">
        <is>
          <t>2026-06-03 update: PR #2979 opened for Business Setup Readiness Packet with bookkeeping setup, chart-of-accounts, receipt capture, and monthly close evidence rules. Keep In progress until provider/system setup and first close checklist are saved.</t>
        </is>
      </c>
    </row>
    <row r="129">
      <c r="A129" s="18" t="inlineStr">
        <is>
          <t>T014</t>
        </is>
      </c>
      <c r="B129" s="18" t="inlineStr">
        <is>
          <t>Business Setup</t>
        </is>
      </c>
      <c r="C129" s="18" t="inlineStr">
        <is>
          <t>Schedule SOC 2 Type 2 observation start</t>
        </is>
      </c>
      <c r="D129" s="18" t="inlineStr">
        <is>
          <t>3-6 month observation. Start clock so done by month 9 of year-1.</t>
        </is>
      </c>
      <c r="E129" s="32" t="inlineStr">
        <is>
          <t>P1</t>
        </is>
      </c>
      <c r="F129" s="42" t="inlineStr">
        <is>
          <t>5. EXTERNAL</t>
        </is>
      </c>
      <c r="G129" s="18" t="inlineStr">
        <is>
          <t>Anand</t>
        </is>
      </c>
      <c r="H129" s="18" t="inlineStr">
        <is>
          <t>T013</t>
        </is>
      </c>
      <c r="I129" s="48" t="inlineStr">
        <is>
          <t>3rd party: Vanta/Drata</t>
        </is>
      </c>
      <c r="J129" s="51" t="inlineStr">
        <is>
          <t>Included in Vanta sub above</t>
        </is>
      </c>
      <c r="K129" s="82" t="inlineStr">
        <is>
          <t>Pre-Resign</t>
        </is>
      </c>
      <c r="L129" s="44" t="inlineStr">
        <is>
          <t>In progress</t>
        </is>
      </c>
      <c r="M129" s="18" t="inlineStr">
        <is>
          <t>2026-06-03 update: PR #2979 opened for Business Setup Readiness Packet with SOC 2 Type 2 observation-start prerequisites and evidence rules. Keep In progress until observation start date and operating evidence are saved.</t>
        </is>
      </c>
    </row>
    <row r="130">
      <c r="A130" s="18" t="inlineStr">
        <is>
          <t>T259</t>
        </is>
      </c>
      <c r="B130" s="18" t="inlineStr">
        <is>
          <t>Commercial</t>
        </is>
      </c>
      <c r="C130" s="18" t="inlineStr">
        <is>
          <t>Update pricing: 10% founder time at $425/hr (was 15% at $375)</t>
        </is>
      </c>
      <c r="D130" s="18" t="inlineStr">
        <is>
          <t>Reflected in Pricing sheet. Pilot $30k included; Year-1 $95k. Re-sellable as billable change-orders at $425/hr after concession.</t>
        </is>
      </c>
      <c r="E130" s="31" t="inlineStr">
        <is>
          <t>P0</t>
        </is>
      </c>
      <c r="F130" s="38" t="inlineStr">
        <is>
          <t>1. QUICK WIN</t>
        </is>
      </c>
      <c r="G130" s="18" t="inlineStr">
        <is>
          <t>Anand</t>
        </is>
      </c>
      <c r="H130" s="18" t="inlineStr"/>
      <c r="I130" s="43" t="inlineStr">
        <is>
          <t>Self-serve (already done in workbook)</t>
        </is>
      </c>
      <c r="J130" s="52" t="inlineStr">
        <is>
          <t>$0</t>
        </is>
      </c>
      <c r="K130" s="84" t="inlineStr">
        <is>
          <t>Anytime</t>
        </is>
      </c>
      <c r="L130" s="44" t="inlineStr">
        <is>
          <t>Done</t>
        </is>
      </c>
      <c r="M130" s="18" t="inlineStr">
        <is>
          <t>Done - Pricing tab row 14 note and docs/gtm/pilot-pricing-and-packaging.md reflect 10% at $425/hr.</t>
        </is>
      </c>
    </row>
    <row r="131">
      <c r="A131" s="18" t="inlineStr">
        <is>
          <t>T056</t>
        </is>
      </c>
      <c r="B131" s="18" t="inlineStr">
        <is>
          <t>Commercial</t>
        </is>
      </c>
      <c r="C131" s="18" t="inlineStr">
        <is>
          <t>Lock pricing model — see Pricing tab</t>
        </is>
      </c>
      <c r="D131" s="18" t="inlineStr">
        <is>
          <t>Pilot $300k; Year-1 target $95k/mo base platform plus Source add-on, token cap, and founder-time tracking at $425/hr with roughly 10% founder-led value included.</t>
        </is>
      </c>
      <c r="E131" s="31" t="inlineStr">
        <is>
          <t>P0</t>
        </is>
      </c>
      <c r="F131" s="39" t="inlineStr">
        <is>
          <t>2. CLAUDE DOES IT</t>
        </is>
      </c>
      <c r="G131" s="18" t="inlineStr">
        <is>
          <t>Anand</t>
        </is>
      </c>
      <c r="H131" s="18" t="inlineStr"/>
      <c r="I131" s="45" t="inlineStr">
        <is>
          <t>Claude (Pricing sheet)</t>
        </is>
      </c>
      <c r="J131" s="52" t="inlineStr">
        <is>
          <t>$0</t>
        </is>
      </c>
      <c r="K131" s="82" t="inlineStr">
        <is>
          <t>Pre-Resign</t>
        </is>
      </c>
      <c r="L131" s="44" t="inlineStr">
        <is>
          <t>Done</t>
        </is>
      </c>
      <c r="M131" s="18" t="inlineStr">
        <is>
          <t>Done - docs/gtm/pilot-pricing-and-packaging.md and Pricing tab updated to 10% founder-time framing.</t>
        </is>
      </c>
    </row>
    <row r="132">
      <c r="A132" s="18" t="inlineStr">
        <is>
          <t>T060</t>
        </is>
      </c>
      <c r="B132" s="18" t="inlineStr">
        <is>
          <t>Commercial</t>
        </is>
      </c>
      <c r="C132" s="18" t="inlineStr">
        <is>
          <t>Frame founder-time investment ($425/hr × ~10% included value)</t>
        </is>
      </c>
      <c r="D132" s="18" t="inlineStr">
        <is>
          <t>Track founder-led hours. Show on weekly invoice/reporting as included partnership investment, anchored at $425/hr and roughly 10% of contract value unless SOW changes it.</t>
        </is>
      </c>
      <c r="E132" s="32" t="inlineStr">
        <is>
          <t>P1</t>
        </is>
      </c>
      <c r="F132" s="39" t="inlineStr">
        <is>
          <t>2. CLAUDE DOES IT</t>
        </is>
      </c>
      <c r="G132" s="18" t="inlineStr">
        <is>
          <t>Anand</t>
        </is>
      </c>
      <c r="H132" s="18" t="inlineStr"/>
      <c r="I132" s="45" t="inlineStr">
        <is>
          <t>Claude (framing)</t>
        </is>
      </c>
      <c r="J132" s="52" t="inlineStr">
        <is>
          <t>$0</t>
        </is>
      </c>
      <c r="K132" s="84" t="inlineStr">
        <is>
          <t>Anytime</t>
        </is>
      </c>
      <c r="L132" s="44" t="inlineStr">
        <is>
          <t>Done</t>
        </is>
      </c>
      <c r="M132" s="18" t="inlineStr">
        <is>
          <t>Done - reframed at $425/hr and ~10% founder-led value in pricing memo and Pricing tab.</t>
        </is>
      </c>
    </row>
    <row r="133">
      <c r="A133" s="18" t="inlineStr">
        <is>
          <t>T057</t>
        </is>
      </c>
      <c r="B133" s="18" t="inlineStr">
        <is>
          <t>Commercial</t>
        </is>
      </c>
      <c r="C133" s="18" t="inlineStr">
        <is>
          <t>Decide user pricing — recommend tiers not per-user</t>
        </is>
      </c>
      <c r="D133" s="18" t="inlineStr">
        <is>
          <t>Up to 25 users included; 25-100 +$15k/mo; 100+ enterprise. Avoid $25/user.</t>
        </is>
      </c>
      <c r="E133" s="31" t="inlineStr">
        <is>
          <t>P0</t>
        </is>
      </c>
      <c r="F133" s="40" t="inlineStr">
        <is>
          <t>3. CLAUDE + YOU</t>
        </is>
      </c>
      <c r="G133" s="18" t="inlineStr">
        <is>
          <t>Anand</t>
        </is>
      </c>
      <c r="H133" s="18" t="inlineStr"/>
      <c r="I133" s="47" t="inlineStr">
        <is>
          <t>Claude + you</t>
        </is>
      </c>
      <c r="J133" s="52" t="inlineStr">
        <is>
          <t>$0</t>
        </is>
      </c>
      <c r="K133" s="84" t="inlineStr">
        <is>
          <t>Anytime</t>
        </is>
      </c>
      <c r="L133" s="44" t="inlineStr">
        <is>
          <t>Done</t>
        </is>
      </c>
      <c r="M133" s="18" t="inlineStr">
        <is>
          <t>Done - PR #2969 merged 2026-06-04 at f7246d453de37d5bc7e748e49193153c91c14847. docs/gtm/pilot-pricing-and-packaging.md defines included 25 users, 26-100 flat tier, and 100+ enterprise posture; release record 2026-06-03-commercial-packaging-posture.md.</t>
        </is>
      </c>
    </row>
    <row r="134">
      <c r="A134" s="18" t="inlineStr">
        <is>
          <t>T058</t>
        </is>
      </c>
      <c r="B134" s="18" t="inlineStr">
        <is>
          <t>Commercial</t>
        </is>
      </c>
      <c r="C134" s="18" t="inlineStr">
        <is>
          <t>Lock Source module add-on pricing ($35-50k/mo separately)</t>
        </is>
      </c>
      <c r="D134" s="18" t="inlineStr">
        <is>
          <t>Procurement loves separate budget lines.</t>
        </is>
      </c>
      <c r="E134" s="31" t="inlineStr">
        <is>
          <t>P0</t>
        </is>
      </c>
      <c r="F134" s="40" t="inlineStr">
        <is>
          <t>3. CLAUDE + YOU</t>
        </is>
      </c>
      <c r="G134" s="18" t="inlineStr">
        <is>
          <t>Anand</t>
        </is>
      </c>
      <c r="H134" s="18" t="inlineStr"/>
      <c r="I134" s="47" t="inlineStr">
        <is>
          <t>Claude + you</t>
        </is>
      </c>
      <c r="J134" s="52" t="inlineStr">
        <is>
          <t>$0</t>
        </is>
      </c>
      <c r="K134" s="84" t="inlineStr">
        <is>
          <t>Anytime</t>
        </is>
      </c>
      <c r="L134" s="44" t="inlineStr">
        <is>
          <t>Done</t>
        </is>
      </c>
      <c r="M134" s="18" t="inlineStr">
        <is>
          <t>Done - PR #2969 merged 2026-06-04 at f7246d453de37d5bc7e748e49193153c91c14847. docs/gtm/pilot-pricing-and-packaging.md defines Source standalone/add-on price posture and bundle-discount rules; release record 2026-06-03-commercial-packaging-posture.md.</t>
        </is>
      </c>
    </row>
    <row r="135">
      <c r="A135" s="18" t="inlineStr">
        <is>
          <t>T059</t>
        </is>
      </c>
      <c r="B135" s="18" t="inlineStr">
        <is>
          <t>Commercial</t>
        </is>
      </c>
      <c r="C135" s="18" t="inlineStr">
        <is>
          <t>Set token/consumption cap with overage policy</t>
        </is>
      </c>
      <c r="D135" s="18" t="inlineStr">
        <is>
          <t>Fair use N M tokens; overage at cost +20% or rate-limit.</t>
        </is>
      </c>
      <c r="E135" s="31" t="inlineStr">
        <is>
          <t>P0</t>
        </is>
      </c>
      <c r="F135" s="40" t="inlineStr">
        <is>
          <t>3. CLAUDE + YOU</t>
        </is>
      </c>
      <c r="G135" s="18" t="inlineStr">
        <is>
          <t>Anand</t>
        </is>
      </c>
      <c r="H135" s="18" t="inlineStr">
        <is>
          <t>T033</t>
        </is>
      </c>
      <c r="I135" s="47" t="inlineStr">
        <is>
          <t>Claude + you</t>
        </is>
      </c>
      <c r="J135" s="52" t="inlineStr">
        <is>
          <t>$0</t>
        </is>
      </c>
      <c r="K135" s="84" t="inlineStr">
        <is>
          <t>Anytime</t>
        </is>
      </c>
      <c r="L135" s="44" t="inlineStr">
        <is>
          <t>In progress</t>
        </is>
      </c>
      <c r="M135" s="18" t="inlineStr">
        <is>
          <t>PR #2966 merged commercial overage policy; PR #2968 merged at 0b3ec83ab016a9cc444c7a65c95509d28f4cd208 to surface customer-admin weekly report readiness, cap usage, and overage posture from AI-egress audit metadata. Keep In progress until founder/SOW terms, runtime cap settings, cap alerts, and customer-facing weekly reporting cadence are evidenced.</t>
        </is>
      </c>
    </row>
    <row r="136">
      <c r="A136" s="18" t="inlineStr">
        <is>
          <t>T270</t>
        </is>
      </c>
      <c r="B136" s="18" t="inlineStr">
        <is>
          <t>Commercial</t>
        </is>
      </c>
      <c r="C136" s="18" t="inlineStr">
        <is>
          <t>Reposition Source module: primary wedge for non-AI-leader prospects</t>
        </is>
      </c>
      <c r="D136" s="18" t="inlineStr">
        <is>
          <t>Pricing: Source-standalone $50k/mo for sourcing-only sale; or bundled with core at discount.</t>
        </is>
      </c>
      <c r="E136" s="31" t="inlineStr">
        <is>
          <t>P0</t>
        </is>
      </c>
      <c r="F136" s="40" t="inlineStr">
        <is>
          <t>3. CLAUDE + YOU</t>
        </is>
      </c>
      <c r="G136" s="18" t="inlineStr">
        <is>
          <t>Anand</t>
        </is>
      </c>
      <c r="H136" s="18" t="inlineStr"/>
      <c r="I136" s="47" t="inlineStr">
        <is>
          <t>Claude + you</t>
        </is>
      </c>
      <c r="J136" s="52" t="inlineStr">
        <is>
          <t>$0</t>
        </is>
      </c>
      <c r="K136" s="84" t="inlineStr">
        <is>
          <t>Anytime</t>
        </is>
      </c>
      <c r="L136" s="44" t="inlineStr">
        <is>
          <t>Done</t>
        </is>
      </c>
      <c r="M136" s="18" t="inlineStr">
        <is>
          <t>Done - PR #2969 merged 2026-06-04 at f7246d453de37d5bc7e748e49193153c91c14847. docs/gtm/pilot-pricing-and-packaging.md defines Source wedge strategy for prospects without AI leader readiness.</t>
        </is>
      </c>
    </row>
    <row r="137">
      <c r="A137" s="18" t="inlineStr">
        <is>
          <t>T271</t>
        </is>
      </c>
      <c r="B137" s="18" t="inlineStr">
        <is>
          <t>Commercial</t>
        </is>
      </c>
      <c r="C137" s="18" t="inlineStr">
        <is>
          <t>Build smaller-deal pricing tier ($200k pilot / $500k year-1) for CTO-buyer scenarios</t>
        </is>
      </c>
      <c r="D137" s="18" t="inlineStr">
        <is>
          <t>Delta-type deals where AI value is dormant. Smaller deal &gt; no deal. Expand later.</t>
        </is>
      </c>
      <c r="E137" s="32" t="inlineStr">
        <is>
          <t>P1</t>
        </is>
      </c>
      <c r="F137" s="40" t="inlineStr">
        <is>
          <t>3. CLAUDE + YOU</t>
        </is>
      </c>
      <c r="G137" s="18" t="inlineStr">
        <is>
          <t>Anand</t>
        </is>
      </c>
      <c r="H137" s="18" t="inlineStr"/>
      <c r="I137" s="47" t="inlineStr">
        <is>
          <t>Claude + you</t>
        </is>
      </c>
      <c r="J137" s="52" t="inlineStr">
        <is>
          <t>$0</t>
        </is>
      </c>
      <c r="K137" s="84" t="inlineStr">
        <is>
          <t>Anytime</t>
        </is>
      </c>
      <c r="L137" s="44" t="inlineStr">
        <is>
          <t>Done</t>
        </is>
      </c>
      <c r="M137" s="18" t="inlineStr">
        <is>
          <t>Done - PR #2969 merged 2026-06-04 at f7246d453de37d5bc7e748e49193153c91c14847. docs/gtm/pilot-pricing-and-packaging.md defines smaller-deal CTO tier with 90-day pilot and limited scope posture.</t>
        </is>
      </c>
    </row>
    <row r="138">
      <c r="A138" s="18" t="inlineStr">
        <is>
          <t>T283</t>
        </is>
      </c>
      <c r="B138" s="18" t="inlineStr">
        <is>
          <t>Commercial</t>
        </is>
      </c>
      <c r="C138" s="18" t="inlineStr">
        <is>
          <t>Build 'new leader / foundation' pricing positioning (different from CDAO/CTO pitches)</t>
        </is>
      </c>
      <c r="D138" s="18" t="inlineStr">
        <is>
          <t>Frame: foundation budget, transformation investment, operating model. NOT software line item. Different comparison set.</t>
        </is>
      </c>
      <c r="E138" s="32" t="inlineStr">
        <is>
          <t>P1</t>
        </is>
      </c>
      <c r="F138" s="40" t="inlineStr">
        <is>
          <t>3. CLAUDE + YOU</t>
        </is>
      </c>
      <c r="G138" s="18" t="inlineStr">
        <is>
          <t>Anand</t>
        </is>
      </c>
      <c r="H138" s="18" t="inlineStr"/>
      <c r="I138" s="47" t="inlineStr">
        <is>
          <t>Claude + you</t>
        </is>
      </c>
      <c r="J138" s="52" t="inlineStr">
        <is>
          <t>$0</t>
        </is>
      </c>
      <c r="K138" s="83" t="inlineStr">
        <is>
          <t>Post-Resign</t>
        </is>
      </c>
      <c r="L138" s="44" t="inlineStr">
        <is>
          <t>Done</t>
        </is>
      </c>
      <c r="M138" s="18" t="inlineStr">
        <is>
          <t>Done - PR #2969 merged 2026-06-04 at f7246d453de37d5bc7e748e49193153c91c14847. docs/gtm/pilot-pricing-and-packaging.md defines new-leader/foundation positioning and when it applies.</t>
        </is>
      </c>
    </row>
    <row r="139">
      <c r="A139" s="18" t="inlineStr">
        <is>
          <t>T061</t>
        </is>
      </c>
      <c r="B139" s="18" t="inlineStr">
        <is>
          <t>Commercial</t>
        </is>
      </c>
      <c r="C139" s="18" t="inlineStr">
        <is>
          <t>Annual pre-pay discount offer (5-10%)</t>
        </is>
      </c>
      <c r="D139" s="18" t="inlineStr">
        <is>
          <t>Cash now &gt; margin later.</t>
        </is>
      </c>
      <c r="E139" s="32" t="inlineStr">
        <is>
          <t>P1</t>
        </is>
      </c>
      <c r="F139" s="42" t="inlineStr">
        <is>
          <t>5. EXTERNAL</t>
        </is>
      </c>
      <c r="G139" s="18" t="inlineStr">
        <is>
          <t>Anand</t>
        </is>
      </c>
      <c r="H139" s="18" t="inlineStr"/>
      <c r="I139" s="48" t="inlineStr">
        <is>
          <t>You only</t>
        </is>
      </c>
      <c r="J139" s="52" t="inlineStr">
        <is>
          <t>$0</t>
        </is>
      </c>
      <c r="K139" s="84" t="inlineStr">
        <is>
          <t>Anytime</t>
        </is>
      </c>
      <c r="L139" s="44" t="inlineStr">
        <is>
          <t>In progress</t>
        </is>
      </c>
      <c r="M139" s="18" t="inlineStr">
        <is>
          <t>2026-06-03 update: PR #2984 merged to main at 38992b10edb52a3c56a057085081f5b61fe9a54b with internal annual-prepay discount policy in docs/gtm/pilot-pricing-and-packaging.md plus release record. Keep In progress until founder approval and/or signed SOW evidence confirms the discount posture.</t>
        </is>
      </c>
    </row>
    <row r="140">
      <c r="A140" s="18" t="inlineStr">
        <is>
          <t>T062</t>
        </is>
      </c>
      <c r="B140" s="18" t="inlineStr">
        <is>
          <t>Commercial</t>
        </is>
      </c>
      <c r="C140" s="18" t="inlineStr">
        <is>
          <t>Multi-year discount tier (10% for 2yr, 15% for 3yr)</t>
        </is>
      </c>
      <c r="D140" s="18" t="inlineStr">
        <is>
          <t>Lock in revenue.</t>
        </is>
      </c>
      <c r="E140" s="32" t="inlineStr">
        <is>
          <t>P1</t>
        </is>
      </c>
      <c r="F140" s="42" t="inlineStr">
        <is>
          <t>5. EXTERNAL</t>
        </is>
      </c>
      <c r="G140" s="18" t="inlineStr">
        <is>
          <t>Anand</t>
        </is>
      </c>
      <c r="H140" s="18" t="inlineStr"/>
      <c r="I140" s="48" t="inlineStr">
        <is>
          <t>You only</t>
        </is>
      </c>
      <c r="J140" s="52" t="inlineStr">
        <is>
          <t>$0</t>
        </is>
      </c>
      <c r="K140" s="84" t="inlineStr">
        <is>
          <t>Anytime</t>
        </is>
      </c>
      <c r="L140" s="44" t="inlineStr">
        <is>
          <t>In progress</t>
        </is>
      </c>
      <c r="M140" s="18" t="inlineStr">
        <is>
          <t>2026-06-03 update: PR #2984 merged to main at 38992b10edb52a3c56a057085081f5b61fe9a54b with multi-year discount tier policy: up to 10% for 2-year and up to 15% for 3-year commitments only with explicit give/get, founder approval, and SOW evidence. Keep In progress until founder approval and/or signed SOW evidence confirms the posture.</t>
        </is>
      </c>
    </row>
    <row r="141">
      <c r="A141" s="18" t="inlineStr">
        <is>
          <t>T015</t>
        </is>
      </c>
      <c r="B141" s="18" t="inlineStr">
        <is>
          <t>Contract &amp; Legal</t>
        </is>
      </c>
      <c r="C141" s="18" t="inlineStr">
        <is>
          <t>Draft 2-page redline brief (8 non-negotiables + fallback)</t>
        </is>
      </c>
      <c r="D141" s="18" t="inlineStr">
        <is>
          <t>Liability cap, indemnity, IP, MFN, termination, SLA, audit, assignment.</t>
        </is>
      </c>
      <c r="E141" s="31" t="inlineStr">
        <is>
          <t>P0</t>
        </is>
      </c>
      <c r="F141" s="39" t="inlineStr">
        <is>
          <t>2. CLAUDE DOES IT</t>
        </is>
      </c>
      <c r="G141" s="18" t="inlineStr">
        <is>
          <t>Anand</t>
        </is>
      </c>
      <c r="H141" s="18" t="inlineStr"/>
      <c r="I141" s="45" t="inlineStr">
        <is>
          <t>Claude (draft)</t>
        </is>
      </c>
      <c r="J141" s="52" t="inlineStr">
        <is>
          <t>$0</t>
        </is>
      </c>
      <c r="K141" s="82" t="inlineStr">
        <is>
          <t>Pre-Resign</t>
        </is>
      </c>
      <c r="L141" s="44" t="inlineStr">
        <is>
          <t>Done</t>
        </is>
      </c>
      <c r="M141" s="18" t="inlineStr">
        <is>
          <t>PR #2812 merged on 2026-06-02: added counsel-review contract redline brief at docs/legal/contract-redline-brief.md covering the 8 non-negotiables, fallback positions, sleeper clauses, NDA-specific redlines, and contract review packet. Local validation passed: git diff --check --cached, secrets:staged, and release:check (docs/legal-only slice reported no release-relevant files). GitHub CI passed, including Release Control Gate, Secret Scanning, Browser Matrix Smoke, Accessibility Axe, Lighthouse CI, ESLint, Typecheck + reasoning-layer tests, Production Readiness Gate, and both Vercel contexts. Remote branch deleted. T016 remains separate for lawyer pre-blessing.</t>
        </is>
      </c>
    </row>
    <row r="142">
      <c r="A142" s="18" t="inlineStr">
        <is>
          <t>T018</t>
        </is>
      </c>
      <c r="B142" s="18" t="inlineStr">
        <is>
          <t>Contract &amp; Legal</t>
        </is>
      </c>
      <c r="C142" s="18" t="inlineStr">
        <is>
          <t>Pre-fill SIG Lite / CAIQ security questionnaire</t>
        </is>
      </c>
      <c r="D142" s="18" t="inlineStr">
        <is>
          <t>200-300 questions. One canonical answer doc saves weeks per deal.</t>
        </is>
      </c>
      <c r="E142" s="31" t="inlineStr">
        <is>
          <t>P0</t>
        </is>
      </c>
      <c r="F142" s="39" t="inlineStr">
        <is>
          <t>2. CLAUDE DOES IT</t>
        </is>
      </c>
      <c r="G142" s="18" t="inlineStr">
        <is>
          <t>Anand</t>
        </is>
      </c>
      <c r="H142" s="18" t="inlineStr"/>
      <c r="I142" s="45" t="inlineStr">
        <is>
          <t>Claude (already in Security Pack)</t>
        </is>
      </c>
      <c r="J142" s="52" t="inlineStr">
        <is>
          <t>$0 (already drafted)</t>
        </is>
      </c>
      <c r="K142" s="82" t="inlineStr">
        <is>
          <t>Pre-Resign</t>
        </is>
      </c>
      <c r="L142" s="44" t="inlineStr">
        <is>
          <t>Done</t>
        </is>
      </c>
      <c r="M142" s="18" t="inlineStr">
        <is>
          <t>PR #2813 merged on 2026-06-02: added docs/security/security-questionnaire-canonical-answers.md as the canonical SIG Lite / CAIQ Lite answer pack with reusable answers, status, evidence paths, buyer Q&amp;A, required attachments, and explicit compliance gaps. Local validation passed: git diff --check, git diff --check --cached, secrets:staged, and release:check (docs/security-only slice reported no release-relevant files). GitHub CI passed, including Release Control Gate, Secret Scanning, Browser Matrix Smoke, Accessibility Axe, Lighthouse CI, ESLint, Typecheck + reasoning-layer tests, Production Readiness Gate, and both Vercel contexts. Remote branch deleted.</t>
        </is>
      </c>
    </row>
    <row r="143">
      <c r="A143" s="18" t="inlineStr">
        <is>
          <t>T026</t>
        </is>
      </c>
      <c r="B143" s="18" t="inlineStr">
        <is>
          <t>Contract &amp; Legal</t>
        </is>
      </c>
      <c r="C143" s="18" t="inlineStr">
        <is>
          <t>Publish subprocessor list at abarva.com/subprocessors</t>
        </is>
      </c>
      <c r="D143" s="18" t="inlineStr">
        <is>
          <t>Vercel, Clerk, Azure, Anthropic, OpenAI, Resend, PostHog, Stripe.</t>
        </is>
      </c>
      <c r="E143" s="32" t="inlineStr">
        <is>
          <t>P1</t>
        </is>
      </c>
      <c r="F143" s="39" t="inlineStr">
        <is>
          <t>2. CLAUDE DOES IT</t>
        </is>
      </c>
      <c r="G143" s="18" t="inlineStr">
        <is>
          <t>Anand</t>
        </is>
      </c>
      <c r="H143" s="18" t="inlineStr"/>
      <c r="I143" s="45" t="inlineStr">
        <is>
          <t>Claude (draft page)</t>
        </is>
      </c>
      <c r="J143" s="52" t="inlineStr">
        <is>
          <t>$0</t>
        </is>
      </c>
      <c r="K143" s="83" t="inlineStr">
        <is>
          <t>Post-Resign</t>
        </is>
      </c>
      <c r="L143" s="44" t="inlineStr">
        <is>
          <t>Done</t>
        </is>
      </c>
      <c r="M143" s="18" t="inlineStr">
        <is>
          <t>PR #2811 merged on 2026-06-02: published public /subprocessors trust page with provider inventory, canonical URL, sitemap/footer/trust navigation, Clerk public-route allow-list, browser-matrix coverage, and release record. Local validation passed: git diff --check, browser:matrix:list (40 tests), npm run build, browser:matrix (40/40), release:check, and secrets:staged. GitHub CI passed, including Browser Matrix Smoke, Accessibility Axe, Lighthouse CI, ESLint, Typecheck + reasoning-layer tests, Release Control Gate, Secret Scanning, and both Vercel contexts. Remote branch deleted.</t>
        </is>
      </c>
    </row>
    <row r="144">
      <c r="A144" s="18" t="inlineStr">
        <is>
          <t>T017</t>
        </is>
      </c>
      <c r="B144" s="18" t="inlineStr">
        <is>
          <t>Contract &amp; Legal</t>
        </is>
      </c>
      <c r="C144" s="18" t="inlineStr">
        <is>
          <t>Build vendor information package</t>
        </is>
      </c>
      <c r="D144" s="18" t="inlineStr">
        <is>
          <t>Subprocessor list, insurance certs, security policies, DPA template, BAA readiness, SOC 2 status.</t>
        </is>
      </c>
      <c r="E144" s="31" t="inlineStr">
        <is>
          <t>P0</t>
        </is>
      </c>
      <c r="F144" s="40" t="inlineStr">
        <is>
          <t>3. CLAUDE + YOU</t>
        </is>
      </c>
      <c r="G144" s="18" t="inlineStr">
        <is>
          <t>Anand</t>
        </is>
      </c>
      <c r="H144" s="18" t="inlineStr"/>
      <c r="I144" s="47" t="inlineStr">
        <is>
          <t>Claude + you</t>
        </is>
      </c>
      <c r="J144" s="52" t="inlineStr">
        <is>
          <t>$0</t>
        </is>
      </c>
      <c r="K144" s="82" t="inlineStr">
        <is>
          <t>Pre-Resign</t>
        </is>
      </c>
      <c r="L144" s="44" t="inlineStr">
        <is>
          <t>Done</t>
        </is>
      </c>
      <c r="M144" s="18" t="inlineStr">
        <is>
          <t>Done - docs/legal/vendor-information-package.md; release candidate PR prepared 2026-06-03.</t>
        </is>
      </c>
    </row>
    <row r="145">
      <c r="A145" s="18" t="inlineStr">
        <is>
          <t>T022</t>
        </is>
      </c>
      <c r="B145" s="18" t="inlineStr">
        <is>
          <t>Contract &amp; Legal</t>
        </is>
      </c>
      <c r="C145" s="18" t="inlineStr">
        <is>
          <t>Lock pilot success criteria + auto-conversion mechanic</t>
        </is>
      </c>
      <c r="D145" s="18" t="inlineStr">
        <is>
          <t>E.g., 3 Moves launched, X users active, NPS &gt; Y. Auto-convert unless client opts out.</t>
        </is>
      </c>
      <c r="E145" s="31" t="inlineStr">
        <is>
          <t>P0</t>
        </is>
      </c>
      <c r="F145" s="40" t="inlineStr">
        <is>
          <t>3. CLAUDE + YOU</t>
        </is>
      </c>
      <c r="G145" s="18" t="inlineStr">
        <is>
          <t>Anand</t>
        </is>
      </c>
      <c r="H145" s="18" t="inlineStr"/>
      <c r="I145" s="47" t="inlineStr">
        <is>
          <t>Claude + you</t>
        </is>
      </c>
      <c r="J145" s="52" t="inlineStr">
        <is>
          <t>$0</t>
        </is>
      </c>
      <c r="K145" s="82" t="inlineStr">
        <is>
          <t>Pre-Resign</t>
        </is>
      </c>
      <c r="L145" s="44" t="inlineStr">
        <is>
          <t>Done</t>
        </is>
      </c>
      <c r="M145" s="18" t="inlineStr">
        <is>
          <t>Done - docs/pilot/PILOT_SUCCESS_AND_CONVERSION_MECHANIC.md; founder/legal paper still controls executed terms.</t>
        </is>
      </c>
    </row>
    <row r="146">
      <c r="A146" s="18" t="inlineStr">
        <is>
          <t>T019</t>
        </is>
      </c>
      <c r="B146" s="18" t="inlineStr">
        <is>
          <t>Contract &amp; Legal</t>
        </is>
      </c>
      <c r="C146" s="18" t="inlineStr">
        <is>
          <t>Review client NDA — IP assignment, non-solicit, publicity</t>
        </is>
      </c>
      <c r="D146" s="18" t="inlineStr">
        <is>
          <t>Many enterprise NDAs contain landmines. Redline before signing.</t>
        </is>
      </c>
      <c r="E146" s="31" t="inlineStr">
        <is>
          <t>P0</t>
        </is>
      </c>
      <c r="F146" s="41" t="inlineStr">
        <is>
          <t>4. CLAUDE + PRO</t>
        </is>
      </c>
      <c r="G146" s="18" t="inlineStr">
        <is>
          <t>Anand</t>
        </is>
      </c>
      <c r="H146" s="18" t="inlineStr">
        <is>
          <t>T006</t>
        </is>
      </c>
      <c r="I146" s="50" t="inlineStr">
        <is>
          <t>Claude + lawyer</t>
        </is>
      </c>
      <c r="J146" s="51" t="inlineStr">
        <is>
          <t>$1-2k (lawyer)</t>
        </is>
      </c>
      <c r="K146" s="82" t="inlineStr">
        <is>
          <t>Pre-Resign</t>
        </is>
      </c>
      <c r="L146" s="44" t="inlineStr">
        <is>
          <t>In progress</t>
        </is>
      </c>
      <c r="M146" s="18" t="inlineStr">
        <is>
          <t>2026-06-03 update: PR #2978 merged at 1ba8c123 with client-paper review playbook for NDA intake, review sequence, issue log, and counsel evidence packet. Keep In progress until counsel reviews actual NDA or pre-approves reusable NDA redline positions.</t>
        </is>
      </c>
    </row>
    <row r="147">
      <c r="A147" s="18" t="inlineStr">
        <is>
          <t>T020</t>
        </is>
      </c>
      <c r="B147" s="18" t="inlineStr">
        <is>
          <t>Contract &amp; Legal</t>
        </is>
      </c>
      <c r="C147" s="18" t="inlineStr">
        <is>
          <t>Review client MSA — apply 8-clause redline brief</t>
        </is>
      </c>
      <c r="D147" s="18" t="inlineStr">
        <is>
          <t>Always start from client paper. Always redline.</t>
        </is>
      </c>
      <c r="E147" s="31" t="inlineStr">
        <is>
          <t>P0</t>
        </is>
      </c>
      <c r="F147" s="41" t="inlineStr">
        <is>
          <t>4. CLAUDE + PRO</t>
        </is>
      </c>
      <c r="G147" s="18" t="inlineStr">
        <is>
          <t>Anand</t>
        </is>
      </c>
      <c r="H147" s="18" t="inlineStr">
        <is>
          <t>T006,T015</t>
        </is>
      </c>
      <c r="I147" s="50" t="inlineStr">
        <is>
          <t>Claude + lawyer</t>
        </is>
      </c>
      <c r="J147" s="51" t="inlineStr">
        <is>
          <t>$3-5k (lawyer)</t>
        </is>
      </c>
      <c r="K147" s="82" t="inlineStr">
        <is>
          <t>Pre-Resign</t>
        </is>
      </c>
      <c r="L147" s="44" t="inlineStr">
        <is>
          <t>In progress</t>
        </is>
      </c>
      <c r="M147" s="18" t="inlineStr">
        <is>
          <t>2026-06-03 update: PR #2978 merged at 1ba8c123 with client-paper review playbook for MSA intake, review sequence, issue log, and counsel evidence packet. Keep In progress until counsel reviews actual MSA or pre-approves reusable MSA redline positions.</t>
        </is>
      </c>
    </row>
    <row r="148">
      <c r="A148" s="18" t="inlineStr">
        <is>
          <t>T021</t>
        </is>
      </c>
      <c r="B148" s="18" t="inlineStr">
        <is>
          <t>Contract &amp; Legal</t>
        </is>
      </c>
      <c r="C148" s="18" t="inlineStr">
        <is>
          <t>Review client SOW — scope, deliverables, SLAs, change-order rate</t>
        </is>
      </c>
      <c r="D148" s="18" t="inlineStr">
        <is>
          <t>Pre-agree $375/hr (or $400) change-order rate inline.</t>
        </is>
      </c>
      <c r="E148" s="31" t="inlineStr">
        <is>
          <t>P0</t>
        </is>
      </c>
      <c r="F148" s="41" t="inlineStr">
        <is>
          <t>4. CLAUDE + PRO</t>
        </is>
      </c>
      <c r="G148" s="18" t="inlineStr">
        <is>
          <t>Anand</t>
        </is>
      </c>
      <c r="H148" s="18" t="inlineStr">
        <is>
          <t>T006</t>
        </is>
      </c>
      <c r="I148" s="50" t="inlineStr">
        <is>
          <t>Claude + lawyer</t>
        </is>
      </c>
      <c r="J148" s="51" t="inlineStr">
        <is>
          <t>$1-2k (lawyer)</t>
        </is>
      </c>
      <c r="K148" s="82" t="inlineStr">
        <is>
          <t>Pre-Resign</t>
        </is>
      </c>
      <c r="L148" s="44" t="inlineStr">
        <is>
          <t>In progress</t>
        </is>
      </c>
      <c r="M148" s="18" t="inlineStr">
        <is>
          <t>2026-06-03 update: PR #2978 merged at 1ba8c123 with client-paper review playbook for SOW intake, review sequence, issue log, and counsel evidence packet. Keep In progress until counsel reviews actual SOW or pre-approves reusable SOW redline positions.</t>
        </is>
      </c>
    </row>
    <row r="149">
      <c r="A149" s="18" t="inlineStr">
        <is>
          <t>T016</t>
        </is>
      </c>
      <c r="B149" s="18" t="inlineStr">
        <is>
          <t>Contract &amp; Legal</t>
        </is>
      </c>
      <c r="C149" s="18" t="inlineStr">
        <is>
          <t>Lawyer pre-blesses the redline brief</t>
        </is>
      </c>
      <c r="D149" s="18" t="inlineStr">
        <is>
          <t>1hr review, ~$1-2k. Reusable across every future deal.</t>
        </is>
      </c>
      <c r="E149" s="31" t="inlineStr">
        <is>
          <t>P0</t>
        </is>
      </c>
      <c r="F149" s="42" t="inlineStr">
        <is>
          <t>5. EXTERNAL</t>
        </is>
      </c>
      <c r="G149" s="18" t="inlineStr">
        <is>
          <t>Anand</t>
        </is>
      </c>
      <c r="H149" s="18" t="inlineStr">
        <is>
          <t>T006,T015</t>
        </is>
      </c>
      <c r="I149" s="48" t="inlineStr">
        <is>
          <t>3rd party: lawyer</t>
        </is>
      </c>
      <c r="J149" s="51" t="inlineStr">
        <is>
          <t>$1-2k one-time</t>
        </is>
      </c>
      <c r="K149" s="82" t="inlineStr">
        <is>
          <t>Pre-Resign</t>
        </is>
      </c>
      <c r="L149" s="44" t="inlineStr">
        <is>
          <t>In progress</t>
        </is>
      </c>
      <c r="M149" s="18" t="inlineStr">
        <is>
          <t>In progress - counsel pre-blessing workflow captured. Done requires counsel approval memo/email and versioned redline brief. Evidence: /Users/anand/Downloads/abarva-founder-legal-readiness/FOUNDER_LEGAL_ACTION_REGISTER_2026-06-04.xlsx; index: /Users/anand/Downloads/abarva-founder-legal-readiness/FOUNDER_LEGAL_READINESS_INDEX_2026-06-04.md.</t>
        </is>
      </c>
    </row>
    <row r="150">
      <c r="A150" s="18" t="inlineStr">
        <is>
          <t>T023</t>
        </is>
      </c>
      <c r="B150" s="18" t="inlineStr">
        <is>
          <t>Contract &amp; Legal</t>
        </is>
      </c>
      <c r="C150" s="18" t="inlineStr">
        <is>
          <t>Define reference rights (logo + case study after 90d)</t>
        </is>
      </c>
      <c r="D150" s="18" t="inlineStr">
        <is>
          <t>Push hard. First reference customer is worth more than the cash.</t>
        </is>
      </c>
      <c r="E150" s="31" t="inlineStr">
        <is>
          <t>P0</t>
        </is>
      </c>
      <c r="F150" s="42" t="inlineStr">
        <is>
          <t>5. EXTERNAL</t>
        </is>
      </c>
      <c r="G150" s="18" t="inlineStr">
        <is>
          <t>Anand</t>
        </is>
      </c>
      <c r="H150" s="18" t="inlineStr"/>
      <c r="I150" s="48" t="inlineStr">
        <is>
          <t>You only</t>
        </is>
      </c>
      <c r="J150" s="52" t="inlineStr">
        <is>
          <t>$0</t>
        </is>
      </c>
      <c r="K150" s="83" t="inlineStr">
        <is>
          <t>Post-Resign</t>
        </is>
      </c>
      <c r="L150" s="44" t="inlineStr">
        <is>
          <t>In progress</t>
        </is>
      </c>
      <c r="M150" s="18" t="inlineStr">
        <is>
          <t>In progress - counsel-ready reference-rights position captured. Done requires approved clause in client paper or exception log. Evidence: /Users/anand/Downloads/abarva-founder-legal-readiness/FOUNDER_LEGAL_ACTION_REGISTER_2026-06-04.xlsx; index: /Users/anand/Downloads/abarva-founder-legal-readiness/FOUNDER_LEGAL_READINESS_INDEX_2026-06-04.md.</t>
        </is>
      </c>
    </row>
    <row r="151">
      <c r="A151" s="18" t="inlineStr">
        <is>
          <t>T024</t>
        </is>
      </c>
      <c r="B151" s="18" t="inlineStr">
        <is>
          <t>Contract &amp; Legal</t>
        </is>
      </c>
      <c r="C151" s="18" t="inlineStr">
        <is>
          <t>Pre-agree payment terms: Net 30 or annual pre-pay</t>
        </is>
      </c>
      <c r="D151" s="18" t="inlineStr">
        <is>
          <t>Net 60/90 will starve a startup. Annual pre-pay with 5-10% discount preferred.</t>
        </is>
      </c>
      <c r="E151" s="31" t="inlineStr">
        <is>
          <t>P0</t>
        </is>
      </c>
      <c r="F151" s="42" t="inlineStr">
        <is>
          <t>5. EXTERNAL</t>
        </is>
      </c>
      <c r="G151" s="18" t="inlineStr">
        <is>
          <t>Anand</t>
        </is>
      </c>
      <c r="H151" s="18" t="inlineStr"/>
      <c r="I151" s="48" t="inlineStr">
        <is>
          <t>You only</t>
        </is>
      </c>
      <c r="J151" s="52" t="inlineStr">
        <is>
          <t>$0</t>
        </is>
      </c>
      <c r="K151" s="82" t="inlineStr">
        <is>
          <t>Pre-Resign</t>
        </is>
      </c>
      <c r="L151" s="44" t="inlineStr">
        <is>
          <t>In progress</t>
        </is>
      </c>
      <c r="M151" s="18" t="inlineStr">
        <is>
          <t>In progress - payment-term hierarchy captured. Done requires signed/approved commercial term or exception log. Evidence: /Users/anand/Downloads/abarva-founder-legal-readiness/FOUNDER_LEGAL_ACTION_REGISTER_2026-06-04.xlsx; index: /Users/anand/Downloads/abarva-founder-legal-readiness/FOUNDER_LEGAL_READINESS_INDEX_2026-06-04.md.</t>
        </is>
      </c>
    </row>
    <row r="152">
      <c r="A152" s="18" t="inlineStr">
        <is>
          <t>T025</t>
        </is>
      </c>
      <c r="B152" s="18" t="inlineStr">
        <is>
          <t>Contract &amp; Legal</t>
        </is>
      </c>
      <c r="C152" s="18" t="inlineStr">
        <is>
          <t>Lock annual escalator (CPI+3% or 5% flat)</t>
        </is>
      </c>
      <c r="D152" s="18" t="inlineStr">
        <is>
          <t>Standard SaaS.</t>
        </is>
      </c>
      <c r="E152" s="32" t="inlineStr">
        <is>
          <t>P1</t>
        </is>
      </c>
      <c r="F152" s="42" t="inlineStr">
        <is>
          <t>5. EXTERNAL</t>
        </is>
      </c>
      <c r="G152" s="18" t="inlineStr">
        <is>
          <t>Anand</t>
        </is>
      </c>
      <c r="H152" s="18" t="inlineStr"/>
      <c r="I152" s="48" t="inlineStr">
        <is>
          <t>You only</t>
        </is>
      </c>
      <c r="J152" s="52" t="inlineStr">
        <is>
          <t>$0</t>
        </is>
      </c>
      <c r="K152" s="83" t="inlineStr">
        <is>
          <t>Post-Resign</t>
        </is>
      </c>
      <c r="L152" s="44" t="inlineStr">
        <is>
          <t>In progress</t>
        </is>
      </c>
      <c r="M152" s="18" t="inlineStr">
        <is>
          <t>In progress - escalator fallback captured. Done requires signed/approved renewal language or exception log. Evidence: /Users/anand/Downloads/abarva-founder-legal-readiness/FOUNDER_LEGAL_ACTION_REGISTER_2026-06-04.xlsx; index: /Users/anand/Downloads/abarva-founder-legal-readiness/FOUNDER_LEGAL_READINESS_INDEX_2026-06-04.md.</t>
        </is>
      </c>
    </row>
    <row r="153">
      <c r="A153" s="18" t="inlineStr">
        <is>
          <t>T306</t>
        </is>
      </c>
      <c r="B153" s="18" t="inlineStr">
        <is>
          <t>Employer Conflict</t>
        </is>
      </c>
      <c r="C153" s="18" t="inlineStr">
        <is>
          <t>TODAY: Pull Accenture employment agreement + every addendum/amendment ever signed</t>
        </is>
      </c>
      <c r="D153" s="18" t="inlineStr">
        <is>
          <t>Read cold. Need to know exact non-compete, non-solicit, confidentiality, IP-assignment language. Upstream of everything.</t>
        </is>
      </c>
      <c r="E153" s="31" t="inlineStr">
        <is>
          <t>P3</t>
        </is>
      </c>
      <c r="F153" s="38" t="inlineStr">
        <is>
          <t>1. QUICK WIN</t>
        </is>
      </c>
      <c r="G153" s="18" t="inlineStr">
        <is>
          <t>Anand</t>
        </is>
      </c>
      <c r="H153" s="18" t="inlineStr"/>
      <c r="I153" s="43" t="inlineStr">
        <is>
          <t>Self-serve</t>
        </is>
      </c>
      <c r="J153" s="52" t="inlineStr">
        <is>
          <t>$0</t>
        </is>
      </c>
      <c r="K153" s="82" t="inlineStr">
        <is>
          <t>Pre-Resign</t>
        </is>
      </c>
      <c r="L153" s="44" t="inlineStr">
        <is>
          <t>Not started</t>
        </is>
      </c>
      <c r="M153" s="18" t="inlineStr">
        <is>
          <t>In progress - employer-conflict action register created with owner, dependency, definition of done, evidence gate, next step, and stop/go impact. This is not legal resolution; Done requires founder/counsel evidence for this row. Evidence: /Users/anand/Downloads/abarva-employer-conflict-readiness/EMPLOYER_CONFLICT_ACTION_REGISTER_2026-06-04.xlsx; index: /Users/anand/Downloads/abarva-employer-conflict-readiness/EMPLOYER_CONFLICT_READINESS_INDEX_2026-06-04.md. | Deprioritized 2026-06-04 — founder risk decision: Accenture unlikely to pursue a pilot-stage startup. Revisit only if a prospect procurement review raises it.</t>
        </is>
      </c>
    </row>
    <row r="154">
      <c r="A154" s="18" t="inlineStr">
        <is>
          <t>T307</t>
        </is>
      </c>
      <c r="B154" s="18" t="inlineStr">
        <is>
          <t>Employer Conflict</t>
        </is>
      </c>
      <c r="C154" s="18" t="inlineStr">
        <is>
          <t>Identify governing state law (where Accenture entity employs you, not where you live)</t>
        </is>
      </c>
      <c r="D154" s="18" t="inlineStr">
        <is>
          <t>Determines non-compete enforceability. CA/WA/MA = favorable. FL/TX = unfavorable. Drives risk assessment.</t>
        </is>
      </c>
      <c r="E154" s="31" t="inlineStr">
        <is>
          <t>P3</t>
        </is>
      </c>
      <c r="F154" s="38" t="inlineStr">
        <is>
          <t>1. QUICK WIN</t>
        </is>
      </c>
      <c r="G154" s="18" t="inlineStr">
        <is>
          <t>Anand</t>
        </is>
      </c>
      <c r="H154" s="18" t="inlineStr"/>
      <c r="I154" s="43" t="inlineStr">
        <is>
          <t>Self-serve</t>
        </is>
      </c>
      <c r="J154" s="52" t="inlineStr">
        <is>
          <t>$0</t>
        </is>
      </c>
      <c r="K154" s="82" t="inlineStr">
        <is>
          <t>Pre-Resign</t>
        </is>
      </c>
      <c r="L154" s="44" t="inlineStr">
        <is>
          <t>Not started</t>
        </is>
      </c>
      <c r="M154" s="18" t="inlineStr">
        <is>
          <t>In progress - employer-conflict action register created with owner, dependency, definition of done, evidence gate, next step, and stop/go impact. This is not legal resolution; Done requires founder/counsel evidence for this row. Evidence: /Users/anand/Downloads/abarva-employer-conflict-readiness/EMPLOYER_CONFLICT_ACTION_REGISTER_2026-06-04.xlsx; index: /Users/anand/Downloads/abarva-employer-conflict-readiness/EMPLOYER_CONFLICT_READINESS_INDEX_2026-06-04.md. | Deprioritized 2026-06-04 — founder risk decision: Accenture unlikely to pursue a pilot-stage startup. Revisit only if a prospect procurement review raises it.</t>
        </is>
      </c>
    </row>
    <row r="155">
      <c r="A155" s="18" t="inlineStr">
        <is>
          <t>T319</t>
        </is>
      </c>
      <c r="B155" s="18" t="inlineStr">
        <is>
          <t>Employer Conflict</t>
        </is>
      </c>
      <c r="C155" s="18" t="inlineStr">
        <is>
          <t>Archive original AbarVa repository with full history — multiple encrypted offline backups</t>
        </is>
      </c>
      <c r="D155" s="18" t="inlineStr">
        <is>
          <t>Time Machine + USB drive + encrypted cloud (2+ copies). This is your proof of authorship + timeline. Date-stamp the backups.</t>
        </is>
      </c>
      <c r="E155" s="31" t="inlineStr">
        <is>
          <t>P1</t>
        </is>
      </c>
      <c r="F155" s="38" t="inlineStr">
        <is>
          <t>1. QUICK WIN</t>
        </is>
      </c>
      <c r="G155" s="18" t="inlineStr">
        <is>
          <t>Anand</t>
        </is>
      </c>
      <c r="H155" s="18" t="inlineStr"/>
      <c r="I155" s="43" t="inlineStr">
        <is>
          <t>Self-serve (backup)</t>
        </is>
      </c>
      <c r="J155" s="52" t="inlineStr">
        <is>
          <t>$0</t>
        </is>
      </c>
      <c r="K155" s="82" t="inlineStr">
        <is>
          <t>Pre-Resign</t>
        </is>
      </c>
      <c r="L155" s="44" t="inlineStr">
        <is>
          <t>In progress</t>
        </is>
      </c>
      <c r="M155" s="18" t="inlineStr">
        <is>
          <t>In progress - employer-conflict action register created with owner, dependency, definition of done, evidence gate, next step, and stop/go impact. This is not legal resolution; Done requires founder/counsel evidence for this row. Evidence: /Users/anand/Downloads/abarva-employer-conflict-readiness/EMPLOYER_CONFLICT_ACTION_REGISTER_2026-06-04.xlsx; index: /Users/anand/Downloads/abarva-employer-conflict-readiness/EMPLOYER_CONFLICT_READINESS_INDEX_2026-06-04.md. | Kept 2026-06-04 — protects AbarVa ownership/IP story regardless of Accenture; cheap one-time work.</t>
        </is>
      </c>
    </row>
    <row r="156">
      <c r="A156" s="18" t="inlineStr">
        <is>
          <t>T320</t>
        </is>
      </c>
      <c r="B156" s="18" t="inlineStr">
        <is>
          <t>Employer Conflict</t>
        </is>
      </c>
      <c r="C156" s="18" t="inlineStr">
        <is>
          <t>Notarize current code state with OpenTimestamps or similar (tamper-evident proof of existence)</t>
        </is>
      </c>
      <c r="D156" s="18" t="inlineStr">
        <is>
          <t>Free service. Generates a cryptographic proof: 'this code existed as of this date.' Belt-and-suspenders on timeline evidence.</t>
        </is>
      </c>
      <c r="E156" s="31" t="inlineStr">
        <is>
          <t>P3</t>
        </is>
      </c>
      <c r="F156" s="38" t="inlineStr">
        <is>
          <t>1. QUICK WIN</t>
        </is>
      </c>
      <c r="G156" s="18" t="inlineStr">
        <is>
          <t>Anand</t>
        </is>
      </c>
      <c r="H156" s="18" t="inlineStr"/>
      <c r="I156" s="43" t="inlineStr">
        <is>
          <t>Self-serve</t>
        </is>
      </c>
      <c r="J156" s="52" t="inlineStr">
        <is>
          <t>$0 (OpenTimestamps free)</t>
        </is>
      </c>
      <c r="K156" s="82" t="inlineStr">
        <is>
          <t>Pre-Resign</t>
        </is>
      </c>
      <c r="L156" s="44" t="inlineStr">
        <is>
          <t>Not started</t>
        </is>
      </c>
      <c r="M156" s="18" t="inlineStr">
        <is>
          <t>In progress - employer-conflict action register created with owner, dependency, definition of done, evidence gate, next step, and stop/go impact. This is not legal resolution; Done requires founder/counsel evidence for this row. Evidence: /Users/anand/Downloads/abarva-employer-conflict-readiness/EMPLOYER_CONFLICT_ACTION_REGISTER_2026-06-04.xlsx; index: /Users/anand/Downloads/abarva-employer-conflict-readiness/EMPLOYER_CONFLICT_READINESS_INDEX_2026-06-04.md. | Deprioritized 2026-06-04 — founder risk decision: Accenture unlikely to pursue a pilot-stage startup. Revisit only if a prospect procurement review raises it.</t>
        </is>
      </c>
    </row>
    <row r="157">
      <c r="A157" s="18" t="inlineStr">
        <is>
          <t>T321</t>
        </is>
      </c>
      <c r="B157" s="18" t="inlineStr">
        <is>
          <t>Employer Conflict</t>
        </is>
      </c>
      <c r="C157" s="18" t="inlineStr">
        <is>
          <t>Build personal evidence portfolio: MacBook ownership proof, Apple receipts, domain registration dates, personal credit card records for AbarVa spend</t>
        </is>
      </c>
      <c r="D157" s="18" t="inlineStr">
        <is>
          <t>Discoverable proof that work was on personal equipment + personal funds. Save in same archive as code. NOTE: 5/17-5/26 vacation work is gold-standard evidence — capture vacation request records + commit timestamps in this window.</t>
        </is>
      </c>
      <c r="E157" s="31" t="inlineStr">
        <is>
          <t>P3</t>
        </is>
      </c>
      <c r="F157" s="38" t="inlineStr">
        <is>
          <t>1. QUICK WIN</t>
        </is>
      </c>
      <c r="G157" s="18" t="inlineStr">
        <is>
          <t>Anand</t>
        </is>
      </c>
      <c r="H157" s="18" t="inlineStr"/>
      <c r="I157" s="43" t="inlineStr">
        <is>
          <t>Self-serve (compile)</t>
        </is>
      </c>
      <c r="J157" s="52" t="inlineStr">
        <is>
          <t>$0</t>
        </is>
      </c>
      <c r="K157" s="82" t="inlineStr">
        <is>
          <t>Pre-Resign</t>
        </is>
      </c>
      <c r="L157" s="44" t="inlineStr">
        <is>
          <t>Not started</t>
        </is>
      </c>
      <c r="M157" s="18" t="inlineStr">
        <is>
          <t>In progress - employer-conflict action register created with owner, dependency, definition of done, evidence gate, next step, and stop/go impact. This is not legal resolution; Done requires founder/counsel evidence for this row. Evidence: /Users/anand/Downloads/abarva-employer-conflict-readiness/EMPLOYER_CONFLICT_ACTION_REGISTER_2026-06-04.xlsx; index: /Users/anand/Downloads/abarva-employer-conflict-readiness/EMPLOYER_CONFLICT_READINESS_INDEX_2026-06-04.md. | Deprioritized 2026-06-04 — founder risk decision: Accenture unlikely to pursue a pilot-stage startup. Revisit only if a prospect procurement review raises it.</t>
        </is>
      </c>
    </row>
    <row r="158">
      <c r="A158" s="18" t="inlineStr">
        <is>
          <t>T323</t>
        </is>
      </c>
      <c r="B158" s="18" t="inlineStr">
        <is>
          <t>Employer Conflict</t>
        </is>
      </c>
      <c r="C158" s="18" t="inlineStr">
        <is>
          <t>New AbarVa Inc. corporate repo: import code as initial commit + clearly state assignment in commit message</t>
        </is>
      </c>
      <c r="D158" s="18" t="inlineStr">
        <is>
          <t>New repo date is fine — it's a transfer event, not concealment. Commit message references the assignment agreement. Original repo preserved as archive.</t>
        </is>
      </c>
      <c r="E158" s="31" t="inlineStr">
        <is>
          <t>P1</t>
        </is>
      </c>
      <c r="F158" s="38" t="inlineStr">
        <is>
          <t>1. QUICK WIN</t>
        </is>
      </c>
      <c r="G158" s="18" t="inlineStr">
        <is>
          <t>Anand</t>
        </is>
      </c>
      <c r="H158" s="18" t="inlineStr"/>
      <c r="I158" s="43" t="inlineStr">
        <is>
          <t>Self-serve (git)</t>
        </is>
      </c>
      <c r="J158" s="52" t="inlineStr">
        <is>
          <t>$0</t>
        </is>
      </c>
      <c r="K158" s="82" t="inlineStr">
        <is>
          <t>Pre-Resign</t>
        </is>
      </c>
      <c r="L158" s="44" t="inlineStr">
        <is>
          <t>In progress</t>
        </is>
      </c>
      <c r="M158" s="18" t="inlineStr">
        <is>
          <t>In progress - employer-conflict action register created with owner, dependency, definition of done, evidence gate, next step, and stop/go impact. This is not legal resolution; Done requires founder/counsel evidence for this row. Evidence: /Users/anand/Downloads/abarva-employer-conflict-readiness/EMPLOYER_CONFLICT_ACTION_REGISTER_2026-06-04.xlsx; index: /Users/anand/Downloads/abarva-employer-conflict-readiness/EMPLOYER_CONFLICT_READINESS_INDEX_2026-06-04.md. | Kept 2026-06-04 — protects AbarVa ownership/IP story regardless of Accenture; cheap one-time work.</t>
        </is>
      </c>
    </row>
    <row r="159">
      <c r="A159" s="18" t="inlineStr">
        <is>
          <t>T312</t>
        </is>
      </c>
      <c r="B159" s="18" t="inlineStr">
        <is>
          <t>Employer Conflict</t>
        </is>
      </c>
      <c r="C159" s="18" t="inlineStr">
        <is>
          <t>Audit AbarVa corpus + Move templates + methodologies for any Accenture-derived material</t>
        </is>
      </c>
      <c r="D159" s="18" t="inlineStr">
        <is>
          <t>Patterns must derive from public sources or original work — NOT from Accenture engagements. Scrub anything ambiguous.</t>
        </is>
      </c>
      <c r="E159" s="31" t="inlineStr">
        <is>
          <t>P3</t>
        </is>
      </c>
      <c r="F159" s="39" t="inlineStr">
        <is>
          <t>2. CLAUDE DOES IT</t>
        </is>
      </c>
      <c r="G159" s="18" t="inlineStr">
        <is>
          <t>Anand</t>
        </is>
      </c>
      <c r="H159" s="18" t="inlineStr"/>
      <c r="I159" s="45" t="inlineStr">
        <is>
          <t>Claude (audit) + you</t>
        </is>
      </c>
      <c r="J159" s="52" t="inlineStr">
        <is>
          <t>$0</t>
        </is>
      </c>
      <c r="K159" s="82" t="inlineStr">
        <is>
          <t>Pre-Resign</t>
        </is>
      </c>
      <c r="L159" s="44" t="inlineStr">
        <is>
          <t>Not started</t>
        </is>
      </c>
      <c r="M159" s="18" t="inlineStr">
        <is>
          <t>In progress - employer-conflict action register created with owner, dependency, definition of done, evidence gate, next step, and stop/go impact. This is not legal resolution; Done requires founder/counsel evidence for this row. Evidence: /Users/anand/Downloads/abarva-employer-conflict-readiness/EMPLOYER_CONFLICT_ACTION_REGISTER_2026-06-04.xlsx; index: /Users/anand/Downloads/abarva-employer-conflict-readiness/EMPLOYER_CONFLICT_READINESS_INDEX_2026-06-04.md. | Deprioritized 2026-06-04 — founder risk decision: Accenture unlikely to pursue a pilot-stage startup. Revisit only if a prospect procurement review raises it.</t>
        </is>
      </c>
    </row>
    <row r="160">
      <c r="A160" s="18" t="inlineStr">
        <is>
          <t>T322</t>
        </is>
      </c>
      <c r="B160" s="18" t="inlineStr">
        <is>
          <t>Employer Conflict</t>
        </is>
      </c>
      <c r="C160" s="18" t="inlineStr">
        <is>
          <t>Post-incorporation: clean IP assignment from founder to AbarVa Inc. (written agreement, dated)</t>
        </is>
      </c>
      <c r="D160" s="18" t="inlineStr">
        <is>
          <t>'Founder transfers all rights in code created on personal time/equipment between [date] and [date] to AbarVa Inc.' Lawyer drafts. THIS is the right way to 'transfer to company' — not git wipe.</t>
        </is>
      </c>
      <c r="E160" s="31" t="inlineStr">
        <is>
          <t>P1</t>
        </is>
      </c>
      <c r="F160" s="39" t="inlineStr">
        <is>
          <t>2. CLAUDE DOES IT</t>
        </is>
      </c>
      <c r="G160" s="18" t="inlineStr">
        <is>
          <t>Anand</t>
        </is>
      </c>
      <c r="H160" s="18" t="inlineStr"/>
      <c r="I160" s="45" t="inlineStr">
        <is>
          <t>Claude (draft) + lawyer</t>
        </is>
      </c>
      <c r="J160" s="51" t="inlineStr">
        <is>
          <t>$500 (within lawyer initial)</t>
        </is>
      </c>
      <c r="K160" s="82" t="inlineStr">
        <is>
          <t>Pre-Resign</t>
        </is>
      </c>
      <c r="L160" s="44" t="inlineStr">
        <is>
          <t>In progress</t>
        </is>
      </c>
      <c r="M160" s="18" t="inlineStr">
        <is>
          <t>In progress - employer-conflict action register created with owner, dependency, definition of done, evidence gate, next step, and stop/go impact. This is not legal resolution; Done requires founder/counsel evidence for this row. Evidence: /Users/anand/Downloads/abarva-employer-conflict-readiness/EMPLOYER_CONFLICT_ACTION_REGISTER_2026-06-04.xlsx; index: /Users/anand/Downloads/abarva-employer-conflict-readiness/EMPLOYER_CONFLICT_READINESS_INDEX_2026-06-04.md. | Kept 2026-06-04 — protects AbarVa ownership/IP story regardless of Accenture; cheap one-time work.</t>
        </is>
      </c>
    </row>
    <row r="161">
      <c r="A161" s="18" t="inlineStr">
        <is>
          <t>T311</t>
        </is>
      </c>
      <c r="B161" s="18" t="inlineStr">
        <is>
          <t>Employer Conflict</t>
        </is>
      </c>
      <c r="C161" s="18" t="inlineStr">
        <is>
          <t>Document AbarVa development timeline — clean separation from Accenture work</t>
        </is>
      </c>
      <c r="D161" s="18" t="inlineStr">
        <is>
          <t>Personal time, personal equipment, no Accenture resources, no Accenture client data. Git commits, time stamps, equipment IDs. Defensible audit trail if challenged.</t>
        </is>
      </c>
      <c r="E161" s="31" t="inlineStr">
        <is>
          <t>P3</t>
        </is>
      </c>
      <c r="F161" s="40" t="inlineStr">
        <is>
          <t>3. CLAUDE + YOU</t>
        </is>
      </c>
      <c r="G161" s="18" t="inlineStr">
        <is>
          <t>Anand</t>
        </is>
      </c>
      <c r="H161" s="18" t="inlineStr"/>
      <c r="I161" s="47" t="inlineStr">
        <is>
          <t>Claude + you (compile)</t>
        </is>
      </c>
      <c r="J161" s="52" t="inlineStr">
        <is>
          <t>$0</t>
        </is>
      </c>
      <c r="K161" s="82" t="inlineStr">
        <is>
          <t>Pre-Resign</t>
        </is>
      </c>
      <c r="L161" s="44" t="inlineStr">
        <is>
          <t>Not started</t>
        </is>
      </c>
      <c r="M161" s="18" t="inlineStr">
        <is>
          <t>In progress - employer-conflict action register created with owner, dependency, definition of done, evidence gate, next step, and stop/go impact. This is not legal resolution; Done requires founder/counsel evidence for this row. Evidence: /Users/anand/Downloads/abarva-employer-conflict-readiness/EMPLOYER_CONFLICT_ACTION_REGISTER_2026-06-04.xlsx; index: /Users/anand/Downloads/abarva-employer-conflict-readiness/EMPLOYER_CONFLICT_READINESS_INDEX_2026-06-04.md. | Deprioritized 2026-06-04 — founder risk decision: Accenture unlikely to pursue a pilot-stage startup. Revisit only if a prospect procurement review raises it.</t>
        </is>
      </c>
    </row>
    <row r="162">
      <c r="A162" s="18" t="inlineStr">
        <is>
          <t>T314</t>
        </is>
      </c>
      <c r="B162" s="18" t="inlineStr">
        <is>
          <t>Employer Conflict</t>
        </is>
      </c>
      <c r="C162" s="18" t="inlineStr">
        <is>
          <t>Plan notice period + garden leave (if required) — bake into pilot timing</t>
        </is>
      </c>
      <c r="D162" s="18" t="inlineStr">
        <is>
          <t>Accenture notice typically 30-90 days senior level. Garden leave may delay your free-to-work date. Must align with July 1 pilot kickoff target.</t>
        </is>
      </c>
      <c r="E162" s="31" t="inlineStr">
        <is>
          <t>P3</t>
        </is>
      </c>
      <c r="F162" s="40" t="inlineStr">
        <is>
          <t>3. CLAUDE + YOU</t>
        </is>
      </c>
      <c r="G162" s="18" t="inlineStr">
        <is>
          <t>Anand</t>
        </is>
      </c>
      <c r="H162" s="18" t="inlineStr"/>
      <c r="I162" s="47" t="inlineStr">
        <is>
          <t>Claude + you</t>
        </is>
      </c>
      <c r="J162" s="52" t="inlineStr">
        <is>
          <t>$0</t>
        </is>
      </c>
      <c r="K162" s="82" t="inlineStr">
        <is>
          <t>Pre-Resign</t>
        </is>
      </c>
      <c r="L162" s="44" t="inlineStr">
        <is>
          <t>Not started</t>
        </is>
      </c>
      <c r="M162" s="18" t="inlineStr">
        <is>
          <t>In progress - employer-conflict action register created with owner, dependency, definition of done, evidence gate, next step, and stop/go impact. This is not legal resolution; Done requires founder/counsel evidence for this row. Evidence: /Users/anand/Downloads/abarva-employer-conflict-readiness/EMPLOYER_CONFLICT_ACTION_REGISTER_2026-06-04.xlsx; index: /Users/anand/Downloads/abarva-employer-conflict-readiness/EMPLOYER_CONFLICT_READINESS_INDEX_2026-06-04.md. | Deprioritized 2026-06-04 — founder risk decision: Accenture unlikely to pursue a pilot-stage startup. Revisit only if a prospect procurement review raises it.</t>
        </is>
      </c>
    </row>
    <row r="163">
      <c r="A163" s="18" t="inlineStr">
        <is>
          <t>T308</t>
        </is>
      </c>
      <c r="B163" s="18" t="inlineStr">
        <is>
          <t>Employer Conflict</t>
        </is>
      </c>
      <c r="C163" s="18" t="inlineStr">
        <is>
          <t>Engage employment lawyer (separate from corp/tech lawyer) for Accenture-specific opinion letter</t>
        </is>
      </c>
      <c r="D163" s="18" t="inlineStr">
        <is>
          <t>$2-5k. Review non-compete, non-solicit, confidentiality, IP. Get WRITTEN opinion you can rely on.</t>
        </is>
      </c>
      <c r="E163" s="31" t="inlineStr">
        <is>
          <t>P3</t>
        </is>
      </c>
      <c r="F163" s="42" t="inlineStr">
        <is>
          <t>5. EXTERNAL</t>
        </is>
      </c>
      <c r="G163" s="18" t="inlineStr">
        <is>
          <t>Anand</t>
        </is>
      </c>
      <c r="H163" s="18" t="inlineStr"/>
      <c r="I163" s="48" t="inlineStr">
        <is>
          <t>3rd party: employment lawyer</t>
        </is>
      </c>
      <c r="J163" s="51" t="inlineStr">
        <is>
          <t>$2-5k one-time</t>
        </is>
      </c>
      <c r="K163" s="82" t="inlineStr">
        <is>
          <t>Pre-Resign</t>
        </is>
      </c>
      <c r="L163" s="44" t="inlineStr">
        <is>
          <t>Not started</t>
        </is>
      </c>
      <c r="M163" s="18" t="inlineStr">
        <is>
          <t>In progress - employer-conflict action register created with owner, dependency, definition of done, evidence gate, next step, and stop/go impact. This is not legal resolution; Done requires founder/counsel evidence for this row. Evidence: /Users/anand/Downloads/abarva-employer-conflict-readiness/EMPLOYER_CONFLICT_ACTION_REGISTER_2026-06-04.xlsx; index: /Users/anand/Downloads/abarva-employer-conflict-readiness/EMPLOYER_CONFLICT_READINESS_INDEX_2026-06-04.md. | Deprioritized 2026-06-04 — founder risk decision: Accenture unlikely to pursue a pilot-stage startup. Revisit only if a prospect procurement review raises it.</t>
        </is>
      </c>
    </row>
    <row r="164">
      <c r="A164" s="18" t="inlineStr">
        <is>
          <t>T309</t>
        </is>
      </c>
      <c r="B164" s="18" t="inlineStr">
        <is>
          <t>Employer Conflict</t>
        </is>
      </c>
      <c r="C164" s="18" t="inlineStr">
        <is>
          <t>Map PHS / KK / Surekha against Accenture's client list — any overlap?</t>
        </is>
      </c>
      <c r="D164" s="18" t="inlineStr">
        <is>
          <t>If any are current/recent Accenture clients, especially ones you've worked on, that prospect is high-risk.</t>
        </is>
      </c>
      <c r="E164" s="31" t="inlineStr">
        <is>
          <t>P3</t>
        </is>
      </c>
      <c r="F164" s="42" t="inlineStr">
        <is>
          <t>5. EXTERNAL</t>
        </is>
      </c>
      <c r="G164" s="18" t="inlineStr">
        <is>
          <t>Anand</t>
        </is>
      </c>
      <c r="H164" s="18" t="inlineStr"/>
      <c r="I164" s="48" t="inlineStr">
        <is>
          <t>You only (relationship audit)</t>
        </is>
      </c>
      <c r="J164" s="52" t="inlineStr">
        <is>
          <t>$0</t>
        </is>
      </c>
      <c r="K164" s="82" t="inlineStr">
        <is>
          <t>Pre-Resign</t>
        </is>
      </c>
      <c r="L164" s="44" t="inlineStr">
        <is>
          <t>Not started</t>
        </is>
      </c>
      <c r="M164" s="18" t="inlineStr">
        <is>
          <t>In progress - employer-conflict action register created with owner, dependency, definition of done, evidence gate, next step, and stop/go impact. This is not legal resolution; Done requires founder/counsel evidence for this row. Evidence: /Users/anand/Downloads/abarva-employer-conflict-readiness/EMPLOYER_CONFLICT_ACTION_REGISTER_2026-06-04.xlsx; index: /Users/anand/Downloads/abarva-employer-conflict-readiness/EMPLOYER_CONFLICT_READINESS_INDEX_2026-06-04.md. | Deprioritized 2026-06-04 — founder risk decision: Accenture unlikely to pursue a pilot-stage startup. Revisit only if a prospect procurement review raises it.</t>
        </is>
      </c>
    </row>
    <row r="165">
      <c r="A165" s="18" t="inlineStr">
        <is>
          <t>T310</t>
        </is>
      </c>
      <c r="B165" s="18" t="inlineStr">
        <is>
          <t>Employer Conflict</t>
        </is>
      </c>
      <c r="C165" s="18" t="inlineStr">
        <is>
          <t>PAUSE active close sprints until employment lawyer opinion received</t>
        </is>
      </c>
      <c r="D165" s="18" t="inlineStr">
        <is>
          <t>Continuing without clarity = career + litigation risk. 1-2 week pause is cheap insurance.</t>
        </is>
      </c>
      <c r="E165" s="31" t="inlineStr">
        <is>
          <t>P3</t>
        </is>
      </c>
      <c r="F165" s="42" t="inlineStr">
        <is>
          <t>5. EXTERNAL</t>
        </is>
      </c>
      <c r="G165" s="18" t="inlineStr">
        <is>
          <t>Anand</t>
        </is>
      </c>
      <c r="H165" s="18" t="inlineStr"/>
      <c r="I165" s="48" t="inlineStr">
        <is>
          <t>You only (calendar pause)</t>
        </is>
      </c>
      <c r="J165" s="52" t="inlineStr">
        <is>
          <t>$0</t>
        </is>
      </c>
      <c r="K165" s="82" t="inlineStr">
        <is>
          <t>Pre-Resign</t>
        </is>
      </c>
      <c r="L165" s="44" t="inlineStr">
        <is>
          <t>Not started</t>
        </is>
      </c>
      <c r="M165" s="18" t="inlineStr">
        <is>
          <t>In progress - employer-conflict action register created with owner, dependency, definition of done, evidence gate, next step, and stop/go impact. This is not legal resolution; Done requires founder/counsel evidence for this row. Evidence: /Users/anand/Downloads/abarva-employer-conflict-readiness/EMPLOYER_CONFLICT_ACTION_REGISTER_2026-06-04.xlsx; index: /Users/anand/Downloads/abarva-employer-conflict-readiness/EMPLOYER_CONFLICT_READINESS_INDEX_2026-06-04.md. | SUPERSEDED 2026-06-04 — close sprints NOT paused; founder accepts the conflict risk. Run PHS/KK normally.</t>
        </is>
      </c>
    </row>
    <row r="166">
      <c r="A166" s="18" t="inlineStr">
        <is>
          <t>T313</t>
        </is>
      </c>
      <c r="B166" s="18" t="inlineStr">
        <is>
          <t>Employer Conflict</t>
        </is>
      </c>
      <c r="C166" s="18" t="inlineStr">
        <is>
          <t>Decide Accenture exit timing relative to pilot signings</t>
        </is>
      </c>
      <c r="D166" s="18" t="inlineStr">
        <is>
          <t>Cleanest: leave BEFORE signing pilots, with conflicts cleared. Risky: sign while at Accenture. Worst: sign with client overlap.</t>
        </is>
      </c>
      <c r="E166" s="31" t="inlineStr">
        <is>
          <t>P3</t>
        </is>
      </c>
      <c r="F166" s="42" t="inlineStr">
        <is>
          <t>5. EXTERNAL</t>
        </is>
      </c>
      <c r="G166" s="18" t="inlineStr">
        <is>
          <t>Anand</t>
        </is>
      </c>
      <c r="H166" s="18" t="inlineStr"/>
      <c r="I166" s="48" t="inlineStr">
        <is>
          <t>You only (strategic decision)</t>
        </is>
      </c>
      <c r="J166" s="52" t="inlineStr">
        <is>
          <t>$0</t>
        </is>
      </c>
      <c r="K166" s="82" t="inlineStr">
        <is>
          <t>Pre-Resign</t>
        </is>
      </c>
      <c r="L166" s="44" t="inlineStr">
        <is>
          <t>Not started</t>
        </is>
      </c>
      <c r="M166" s="18" t="inlineStr">
        <is>
          <t>In progress - employer-conflict action register created with owner, dependency, definition of done, evidence gate, next step, and stop/go impact. This is not legal resolution; Done requires founder/counsel evidence for this row. Evidence: /Users/anand/Downloads/abarva-employer-conflict-readiness/EMPLOYER_CONFLICT_ACTION_REGISTER_2026-06-04.xlsx; index: /Users/anand/Downloads/abarva-employer-conflict-readiness/EMPLOYER_CONFLICT_READINESS_INDEX_2026-06-04.md. | Deprioritized 2026-06-04 — founder risk decision: Accenture unlikely to pursue a pilot-stage startup. Revisit only if a prospect procurement review raises it.</t>
        </is>
      </c>
    </row>
    <row r="167">
      <c r="A167" s="18" t="inlineStr">
        <is>
          <t>T316</t>
        </is>
      </c>
      <c r="B167" s="18" t="inlineStr">
        <is>
          <t>Employer Conflict</t>
        </is>
      </c>
      <c r="C167" s="18" t="inlineStr">
        <is>
          <t>Don't mention AbarVa to Accenture colleagues yet</t>
        </is>
      </c>
      <c r="D167" s="18" t="inlineStr">
        <is>
          <t>Discoverable in litigation. Keep counsel close. Discuss with employment lawyer when/how to disclose internally.</t>
        </is>
      </c>
      <c r="E167" s="31" t="inlineStr">
        <is>
          <t>P3</t>
        </is>
      </c>
      <c r="F167" s="42" t="inlineStr">
        <is>
          <t>5. EXTERNAL</t>
        </is>
      </c>
      <c r="G167" s="18" t="inlineStr">
        <is>
          <t>Anand</t>
        </is>
      </c>
      <c r="H167" s="18" t="inlineStr"/>
      <c r="I167" s="48" t="inlineStr">
        <is>
          <t>You only</t>
        </is>
      </c>
      <c r="J167" s="52" t="inlineStr">
        <is>
          <t>$0</t>
        </is>
      </c>
      <c r="K167" s="82" t="inlineStr">
        <is>
          <t>Pre-Resign</t>
        </is>
      </c>
      <c r="L167" s="44" t="inlineStr">
        <is>
          <t>Not started</t>
        </is>
      </c>
      <c r="M167" s="18" t="inlineStr">
        <is>
          <t>In progress - employer-conflict action register created with owner, dependency, definition of done, evidence gate, next step, and stop/go impact. This is not legal resolution; Done requires founder/counsel evidence for this row. Evidence: /Users/anand/Downloads/abarva-employer-conflict-readiness/EMPLOYER_CONFLICT_ACTION_REGISTER_2026-06-04.xlsx; index: /Users/anand/Downloads/abarva-employer-conflict-readiness/EMPLOYER_CONFLICT_READINESS_INDEX_2026-06-04.md. | Deprioritized 2026-06-04 — founder risk decision: Accenture unlikely to pursue a pilot-stage startup. Revisit only if a prospect procurement review raises it.</t>
        </is>
      </c>
    </row>
    <row r="168">
      <c r="A168" s="18" t="inlineStr">
        <is>
          <t>T318</t>
        </is>
      </c>
      <c r="B168" s="18" t="inlineStr">
        <is>
          <t>Employer Conflict</t>
        </is>
      </c>
      <c r="C168" s="18" t="inlineStr">
        <is>
          <t>⚠️ DO NOT wipe git history for 'fresh timestamp' — PRESERVE original commits as proof</t>
        </is>
      </c>
      <c r="D168" s="18" t="inlineStr">
        <is>
          <t>Original timestamps + personal email + evening/weekend commits are your PROOF the code is yours. Wiping = looks like spoliation of evidence in litigation. KEEP everything.</t>
        </is>
      </c>
      <c r="E168" s="31" t="inlineStr">
        <is>
          <t>P1</t>
        </is>
      </c>
      <c r="F168" s="42" t="inlineStr">
        <is>
          <t>5. EXTERNAL</t>
        </is>
      </c>
      <c r="G168" s="18" t="inlineStr">
        <is>
          <t>Anand</t>
        </is>
      </c>
      <c r="H168" s="18" t="inlineStr"/>
      <c r="I168" s="48" t="inlineStr">
        <is>
          <t>You only (don't do the wipe)</t>
        </is>
      </c>
      <c r="J168" s="52" t="inlineStr">
        <is>
          <t>$0</t>
        </is>
      </c>
      <c r="K168" s="82" t="inlineStr">
        <is>
          <t>Pre-Resign</t>
        </is>
      </c>
      <c r="L168" s="44" t="inlineStr">
        <is>
          <t>In progress</t>
        </is>
      </c>
      <c r="M168" s="18" t="inlineStr">
        <is>
          <t>In progress - employer-conflict action register created with owner, dependency, definition of done, evidence gate, next step, and stop/go impact. This is not legal resolution; Done requires founder/counsel evidence for this row. Evidence: /Users/anand/Downloads/abarva-employer-conflict-readiness/EMPLOYER_CONFLICT_ACTION_REGISTER_2026-06-04.xlsx; index: /Users/anand/Downloads/abarva-employer-conflict-readiness/EMPLOYER_CONFLICT_READINESS_INDEX_2026-06-04.md. | Kept 2026-06-04 — protects AbarVa ownership/IP story regardless of Accenture; cheap one-time work.</t>
        </is>
      </c>
    </row>
    <row r="169">
      <c r="A169" s="18" t="inlineStr">
        <is>
          <t>T324</t>
        </is>
      </c>
      <c r="B169" s="18" t="inlineStr">
        <is>
          <t>Employer Conflict</t>
        </is>
      </c>
      <c r="C169" s="18" t="inlineStr">
        <is>
          <t>PHS-SPECIFIC LAWYER QUESTION: does Accenture non-solicit restrict business with PHS CDAO given 15-year preexisting personal relationship + Sutter handoff history?</t>
        </is>
      </c>
      <c r="D169" s="18" t="inlineStr">
        <is>
          <t>Most important question for your lawyer. Get WRITTEN opinion specifically on this fact pattern. 'Preexisting personal relationship' is your defense; 'introduced him to Accenture revenue' is their counter.</t>
        </is>
      </c>
      <c r="E169" s="31" t="inlineStr">
        <is>
          <t>P3</t>
        </is>
      </c>
      <c r="F169" s="42" t="inlineStr">
        <is>
          <t>5. EXTERNAL</t>
        </is>
      </c>
      <c r="G169" s="18" t="inlineStr">
        <is>
          <t>Anand</t>
        </is>
      </c>
      <c r="H169" s="18" t="inlineStr"/>
      <c r="I169" s="48" t="inlineStr">
        <is>
          <t>3rd party: employment lawyer</t>
        </is>
      </c>
      <c r="J169" s="52" t="inlineStr">
        <is>
          <t>$0 (within lawyer review)</t>
        </is>
      </c>
      <c r="K169" s="82" t="inlineStr">
        <is>
          <t>Pre-Resign</t>
        </is>
      </c>
      <c r="L169" s="44" t="inlineStr">
        <is>
          <t>Not started</t>
        </is>
      </c>
      <c r="M169" s="18" t="inlineStr">
        <is>
          <t>In progress - employer-conflict action register created with owner, dependency, definition of done, evidence gate, next step, and stop/go impact. This is not legal resolution; Done requires founder/counsel evidence for this row. Evidence: /Users/anand/Downloads/abarva-employer-conflict-readiness/EMPLOYER_CONFLICT_ACTION_REGISTER_2026-06-04.xlsx; index: /Users/anand/Downloads/abarva-employer-conflict-readiness/EMPLOYER_CONFLICT_READINESS_INDEX_2026-06-04.md. | Deprioritized 2026-06-04 — founder risk decision: Accenture unlikely to pursue a pilot-stage startup. Revisit only if a prospect procurement review raises it.</t>
        </is>
      </c>
    </row>
    <row r="170">
      <c r="A170" s="18" t="inlineStr">
        <is>
          <t>T325</t>
        </is>
      </c>
      <c r="B170" s="18" t="inlineStr">
        <is>
          <t>Employer Conflict</t>
        </is>
      </c>
      <c r="C170" s="18" t="inlineStr">
        <is>
          <t>Document 15-year PHS CDAO relationship timeline (predates Accenture)</t>
        </is>
      </c>
      <c r="D170" s="18" t="inlineStr">
        <is>
          <t>Emails, LinkedIn connection date, prior employer overlap dates. Contemporaneous evidence of personal relationship.</t>
        </is>
      </c>
      <c r="E170" s="31" t="inlineStr">
        <is>
          <t>P3</t>
        </is>
      </c>
      <c r="F170" s="42" t="inlineStr">
        <is>
          <t>5. EXTERNAL</t>
        </is>
      </c>
      <c r="G170" s="18" t="inlineStr">
        <is>
          <t>Anand</t>
        </is>
      </c>
      <c r="H170" s="18" t="inlineStr"/>
      <c r="I170" s="48" t="inlineStr">
        <is>
          <t>You only (compile)</t>
        </is>
      </c>
      <c r="J170" s="52" t="inlineStr">
        <is>
          <t>$0</t>
        </is>
      </c>
      <c r="K170" s="82" t="inlineStr">
        <is>
          <t>Pre-Resign</t>
        </is>
      </c>
      <c r="L170" s="44" t="inlineStr">
        <is>
          <t>Not started</t>
        </is>
      </c>
      <c r="M170" s="18" t="inlineStr">
        <is>
          <t>In progress - employer-conflict action register created with owner, dependency, definition of done, evidence gate, next step, and stop/go impact. This is not legal resolution; Done requires founder/counsel evidence for this row. Evidence: /Users/anand/Downloads/abarva-employer-conflict-readiness/EMPLOYER_CONFLICT_ACTION_REGISTER_2026-06-04.xlsx; index: /Users/anand/Downloads/abarva-employer-conflict-readiness/EMPLOYER_CONFLICT_READINESS_INDEX_2026-06-04.md. | Deprioritized 2026-06-04 — founder risk decision: Accenture unlikely to pursue a pilot-stage startup. Revisit only if a prospect procurement review raises it.</t>
        </is>
      </c>
    </row>
    <row r="171">
      <c r="A171" s="18" t="inlineStr">
        <is>
          <t>T326</t>
        </is>
      </c>
      <c r="B171" s="18" t="inlineStr">
        <is>
          <t>Employer Conflict</t>
        </is>
      </c>
      <c r="C171" s="18" t="inlineStr">
        <is>
          <t>PHS: do NOT sign pilot until (a) Accenture exit complete, (b) written lawyer opinion on CDAO non-solicit in hand</t>
        </is>
      </c>
      <c r="D171" s="18" t="inlineStr">
        <is>
          <t>Even with clean facts, PHS is the highest-risk prospect because user brought CDAO to Accenture revenue at Sutter. Buffer matters here.</t>
        </is>
      </c>
      <c r="E171" s="31" t="inlineStr">
        <is>
          <t>P3</t>
        </is>
      </c>
      <c r="F171" s="42" t="inlineStr">
        <is>
          <t>5. EXTERNAL</t>
        </is>
      </c>
      <c r="G171" s="18" t="inlineStr">
        <is>
          <t>Anand</t>
        </is>
      </c>
      <c r="H171" s="18" t="inlineStr"/>
      <c r="I171" s="48" t="inlineStr">
        <is>
          <t>You only (discipline)</t>
        </is>
      </c>
      <c r="J171" s="52" t="inlineStr">
        <is>
          <t>$0</t>
        </is>
      </c>
      <c r="K171" s="82" t="inlineStr">
        <is>
          <t>Pre-Resign</t>
        </is>
      </c>
      <c r="L171" s="44" t="inlineStr">
        <is>
          <t>Not started</t>
        </is>
      </c>
      <c r="M171" s="18" t="inlineStr">
        <is>
          <t>In progress - employer-conflict action register created with owner, dependency, definition of done, evidence gate, next step, and stop/go impact. This is not legal resolution; Done requires founder/counsel evidence for this row. Evidence: /Users/anand/Downloads/abarva-employer-conflict-readiness/EMPLOYER_CONFLICT_ACTION_REGISTER_2026-06-04.xlsx; index: /Users/anand/Downloads/abarva-employer-conflict-readiness/EMPLOYER_CONFLICT_READINESS_INDEX_2026-06-04.md. | SUPERSEDED 2026-06-04 — close sprints NOT paused; founder accepts the conflict risk. Run PHS/KK normally.</t>
        </is>
      </c>
    </row>
    <row r="172">
      <c r="A172" s="18" t="inlineStr">
        <is>
          <t>T328</t>
        </is>
      </c>
      <c r="B172" s="18" t="inlineStr">
        <is>
          <t>Employer Conflict</t>
        </is>
      </c>
      <c r="C172" s="18" t="inlineStr">
        <is>
          <t>Delta-SPECIFIC LAWYER QUESTION: lookback period on non-solicit; 2022 work + 6-month-ago visit — outside window?</t>
        </is>
      </c>
      <c r="D172" s="18" t="inlineStr">
        <is>
          <t>Likely LOW risk. Most non-solicit lookbacks are 12-24 months. 2022 work is outside. Visit was consultative, not engagement. Get confirmation.</t>
        </is>
      </c>
      <c r="E172" s="31" t="inlineStr">
        <is>
          <t>P3</t>
        </is>
      </c>
      <c r="F172" s="42" t="inlineStr">
        <is>
          <t>5. EXTERNAL</t>
        </is>
      </c>
      <c r="G172" s="18" t="inlineStr">
        <is>
          <t>Anand</t>
        </is>
      </c>
      <c r="H172" s="18" t="inlineStr"/>
      <c r="I172" s="48" t="inlineStr">
        <is>
          <t>3rd party: employment lawyer</t>
        </is>
      </c>
      <c r="J172" s="52" t="inlineStr">
        <is>
          <t>$0 (within lawyer review)</t>
        </is>
      </c>
      <c r="K172" s="82" t="inlineStr">
        <is>
          <t>Pre-Resign</t>
        </is>
      </c>
      <c r="L172" s="44" t="inlineStr">
        <is>
          <t>Not started</t>
        </is>
      </c>
      <c r="M172" s="18" t="inlineStr">
        <is>
          <t>In progress - employer-conflict action register created with owner, dependency, definition of done, evidence gate, next step, and stop/go impact. This is not legal resolution; Done requires founder/counsel evidence for this row. Evidence: /Users/anand/Downloads/abarva-employer-conflict-readiness/EMPLOYER_CONFLICT_ACTION_REGISTER_2026-06-04.xlsx; index: /Users/anand/Downloads/abarva-employer-conflict-readiness/EMPLOYER_CONFLICT_READINESS_INDEX_2026-06-04.md. | Deprioritized 2026-06-04 — founder risk decision: Accenture unlikely to pursue a pilot-stage startup. Revisit only if a prospect procurement review raises it.</t>
        </is>
      </c>
    </row>
    <row r="173">
      <c r="A173" s="18" t="inlineStr">
        <is>
          <t>T329</t>
        </is>
      </c>
      <c r="B173" s="18" t="inlineStr">
        <is>
          <t>Employer Conflict</t>
        </is>
      </c>
      <c r="C173" s="18" t="inlineStr">
        <is>
          <t>Surekha-SPECIFIC: confirm Morgan Street Holdings is NOT on Accenture client list (any segment)</t>
        </is>
      </c>
      <c r="D173" s="18" t="inlineStr">
        <is>
          <t>Likely clean (user has no history with them). Quick lawyer check of Accenture's client database.</t>
        </is>
      </c>
      <c r="E173" s="31" t="inlineStr">
        <is>
          <t>P3</t>
        </is>
      </c>
      <c r="F173" s="42" t="inlineStr">
        <is>
          <t>5. EXTERNAL</t>
        </is>
      </c>
      <c r="G173" s="18" t="inlineStr">
        <is>
          <t>Anand</t>
        </is>
      </c>
      <c r="H173" s="18" t="inlineStr"/>
      <c r="I173" s="48" t="inlineStr">
        <is>
          <t>3rd party: employment lawyer</t>
        </is>
      </c>
      <c r="J173" s="52" t="inlineStr">
        <is>
          <t>$0 (within lawyer review)</t>
        </is>
      </c>
      <c r="K173" s="82" t="inlineStr">
        <is>
          <t>Pre-Resign</t>
        </is>
      </c>
      <c r="L173" s="44" t="inlineStr">
        <is>
          <t>Not started</t>
        </is>
      </c>
      <c r="M173" s="18" t="inlineStr">
        <is>
          <t>In progress - employer-conflict action register created with owner, dependency, definition of done, evidence gate, next step, and stop/go impact. This is not legal resolution; Done requires founder/counsel evidence for this row. Evidence: /Users/anand/Downloads/abarva-employer-conflict-readiness/EMPLOYER_CONFLICT_ACTION_REGISTER_2026-06-04.xlsx; index: /Users/anand/Downloads/abarva-employer-conflict-readiness/EMPLOYER_CONFLICT_READINESS_INDEX_2026-06-04.md. | Deprioritized 2026-06-04 — founder risk decision: Accenture unlikely to pursue a pilot-stage startup. Revisit only if a prospect procurement review raises it.</t>
        </is>
      </c>
    </row>
    <row r="174">
      <c r="A174" s="18" t="inlineStr">
        <is>
          <t>T315</t>
        </is>
      </c>
      <c r="B174" s="18" t="inlineStr">
        <is>
          <t>Employer Conflict</t>
        </is>
      </c>
      <c r="C174" s="18" t="inlineStr">
        <is>
          <t>If prospect overlap exists: get written non-solicit waiver from Accenture (RISKY but possible)</t>
        </is>
      </c>
      <c r="D174" s="18" t="inlineStr">
        <is>
          <t>Some firms grant in writing for non-strategic clients. Accenture is more aggressive — but worth a quiet ask if specific client is critical.</t>
        </is>
      </c>
      <c r="E174" s="32" t="inlineStr">
        <is>
          <t>P3</t>
        </is>
      </c>
      <c r="F174" s="42" t="inlineStr">
        <is>
          <t>5. EXTERNAL</t>
        </is>
      </c>
      <c r="G174" s="18" t="inlineStr">
        <is>
          <t>Anand</t>
        </is>
      </c>
      <c r="H174" s="18" t="inlineStr"/>
      <c r="I174" s="48" t="inlineStr">
        <is>
          <t>3rd party: lawyer</t>
        </is>
      </c>
      <c r="J174" s="51" t="inlineStr">
        <is>
          <t>$1-2k (lawyer-drafted ask)</t>
        </is>
      </c>
      <c r="K174" s="82" t="inlineStr">
        <is>
          <t>Pre-Resign</t>
        </is>
      </c>
      <c r="L174" s="44" t="inlineStr">
        <is>
          <t>Not started</t>
        </is>
      </c>
      <c r="M174" s="18" t="inlineStr">
        <is>
          <t>In progress - employer-conflict action register created with owner, dependency, definition of done, evidence gate, next step, and stop/go impact. This is not legal resolution; Done requires founder/counsel evidence for this row. Evidence: /Users/anand/Downloads/abarva-employer-conflict-readiness/EMPLOYER_CONFLICT_ACTION_REGISTER_2026-06-04.xlsx; index: /Users/anand/Downloads/abarva-employer-conflict-readiness/EMPLOYER_CONFLICT_READINESS_INDEX_2026-06-04.md. | Deprioritized 2026-06-04 — founder risk decision: Accenture unlikely to pursue a pilot-stage startup. Revisit only if a prospect procurement review raises it.</t>
        </is>
      </c>
    </row>
    <row r="175">
      <c r="A175" s="18" t="inlineStr">
        <is>
          <t>T317</t>
        </is>
      </c>
      <c r="B175" s="18" t="inlineStr">
        <is>
          <t>Employer Conflict</t>
        </is>
      </c>
      <c r="C175" s="18" t="inlineStr">
        <is>
          <t>Identify any non-Accenture-client AbarVa prospects as fallback pipeline</t>
        </is>
      </c>
      <c r="D175" s="18" t="inlineStr">
        <is>
          <t>If PHS/KK/Morgan Street turn out to have Accenture conflict, you need clean prospects. 2-3 backups not from Accenture book.</t>
        </is>
      </c>
      <c r="E175" s="32" t="inlineStr">
        <is>
          <t>P3</t>
        </is>
      </c>
      <c r="F175" s="42" t="inlineStr">
        <is>
          <t>5. EXTERNAL</t>
        </is>
      </c>
      <c r="G175" s="18" t="inlineStr">
        <is>
          <t>Anand</t>
        </is>
      </c>
      <c r="H175" s="18" t="inlineStr"/>
      <c r="I175" s="48" t="inlineStr">
        <is>
          <t>You only</t>
        </is>
      </c>
      <c r="J175" s="52" t="inlineStr">
        <is>
          <t>$0</t>
        </is>
      </c>
      <c r="K175" s="82" t="inlineStr">
        <is>
          <t>Pre-Resign</t>
        </is>
      </c>
      <c r="L175" s="44" t="inlineStr">
        <is>
          <t>Not started</t>
        </is>
      </c>
      <c r="M175" s="18" t="inlineStr">
        <is>
          <t>In progress - employer-conflict action register created with owner, dependency, definition of done, evidence gate, next step, and stop/go impact. This is not legal resolution; Done requires founder/counsel evidence for this row. Evidence: /Users/anand/Downloads/abarva-employer-conflict-readiness/EMPLOYER_CONFLICT_ACTION_REGISTER_2026-06-04.xlsx; index: /Users/anand/Downloads/abarva-employer-conflict-readiness/EMPLOYER_CONFLICT_READINESS_INDEX_2026-06-04.md. | Deprioritized 2026-06-04 — founder risk decision: Accenture unlikely to pursue a pilot-stage startup. Revisit only if a prospect procurement review raises it.</t>
        </is>
      </c>
    </row>
    <row r="176">
      <c r="A176" s="18" t="inlineStr">
        <is>
          <t>T327</t>
        </is>
      </c>
      <c r="B176" s="18" t="inlineStr">
        <is>
          <t>Employer Conflict</t>
        </is>
      </c>
      <c r="C176" s="18" t="inlineStr">
        <is>
          <t>Consider 30-90 day buffer post-Accenture-exit before signing PHS specifically</t>
        </is>
      </c>
      <c r="D176" s="18" t="inlineStr">
        <is>
          <t>Reduces appearance of overlap. Lawyer will advise on whether needed based on agreement language.</t>
        </is>
      </c>
      <c r="E176" s="32" t="inlineStr">
        <is>
          <t>P3</t>
        </is>
      </c>
      <c r="F176" s="42" t="inlineStr">
        <is>
          <t>5. EXTERNAL</t>
        </is>
      </c>
      <c r="G176" s="18" t="inlineStr">
        <is>
          <t>Anand</t>
        </is>
      </c>
      <c r="H176" s="18" t="inlineStr"/>
      <c r="I176" s="48" t="inlineStr">
        <is>
          <t>You only (timing)</t>
        </is>
      </c>
      <c r="J176" s="52" t="inlineStr">
        <is>
          <t>$0</t>
        </is>
      </c>
      <c r="K176" s="82" t="inlineStr">
        <is>
          <t>Pre-Resign</t>
        </is>
      </c>
      <c r="L176" s="44" t="inlineStr">
        <is>
          <t>Not started</t>
        </is>
      </c>
      <c r="M176" s="18" t="inlineStr">
        <is>
          <t>In progress - employer-conflict action register created with owner, dependency, definition of done, evidence gate, next step, and stop/go impact. This is not legal resolution; Done requires founder/counsel evidence for this row. Evidence: /Users/anand/Downloads/abarva-employer-conflict-readiness/EMPLOYER_CONFLICT_ACTION_REGISTER_2026-06-04.xlsx; index: /Users/anand/Downloads/abarva-employer-conflict-readiness/EMPLOYER_CONFLICT_READINESS_INDEX_2026-06-04.md. | Deprioritized 2026-06-04 — founder risk decision: Accenture unlikely to pursue a pilot-stage startup. Revisit only if a prospect procurement review raises it.</t>
        </is>
      </c>
    </row>
    <row r="177">
      <c r="A177" s="18" t="inlineStr">
        <is>
          <t>T077</t>
        </is>
      </c>
      <c r="B177" s="18" t="inlineStr">
        <is>
          <t>Eng Governance</t>
        </is>
      </c>
      <c r="C177" s="18" t="inlineStr">
        <is>
          <t>Write GOVERNANCE.md — one-pager source of truth</t>
        </is>
      </c>
      <c r="D177" s="18" t="inlineStr">
        <is>
          <t>Links to: AGENTS.md, ADR index, CODEOWNERS, CI gates, runbooks, AI tool rules.</t>
        </is>
      </c>
      <c r="E177" s="31" t="inlineStr">
        <is>
          <t>P0</t>
        </is>
      </c>
      <c r="F177" s="39" t="inlineStr">
        <is>
          <t>2. CLAUDE DOES IT</t>
        </is>
      </c>
      <c r="G177" s="18" t="inlineStr">
        <is>
          <t>Anand</t>
        </is>
      </c>
      <c r="H177" s="18" t="inlineStr"/>
      <c r="I177" s="45" t="inlineStr">
        <is>
          <t>Claude (draft)</t>
        </is>
      </c>
      <c r="J177" s="52" t="inlineStr">
        <is>
          <t>$0</t>
        </is>
      </c>
      <c r="K177" s="82" t="inlineStr">
        <is>
          <t>Pre-Resign</t>
        </is>
      </c>
      <c r="L177" s="44" t="inlineStr">
        <is>
          <t>Done</t>
        </is>
      </c>
      <c r="M177" s="18" t="inlineStr">
        <is>
          <t>Repo evidence on origin/main: GOVERNANCE.md exists with AGENTS.md source-of-truth statement, governance file map, and change checklist; release record docs/releases/records/2026-06-01-add-governance-md.md exists.</t>
        </is>
      </c>
    </row>
    <row r="178">
      <c r="A178" s="18" t="inlineStr">
        <is>
          <t>T078</t>
        </is>
      </c>
      <c r="B178" s="18" t="inlineStr">
        <is>
          <t>Eng Governance</t>
        </is>
      </c>
      <c r="C178" s="18" t="inlineStr">
        <is>
          <t>ADR (Architecture Decision Record) framework</t>
        </is>
      </c>
      <c r="D178" s="18" t="inlineStr">
        <is>
          <t>docs/architecture/adr/ with template. ADR required for: framework change, new dependency &gt;X stars, cross-cutting refactor, security boundary change.</t>
        </is>
      </c>
      <c r="E178" s="31" t="inlineStr">
        <is>
          <t>P0</t>
        </is>
      </c>
      <c r="F178" s="39" t="inlineStr">
        <is>
          <t>2. CLAUDE DOES IT</t>
        </is>
      </c>
      <c r="G178" s="18" t="inlineStr">
        <is>
          <t>Anand</t>
        </is>
      </c>
      <c r="H178" s="18" t="inlineStr"/>
      <c r="I178" s="45" t="inlineStr">
        <is>
          <t>Claude (template)</t>
        </is>
      </c>
      <c r="J178" s="52" t="inlineStr">
        <is>
          <t>$0</t>
        </is>
      </c>
      <c r="K178" s="84" t="inlineStr">
        <is>
          <t>Anytime</t>
        </is>
      </c>
      <c r="L178" s="44" t="inlineStr">
        <is>
          <t>Done</t>
        </is>
      </c>
      <c r="M178" s="18" t="inlineStr">
        <is>
          <t>Repo evidence on origin/main: docs/architecture/adr/ exists with ADR-template.md and README.md index; release record docs/releases/records/2026-06-01-foundational-adrs.md exists.</t>
        </is>
      </c>
    </row>
    <row r="179">
      <c r="A179" s="18" t="inlineStr">
        <is>
          <t>T079</t>
        </is>
      </c>
      <c r="B179" s="18" t="inlineStr">
        <is>
          <t>Eng Governance</t>
        </is>
      </c>
      <c r="C179" s="18" t="inlineStr">
        <is>
          <t>Write first 5 foundational ADRs</t>
        </is>
      </c>
      <c r="D179" s="18" t="inlineStr">
        <is>
          <t>ADR-001 Control/data plane split. ADR-002 Broker boundary. ADR-003 Release lanes. ADR-004 Per-user RLS. ADR-005 AI tool governance.</t>
        </is>
      </c>
      <c r="E179" s="31" t="inlineStr">
        <is>
          <t>P0</t>
        </is>
      </c>
      <c r="F179" s="39" t="inlineStr">
        <is>
          <t>2. CLAUDE DOES IT</t>
        </is>
      </c>
      <c r="G179" s="18" t="inlineStr">
        <is>
          <t>Anand</t>
        </is>
      </c>
      <c r="H179" s="18" t="inlineStr">
        <is>
          <t>T078</t>
        </is>
      </c>
      <c r="I179" s="45" t="inlineStr">
        <is>
          <t>Claude (draft)</t>
        </is>
      </c>
      <c r="J179" s="52" t="inlineStr">
        <is>
          <t>$0</t>
        </is>
      </c>
      <c r="K179" s="82" t="inlineStr">
        <is>
          <t>Pre-Resign</t>
        </is>
      </c>
      <c r="L179" s="44" t="inlineStr">
        <is>
          <t>Done</t>
        </is>
      </c>
      <c r="M179" s="18" t="inlineStr">
        <is>
          <t>Repo evidence on origin/main: foundational ADRs ADR-0001 through ADR-0005 exist for control/data plane, broker boundary, release lanes, per-user RLS, and AI-tool governance.</t>
        </is>
      </c>
    </row>
    <row r="180">
      <c r="A180" s="18" t="inlineStr">
        <is>
          <t>T080</t>
        </is>
      </c>
      <c r="B180" s="18" t="inlineStr">
        <is>
          <t>Eng Governance</t>
        </is>
      </c>
      <c r="C180" s="18" t="inlineStr">
        <is>
          <t>CODEOWNERS — gates who reviews what</t>
        </is>
      </c>
      <c r="D180" s="18" t="inlineStr">
        <is>
          <t>.github/CODEOWNERS. Auth/security/migrations/broker = anand-only; routine = anyone.</t>
        </is>
      </c>
      <c r="E180" s="31" t="inlineStr">
        <is>
          <t>P0</t>
        </is>
      </c>
      <c r="F180" s="39" t="inlineStr">
        <is>
          <t>2. CLAUDE DOES IT</t>
        </is>
      </c>
      <c r="G180" s="18" t="inlineStr">
        <is>
          <t>Anand</t>
        </is>
      </c>
      <c r="H180" s="18" t="inlineStr"/>
      <c r="I180" s="45" t="inlineStr">
        <is>
          <t>Claude (draft)</t>
        </is>
      </c>
      <c r="J180" s="52" t="inlineStr">
        <is>
          <t>$0</t>
        </is>
      </c>
      <c r="K180" s="84" t="inlineStr">
        <is>
          <t>Anytime</t>
        </is>
      </c>
      <c r="L180" s="44" t="inlineStr">
        <is>
          <t>Done</t>
        </is>
      </c>
      <c r="M180" s="18" t="inlineStr">
        <is>
          <t>Repo evidence on origin/main: .github/CODEOWNERS exists with repository default owner and sensitive path ownership; release record docs/releases/records/2026-06-01-add-codeowners.md exists.</t>
        </is>
      </c>
    </row>
    <row r="181">
      <c r="A181" s="18" t="inlineStr">
        <is>
          <t>T082</t>
        </is>
      </c>
      <c r="B181" s="18" t="inlineStr">
        <is>
          <t>Eng Governance</t>
        </is>
      </c>
      <c r="C181" s="18" t="inlineStr">
        <is>
          <t>Pre-commit hooks (husky + lint-staged)</t>
        </is>
      </c>
      <c r="D181" s="18" t="inlineStr">
        <is>
          <t>Lint + format + typecheck on staged files. Block bad commits before they hit CI.</t>
        </is>
      </c>
      <c r="E181" s="31" t="inlineStr">
        <is>
          <t>P0</t>
        </is>
      </c>
      <c r="F181" s="39" t="inlineStr">
        <is>
          <t>2. CLAUDE DOES IT</t>
        </is>
      </c>
      <c r="G181" s="18" t="inlineStr">
        <is>
          <t>Anand</t>
        </is>
      </c>
      <c r="H181" s="18" t="inlineStr"/>
      <c r="I181" s="45" t="inlineStr">
        <is>
          <t>Claude (config)</t>
        </is>
      </c>
      <c r="J181" s="52" t="inlineStr">
        <is>
          <t>$0</t>
        </is>
      </c>
      <c r="K181" s="84" t="inlineStr">
        <is>
          <t>Anytime</t>
        </is>
      </c>
      <c r="L181" s="44" t="inlineStr">
        <is>
          <t>Done</t>
        </is>
      </c>
      <c r="M181" s="18" t="inlineStr">
        <is>
          <t>Repo evidence on origin/main: husky pre-commit and commit-msg hooks, lint-staged config, commitlint config, and docs/runbooks/dev-environment.md are present; release record docs/releases/records/2026-06-01-add-hooks.md exists.</t>
        </is>
      </c>
    </row>
    <row r="182">
      <c r="A182" s="18" t="inlineStr">
        <is>
          <t>T084</t>
        </is>
      </c>
      <c r="B182" s="18" t="inlineStr">
        <is>
          <t>Eng Governance</t>
        </is>
      </c>
      <c r="C182" s="18" t="inlineStr">
        <is>
          <t>Required CI gates (must pass to merge)</t>
        </is>
      </c>
      <c r="D182" s="18" t="inlineStr">
        <is>
          <t>Lint, typecheck, unit, integration, build, bundle-size, secret scan, dep audit, license, ADR check, release record.</t>
        </is>
      </c>
      <c r="E182" s="31" t="inlineStr">
        <is>
          <t>P0</t>
        </is>
      </c>
      <c r="F182" s="39" t="inlineStr">
        <is>
          <t>2. CLAUDE DOES IT</t>
        </is>
      </c>
      <c r="G182" s="18" t="inlineStr">
        <is>
          <t>Anand</t>
        </is>
      </c>
      <c r="H182" s="18" t="inlineStr"/>
      <c r="I182" s="45" t="inlineStr">
        <is>
          <t>Claude (workflows)</t>
        </is>
      </c>
      <c r="J182" s="52" t="inlineStr">
        <is>
          <t>$0 (GH Actions free at startup scale)</t>
        </is>
      </c>
      <c r="K182" s="84" t="inlineStr">
        <is>
          <t>Anytime</t>
        </is>
      </c>
      <c r="L182" s="44" t="inlineStr">
        <is>
          <t>Done</t>
        </is>
      </c>
      <c r="M182" s="18" t="inlineStr">
        <is>
          <t>GitHub main branch protection enforces strict required checks with admins included. Corrected 2026-06-02 to 19 universal contexts that report on every PR; path-filtered checks such as Atlas eval, fresh migration replay, canonical tenant drift, depth lint, agent quality corpus, and license/SBOM remain contextual gates when their workflow paths change, not universal blockers.</t>
        </is>
      </c>
    </row>
    <row r="183">
      <c r="A183" s="18" t="inlineStr">
        <is>
          <t>T085</t>
        </is>
      </c>
      <c r="B183" s="18" t="inlineStr">
        <is>
          <t>Eng Governance</t>
        </is>
      </c>
      <c r="C183" s="18" t="inlineStr">
        <is>
          <t>Architecture boundary enforcement (dependency-cruiser)</t>
        </is>
      </c>
      <c r="D183" s="18" t="inlineStr">
        <is>
          <t>Encode rules: app tier MUST NOT import broker/EnterpriseDataRoom; routes MUST NOT import data layer directly; etc.</t>
        </is>
      </c>
      <c r="E183" s="31" t="inlineStr">
        <is>
          <t>P0</t>
        </is>
      </c>
      <c r="F183" s="39" t="inlineStr">
        <is>
          <t>2. CLAUDE DOES IT</t>
        </is>
      </c>
      <c r="G183" s="18" t="inlineStr">
        <is>
          <t>Anand</t>
        </is>
      </c>
      <c r="H183" s="18" t="inlineStr"/>
      <c r="I183" s="45" t="inlineStr">
        <is>
          <t>Claude (.dep-cruiser)</t>
        </is>
      </c>
      <c r="J183" s="52" t="inlineStr">
        <is>
          <t>$0</t>
        </is>
      </c>
      <c r="K183" s="84" t="inlineStr">
        <is>
          <t>Anytime</t>
        </is>
      </c>
      <c r="L183" s="44" t="inlineStr">
        <is>
          <t>Done</t>
        </is>
      </c>
      <c r="M183" s="18" t="inlineStr">
        <is>
          <t>PR #2761 merged: dependency-cruiser enforces the AgentContextBroker architecture boundary for app/component runtime imports, with a checked-in seven-violation baseline and dedicated CI workflow. GitHub CI and Vercel checks passed; remote branch deleted. Follow-on should shrink the baseline to zero.</t>
        </is>
      </c>
    </row>
    <row r="184">
      <c r="A184" s="18" t="inlineStr">
        <is>
          <t>T089</t>
        </is>
      </c>
      <c r="B184" s="18" t="inlineStr">
        <is>
          <t>Eng Governance</t>
        </is>
      </c>
      <c r="C184" s="18" t="inlineStr">
        <is>
          <t>Secret scanning (gitleaks in CI + pre-commit)</t>
        </is>
      </c>
      <c r="D184" s="18" t="inlineStr">
        <is>
          <t>Block secrets from entering git history. Belt + suspenders.</t>
        </is>
      </c>
      <c r="E184" s="31" t="inlineStr">
        <is>
          <t>P0</t>
        </is>
      </c>
      <c r="F184" s="39" t="inlineStr">
        <is>
          <t>2. CLAUDE DOES IT</t>
        </is>
      </c>
      <c r="G184" s="18" t="inlineStr">
        <is>
          <t>Anand</t>
        </is>
      </c>
      <c r="H184" s="18" t="inlineStr"/>
      <c r="I184" s="45" t="inlineStr">
        <is>
          <t>Claude (gitleaks)</t>
        </is>
      </c>
      <c r="J184" s="52" t="inlineStr">
        <is>
          <t>$0 (gitleaks free)</t>
        </is>
      </c>
      <c r="K184" s="84" t="inlineStr">
        <is>
          <t>Anytime</t>
        </is>
      </c>
      <c r="L184" s="44" t="inlineStr">
        <is>
          <t>Done</t>
        </is>
      </c>
      <c r="M184" s="18" t="inlineStr">
        <is>
          <t>PR #2763 merged: gitleaks secret scanning now runs in PR-diff CI and Husky pre-commit staged scans, with docs/runbooks/secret-scanning.md and dev-environment hook docs. GitHub CI, Vercel checks, local staged/pre-commit scans, release check, and diff check passed; remote branch deleted.</t>
        </is>
      </c>
    </row>
    <row r="185">
      <c r="A185" s="18" t="inlineStr">
        <is>
          <t>T090</t>
        </is>
      </c>
      <c r="B185" s="18" t="inlineStr">
        <is>
          <t>Eng Governance</t>
        </is>
      </c>
      <c r="C185" s="18" t="inlineStr">
        <is>
          <t>Dependency vulnerability scanning (Snyk or GitHub Dependabot + audit)</t>
        </is>
      </c>
      <c r="D185" s="18" t="inlineStr">
        <is>
          <t>Auto-PRs for vulnerable deps. Critical = same-day fix policy.</t>
        </is>
      </c>
      <c r="E185" s="31" t="inlineStr">
        <is>
          <t>P0</t>
        </is>
      </c>
      <c r="F185" s="39" t="inlineStr">
        <is>
          <t>2. CLAUDE DOES IT</t>
        </is>
      </c>
      <c r="G185" s="18" t="inlineStr">
        <is>
          <t>Anand</t>
        </is>
      </c>
      <c r="H185" s="18" t="inlineStr"/>
      <c r="I185" s="45" t="inlineStr">
        <is>
          <t>Claude (workflow)</t>
        </is>
      </c>
      <c r="J185" s="52" t="inlineStr">
        <is>
          <t>$0 (Dependabot) or $50/mo (Snyk)</t>
        </is>
      </c>
      <c r="K185" s="84" t="inlineStr">
        <is>
          <t>Anytime</t>
        </is>
      </c>
      <c r="L185" s="44" t="inlineStr">
        <is>
          <t>Done</t>
        </is>
      </c>
      <c r="M185" s="18" t="inlineStr">
        <is>
          <t>PR #2765 merged: dependency vulnerability automation added Dependabot plus npm audit reporting workflow/runbook/script. Current npm audit baseline remains nonzero (3 critical, 8 high, 10 moderate), so the CI job is reporting-only until vulnerabilities are remediated or explicitly waived.</t>
        </is>
      </c>
    </row>
    <row r="186">
      <c r="A186" s="18" t="inlineStr">
        <is>
          <t>T094</t>
        </is>
      </c>
      <c r="B186" s="18" t="inlineStr">
        <is>
          <t>Eng Governance</t>
        </is>
      </c>
      <c r="C186" s="18" t="inlineStr">
        <is>
          <t>Unified AI tool instructions (single source: AGENTS.md)</t>
        </is>
      </c>
      <c r="D186" s="18" t="inlineStr">
        <is>
          <t>Generate .cursor/rules, .github/copilot-instructions.md, CLAUDE.md, codex AGENTS.md from one source. Any AI tool reads same rules.</t>
        </is>
      </c>
      <c r="E186" s="31" t="inlineStr">
        <is>
          <t>P0</t>
        </is>
      </c>
      <c r="F186" s="39" t="inlineStr">
        <is>
          <t>2. CLAUDE DOES IT</t>
        </is>
      </c>
      <c r="G186" s="18" t="inlineStr">
        <is>
          <t>Anand</t>
        </is>
      </c>
      <c r="H186" s="18" t="inlineStr"/>
      <c r="I186" s="45" t="inlineStr">
        <is>
          <t>Claude (sync script)</t>
        </is>
      </c>
      <c r="J186" s="52" t="inlineStr">
        <is>
          <t>$0</t>
        </is>
      </c>
      <c r="K186" s="84" t="inlineStr">
        <is>
          <t>Anytime</t>
        </is>
      </c>
      <c r="L186" s="44" t="inlineStr">
        <is>
          <t>Done</t>
        </is>
      </c>
      <c r="M186" s="18" t="inlineStr">
        <is>
          <t>Repo evidence on origin/main: npm run sync-ai-rules generates .cursor/rules and .github/copilot-instructions.md from AGENTS.md, with docs/runbooks/sync-ai-rules.md.</t>
        </is>
      </c>
    </row>
    <row r="187">
      <c r="A187" s="18" t="inlineStr">
        <is>
          <t>T096</t>
        </is>
      </c>
      <c r="B187" s="18" t="inlineStr">
        <is>
          <t>Eng Governance</t>
        </is>
      </c>
      <c r="C187" s="18" t="inlineStr">
        <is>
          <t>PR template enforcing release-control fields</t>
        </is>
      </c>
      <c r="D187" s="18" t="inlineStr">
        <is>
          <t>Lane / Layer / Clients / QA / Rollout / Rollback — required sections. Block merge if blank.</t>
        </is>
      </c>
      <c r="E187" s="31" t="inlineStr">
        <is>
          <t>P0</t>
        </is>
      </c>
      <c r="F187" s="39" t="inlineStr">
        <is>
          <t>2. CLAUDE DOES IT</t>
        </is>
      </c>
      <c r="G187" s="18" t="inlineStr">
        <is>
          <t>Anand</t>
        </is>
      </c>
      <c r="H187" s="18" t="inlineStr"/>
      <c r="I187" s="45" t="inlineStr">
        <is>
          <t>Claude (template)</t>
        </is>
      </c>
      <c r="J187" s="52" t="inlineStr">
        <is>
          <t>$0</t>
        </is>
      </c>
      <c r="K187" s="82" t="inlineStr">
        <is>
          <t>Pre-Resign</t>
        </is>
      </c>
      <c r="L187" s="44" t="inlineStr">
        <is>
          <t>Done</t>
        </is>
      </c>
      <c r="M187" s="18" t="inlineStr">
        <is>
          <t>Repo evidence on origin/main: .github/PULL_REQUEST_TEMPLATE.md requires summary, release classification, QA/validation, rollout, and rollback; release record docs/releases/records/2026-06-01-add-pr-template.md exists.</t>
        </is>
      </c>
    </row>
    <row r="188">
      <c r="A188" s="18" t="inlineStr">
        <is>
          <t>T097</t>
        </is>
      </c>
      <c r="B188" s="18" t="inlineStr">
        <is>
          <t>Eng Governance</t>
        </is>
      </c>
      <c r="C188" s="18" t="inlineStr">
        <is>
          <t>Release record presence check (already in npm run release:check)</t>
        </is>
      </c>
      <c r="D188" s="18" t="inlineStr">
        <is>
          <t>Formalize: CI fails if release-relevant paths change without docs/releases/records/ entry.</t>
        </is>
      </c>
      <c r="E188" s="31" t="inlineStr">
        <is>
          <t>P0</t>
        </is>
      </c>
      <c r="F188" s="39" t="inlineStr">
        <is>
          <t>2. CLAUDE DOES IT</t>
        </is>
      </c>
      <c r="G188" s="18" t="inlineStr">
        <is>
          <t>Anand</t>
        </is>
      </c>
      <c r="H188" s="18" t="inlineStr"/>
      <c r="I188" s="45" t="inlineStr">
        <is>
          <t>Claude (CI check)</t>
        </is>
      </c>
      <c r="J188" s="52" t="inlineStr">
        <is>
          <t>$0</t>
        </is>
      </c>
      <c r="K188" s="84" t="inlineStr">
        <is>
          <t>Anytime</t>
        </is>
      </c>
      <c r="L188" s="44" t="inlineStr">
        <is>
          <t>Done</t>
        </is>
      </c>
      <c r="M188" s="18" t="inlineStr">
        <is>
          <t>Repo evidence on origin/main: npm run release:check exists and release-control CI/workflow gates release records for release-relevant changes.</t>
        </is>
      </c>
    </row>
    <row r="189">
      <c r="A189" s="18" t="inlineStr">
        <is>
          <t>T100</t>
        </is>
      </c>
      <c r="B189" s="18" t="inlineStr">
        <is>
          <t>Eng Governance</t>
        </is>
      </c>
      <c r="C189" s="18" t="inlineStr">
        <is>
          <t>Runbooks: incident response, rollback, DB migration, on-call rotation</t>
        </is>
      </c>
      <c r="D189" s="18" t="inlineStr">
        <is>
          <t>Living docs in docs/runbooks/. Quarterly tabletop test.</t>
        </is>
      </c>
      <c r="E189" s="31" t="inlineStr">
        <is>
          <t>P0</t>
        </is>
      </c>
      <c r="F189" s="39" t="inlineStr">
        <is>
          <t>2. CLAUDE DOES IT</t>
        </is>
      </c>
      <c r="G189" s="18" t="inlineStr">
        <is>
          <t>Anand</t>
        </is>
      </c>
      <c r="H189" s="18" t="inlineStr"/>
      <c r="I189" s="45" t="inlineStr">
        <is>
          <t>Claude (templates)</t>
        </is>
      </c>
      <c r="J189" s="52" t="inlineStr">
        <is>
          <t>$0</t>
        </is>
      </c>
      <c r="K189" s="84" t="inlineStr">
        <is>
          <t>Anytime</t>
        </is>
      </c>
      <c r="L189" s="44" t="inlineStr">
        <is>
          <t>Done</t>
        </is>
      </c>
      <c r="M189" s="18" t="inlineStr">
        <is>
          <t>Merged in PR #2729: incident response, rollback, DB migration, and on-call runbooks added under docs/runbooks/.</t>
        </is>
      </c>
    </row>
    <row r="190">
      <c r="A190" s="18" t="inlineStr">
        <is>
          <t>T083</t>
        </is>
      </c>
      <c r="B190" s="18" t="inlineStr">
        <is>
          <t>Eng Governance</t>
        </is>
      </c>
      <c r="C190" s="18" t="inlineStr">
        <is>
          <t>Conventional Commits enforced (commitlint)</t>
        </is>
      </c>
      <c r="D190" s="18" t="inlineStr">
        <is>
          <t>feat:/fix:/chore:/refactor:/docs:/test:/perf:/ci:/build:/revert: — enables auto-changelogs.</t>
        </is>
      </c>
      <c r="E190" s="32" t="inlineStr">
        <is>
          <t>P1</t>
        </is>
      </c>
      <c r="F190" s="39" t="inlineStr">
        <is>
          <t>2. CLAUDE DOES IT</t>
        </is>
      </c>
      <c r="G190" s="18" t="inlineStr">
        <is>
          <t>Anand</t>
        </is>
      </c>
      <c r="H190" s="18" t="inlineStr"/>
      <c r="I190" s="45" t="inlineStr">
        <is>
          <t>Claude (config)</t>
        </is>
      </c>
      <c r="J190" s="52" t="inlineStr">
        <is>
          <t>$0</t>
        </is>
      </c>
      <c r="K190" s="84" t="inlineStr">
        <is>
          <t>Anytime</t>
        </is>
      </c>
      <c r="L190" s="44" t="inlineStr">
        <is>
          <t>Done</t>
        </is>
      </c>
      <c r="M190" s="18" t="inlineStr">
        <is>
          <t>Repo evidence on origin/main: commitlint.config.js enforces conventional commit types and .husky/commit-msg runs commitlint.</t>
        </is>
      </c>
    </row>
    <row r="191">
      <c r="A191" s="18" t="inlineStr">
        <is>
          <t>T086</t>
        </is>
      </c>
      <c r="B191" s="18" t="inlineStr">
        <is>
          <t>Eng Governance</t>
        </is>
      </c>
      <c r="C191" s="18" t="inlineStr">
        <is>
          <t>Coverage threshold (Vitest/Jest)</t>
        </is>
      </c>
      <c r="D191" s="18" t="inlineStr">
        <is>
          <t>70% lines global; 90% on broker/auth/migrations. Fail CI under threshold.</t>
        </is>
      </c>
      <c r="E191" s="32" t="inlineStr">
        <is>
          <t>P1</t>
        </is>
      </c>
      <c r="F191" s="39" t="inlineStr">
        <is>
          <t>2. CLAUDE DOES IT</t>
        </is>
      </c>
      <c r="G191" s="18" t="inlineStr">
        <is>
          <t>Anand</t>
        </is>
      </c>
      <c r="H191" s="18" t="inlineStr"/>
      <c r="I191" s="45" t="inlineStr">
        <is>
          <t>Claude (config)</t>
        </is>
      </c>
      <c r="J191" s="52" t="inlineStr">
        <is>
          <t>$0</t>
        </is>
      </c>
      <c r="K191" s="84" t="inlineStr">
        <is>
          <t>Anytime</t>
        </is>
      </c>
      <c r="L191" s="44" t="inlineStr">
        <is>
          <t>Done</t>
        </is>
      </c>
      <c r="M191" s="18" t="inlineStr">
        <is>
          <t>PR #2778 merged: behavior coverage gate added with CI workflow, runbook, release record, and npm script. Thresholds are lines 90%, statements 90%, functions 60%, branches 50%; local baseline was 95.52% lines/statements, 68.09% functions, 56.91% branches. GitHub checks and Vercel contexts passed.</t>
        </is>
      </c>
    </row>
    <row r="192">
      <c r="A192" s="18" t="inlineStr">
        <is>
          <t>T087</t>
        </is>
      </c>
      <c r="B192" s="18" t="inlineStr">
        <is>
          <t>Eng Governance</t>
        </is>
      </c>
      <c r="C192" s="18" t="inlineStr">
        <is>
          <t>Bundle size budget (next-bundle-analyzer)</t>
        </is>
      </c>
      <c r="D192" s="18" t="inlineStr">
        <is>
          <t>Per-route budget. Fail CI if any route exceeds. Track over time.</t>
        </is>
      </c>
      <c r="E192" s="32" t="inlineStr">
        <is>
          <t>P1</t>
        </is>
      </c>
      <c r="F192" s="39" t="inlineStr">
        <is>
          <t>2. CLAUDE DOES IT</t>
        </is>
      </c>
      <c r="G192" s="18" t="inlineStr">
        <is>
          <t>Anand</t>
        </is>
      </c>
      <c r="H192" s="18" t="inlineStr"/>
      <c r="I192" s="45" t="inlineStr">
        <is>
          <t>Claude (config)</t>
        </is>
      </c>
      <c r="J192" s="52" t="inlineStr">
        <is>
          <t>$0</t>
        </is>
      </c>
      <c r="K192" s="84" t="inlineStr">
        <is>
          <t>Anytime</t>
        </is>
      </c>
      <c r="L192" s="44" t="inlineStr">
        <is>
          <t>Done</t>
        </is>
      </c>
      <c r="M192" s="18" t="inlineStr">
        <is>
          <t>PR #2779 merged: Next bundle budget gate added with CI workflow, script, runbook, release record, and npm script. Local build and bundle gate passed; CI rerun passed after adding NODE_OPTIONS=--max-old-space-size=6144 for Next build. Observed baseline: 555.9 KB manifest JS, 198.6 KB largest chunk, 3869.8 KB largest route first-load JS against thresholds 15000/1500/4500 KB. GitHub checks and Vercel contexts passed; remote branch deleted.</t>
        </is>
      </c>
    </row>
    <row r="193">
      <c r="A193" s="18" t="inlineStr">
        <is>
          <t>T088</t>
        </is>
      </c>
      <c r="B193" s="18" t="inlineStr">
        <is>
          <t>Eng Governance</t>
        </is>
      </c>
      <c r="C193" s="18" t="inlineStr">
        <is>
          <t>Lighthouse CI — Core Web Vitals budget</t>
        </is>
      </c>
      <c r="D193" s="18" t="inlineStr">
        <is>
          <t>LCP, INP, CLS budgets per route. Fail on regression. Runs on PR.</t>
        </is>
      </c>
      <c r="E193" s="32" t="inlineStr">
        <is>
          <t>P1</t>
        </is>
      </c>
      <c r="F193" s="39" t="inlineStr">
        <is>
          <t>2. CLAUDE DOES IT</t>
        </is>
      </c>
      <c r="G193" s="18" t="inlineStr">
        <is>
          <t>Anand</t>
        </is>
      </c>
      <c r="H193" s="18" t="inlineStr"/>
      <c r="I193" s="45" t="inlineStr">
        <is>
          <t>Claude (workflow)</t>
        </is>
      </c>
      <c r="J193" s="52" t="inlineStr">
        <is>
          <t>$0</t>
        </is>
      </c>
      <c r="K193" s="84" t="inlineStr">
        <is>
          <t>Anytime</t>
        </is>
      </c>
      <c r="L193" s="44" t="inlineStr">
        <is>
          <t>Done</t>
        </is>
      </c>
      <c r="M193" s="18" t="inlineStr">
        <is>
          <t>PR #2789 merged: Lighthouse CI Core Web Vitals budget gate added with GitHub Actions workflow, .lighthouserc.cjs, npm script, runbook, release record, and a named dev-only transitive license-policy exception for parse-cache-control@1.0.1 introduced by @lhci/cli. Local validation passed: npm run build, npm run lighthouse:ci, npm run compliance:supply-chain, npm run release:check -- --base origin/main --head HEAD, git diff --check, npm run secrets:staged, and npm run secrets:scan -- --log-opts=origin/main..HEAD. CI passed including Lighthouse CI budget, License and SBOM, Public axe accessibility, ESLint, typecheck, hygiene, release control, Gitleaks, and Vercel contexts; remote branch deleted. Known gap: initial homepage CLS threshold is intentionally conservative as a regression ceiling and should tighten after the layout shift is fixed.</t>
        </is>
      </c>
    </row>
    <row r="194">
      <c r="A194" s="18" t="inlineStr">
        <is>
          <t>T091</t>
        </is>
      </c>
      <c r="B194" s="18" t="inlineStr">
        <is>
          <t>Eng Governance</t>
        </is>
      </c>
      <c r="C194" s="18" t="inlineStr">
        <is>
          <t>License compliance check (license-checker in CI)</t>
        </is>
      </c>
      <c r="D194" s="18" t="inlineStr">
        <is>
          <t>Allowlist: MIT/Apache-2/BSD/ISC. Block GPL/AGPL/copyleft.</t>
        </is>
      </c>
      <c r="E194" s="32" t="inlineStr">
        <is>
          <t>P1</t>
        </is>
      </c>
      <c r="F194" s="39" t="inlineStr">
        <is>
          <t>2. CLAUDE DOES IT</t>
        </is>
      </c>
      <c r="G194" s="18" t="inlineStr">
        <is>
          <t>Anand</t>
        </is>
      </c>
      <c r="H194" s="18" t="inlineStr"/>
      <c r="I194" s="45" t="inlineStr">
        <is>
          <t>Claude (config)</t>
        </is>
      </c>
      <c r="J194" s="52" t="inlineStr">
        <is>
          <t>$0</t>
        </is>
      </c>
      <c r="K194" s="84" t="inlineStr">
        <is>
          <t>Anytime</t>
        </is>
      </c>
      <c r="L194" s="44" t="inlineStr">
        <is>
          <t>Done</t>
        </is>
      </c>
      <c r="M194" s="18" t="inlineStr">
        <is>
          <t>PR #2767 merged: license compliance CI/runbook/script added, checking package-lock licenses against docs/compliance/license-policy.json. Local and CI checks passed with 0 denied, 0 unclassified, 42 review-queue, and 3 named exceptions.</t>
        </is>
      </c>
    </row>
    <row r="195">
      <c r="A195" s="18" t="inlineStr">
        <is>
          <t>T092</t>
        </is>
      </c>
      <c r="B195" s="18" t="inlineStr">
        <is>
          <t>Eng Governance</t>
        </is>
      </c>
      <c r="C195" s="18" t="inlineStr">
        <is>
          <t>SBOM (Software Bill of Materials) generation</t>
        </is>
      </c>
      <c r="D195" s="18" t="inlineStr">
        <is>
          <t>CycloneDX or SPDX format, generated each release. Auto-attach to release record.</t>
        </is>
      </c>
      <c r="E195" s="32" t="inlineStr">
        <is>
          <t>P1</t>
        </is>
      </c>
      <c r="F195" s="39" t="inlineStr">
        <is>
          <t>2. CLAUDE DOES IT</t>
        </is>
      </c>
      <c r="G195" s="18" t="inlineStr">
        <is>
          <t>Anand</t>
        </is>
      </c>
      <c r="H195" s="18" t="inlineStr"/>
      <c r="I195" s="45" t="inlineStr">
        <is>
          <t>Claude (workflow)</t>
        </is>
      </c>
      <c r="J195" s="52" t="inlineStr">
        <is>
          <t>$0</t>
        </is>
      </c>
      <c r="K195" s="84" t="inlineStr">
        <is>
          <t>Anytime</t>
        </is>
      </c>
      <c r="L195" s="44" t="inlineStr">
        <is>
          <t>Done</t>
        </is>
      </c>
      <c r="M195" s="18" t="inlineStr">
        <is>
          <t>PR #2767 merged: SBOM generation CI/runbook/script added, producing CycloneDX-style package-lock component output for 1,291 packages. Local and CI checks passed.</t>
        </is>
      </c>
    </row>
    <row r="196">
      <c r="A196" s="18" t="inlineStr">
        <is>
          <t>T093</t>
        </is>
      </c>
      <c r="B196" s="18" t="inlineStr">
        <is>
          <t>Eng Governance</t>
        </is>
      </c>
      <c r="C196" s="18" t="inlineStr">
        <is>
          <t>Renovate or Dependabot — automated dep updates</t>
        </is>
      </c>
      <c r="D196" s="18" t="inlineStr">
        <is>
          <t>Weekly PRs, auto-merge for patch/minor on green CI, manual for major.</t>
        </is>
      </c>
      <c r="E196" s="32" t="inlineStr">
        <is>
          <t>P1</t>
        </is>
      </c>
      <c r="F196" s="39" t="inlineStr">
        <is>
          <t>2. CLAUDE DOES IT</t>
        </is>
      </c>
      <c r="G196" s="18" t="inlineStr">
        <is>
          <t>Anand</t>
        </is>
      </c>
      <c r="H196" s="18" t="inlineStr"/>
      <c r="I196" s="45" t="inlineStr">
        <is>
          <t>Claude (config)</t>
        </is>
      </c>
      <c r="J196" s="52" t="inlineStr">
        <is>
          <t>$0</t>
        </is>
      </c>
      <c r="K196" s="84" t="inlineStr">
        <is>
          <t>Anytime</t>
        </is>
      </c>
      <c r="L196" s="44" t="inlineStr">
        <is>
          <t>Done</t>
        </is>
      </c>
      <c r="M196" s="18" t="inlineStr">
        <is>
          <t>PR #2765 merged: .github/dependabot.yml now enables automated dependency update PRs; CI and Vercel checks passed and branch was deleted.</t>
        </is>
      </c>
    </row>
    <row r="197">
      <c r="A197" s="18" t="inlineStr">
        <is>
          <t>T095</t>
        </is>
      </c>
      <c r="B197" s="18" t="inlineStr">
        <is>
          <t>Eng Governance</t>
        </is>
      </c>
      <c r="C197" s="18" t="inlineStr">
        <is>
          <t>Scaffolding scripts (npm run scaffold:*)</t>
        </is>
      </c>
      <c r="D197" s="18" t="inlineStr">
        <is>
          <t>scaffold:route, scaffold:component, scaffold:migration, scaffold:adr — start from blessed templates.</t>
        </is>
      </c>
      <c r="E197" s="32" t="inlineStr">
        <is>
          <t>P1</t>
        </is>
      </c>
      <c r="F197" s="39" t="inlineStr">
        <is>
          <t>2. CLAUDE DOES IT</t>
        </is>
      </c>
      <c r="G197" s="18" t="inlineStr">
        <is>
          <t>Anand</t>
        </is>
      </c>
      <c r="H197" s="18" t="inlineStr"/>
      <c r="I197" s="45" t="inlineStr">
        <is>
          <t>Claude (code)</t>
        </is>
      </c>
      <c r="J197" s="52" t="inlineStr">
        <is>
          <t>$0</t>
        </is>
      </c>
      <c r="K197" s="84" t="inlineStr">
        <is>
          <t>Anytime</t>
        </is>
      </c>
      <c r="L197" s="44" t="inlineStr">
        <is>
          <t>Done</t>
        </is>
      </c>
      <c r="M197" s="18" t="inlineStr">
        <is>
          <t>PR #2792 merged: repo-standard npm scaffold scripts added for governance artifacts (`scaffold:release`, `scaffold:adr`, `scaffold:smoke`) with release-record generator, ADR generator, smoke validator, runbook, and release record. Local validation passed: npm run scaffold:smoke, npm run release:check -- --base origin/main --head HEAD, git diff --check --cached, npm run secrets:staged, and npm run secrets:scan -- --log-opts=origin/main..HEAD. GitHub CI passed including required New migration drift surface, Release Control Gate, Gitleaks, ESLint, typecheck, hygiene, Lighthouse, accessibility, License and SBOM, and Vercel contexts; remote branch deleted.</t>
        </is>
      </c>
    </row>
    <row r="198">
      <c r="A198" s="18" t="inlineStr">
        <is>
          <t>T101</t>
        </is>
      </c>
      <c r="B198" s="18" t="inlineStr">
        <is>
          <t>Eng Governance</t>
        </is>
      </c>
      <c r="C198" s="18" t="inlineStr">
        <is>
          <t>Engineer onboarding runbook (docs/runbooks/onboarding.md)</t>
        </is>
      </c>
      <c r="D198" s="18" t="inlineStr">
        <is>
          <t>Day-1 to first-PR checklist. Write it for the NEXT person; you'll need it when you hire #2.</t>
        </is>
      </c>
      <c r="E198" s="32" t="inlineStr">
        <is>
          <t>P1</t>
        </is>
      </c>
      <c r="F198" s="39" t="inlineStr">
        <is>
          <t>2. CLAUDE DOES IT</t>
        </is>
      </c>
      <c r="G198" s="18" t="inlineStr">
        <is>
          <t>Anand</t>
        </is>
      </c>
      <c r="H198" s="18" t="inlineStr"/>
      <c r="I198" s="45" t="inlineStr">
        <is>
          <t>Claude (draft)</t>
        </is>
      </c>
      <c r="J198" s="52" t="inlineStr">
        <is>
          <t>$0</t>
        </is>
      </c>
      <c r="K198" s="84" t="inlineStr">
        <is>
          <t>Anytime</t>
        </is>
      </c>
      <c r="L198" s="44" t="inlineStr">
        <is>
          <t>Done</t>
        </is>
      </c>
      <c r="M198" s="18" t="inlineStr">
        <is>
          <t>PR #2764 merged: added docs/runbooks/engineer-onboarding.md with setup, environment, branch/PR, validation, safety, and handoff guidance. CI and Vercel checks passed and branch was deleted.</t>
        </is>
      </c>
    </row>
    <row r="199">
      <c r="A199" s="18" t="inlineStr">
        <is>
          <t>T103</t>
        </is>
      </c>
      <c r="B199" s="18" t="inlineStr">
        <is>
          <t>Eng Governance</t>
        </is>
      </c>
      <c r="C199" s="18" t="inlineStr">
        <is>
          <t>Accessibility (WCAG 2.1 AA) — axe-core in CI</t>
        </is>
      </c>
      <c r="D199" s="18" t="inlineStr">
        <is>
          <t>Required for many F500 procurement. axe-core on every route in E2E suite.</t>
        </is>
      </c>
      <c r="E199" s="32" t="inlineStr">
        <is>
          <t>P1</t>
        </is>
      </c>
      <c r="F199" s="39" t="inlineStr">
        <is>
          <t>2. CLAUDE DOES IT</t>
        </is>
      </c>
      <c r="G199" s="18" t="inlineStr">
        <is>
          <t>Anand</t>
        </is>
      </c>
      <c r="H199" s="18" t="inlineStr"/>
      <c r="I199" s="45" t="inlineStr">
        <is>
          <t>Claude (axe-core)</t>
        </is>
      </c>
      <c r="J199" s="52" t="inlineStr">
        <is>
          <t>$0 (axe-core free)</t>
        </is>
      </c>
      <c r="K199" s="84" t="inlineStr">
        <is>
          <t>Anytime</t>
        </is>
      </c>
      <c r="L199" s="44" t="inlineStr">
        <is>
          <t>Done</t>
        </is>
      </c>
      <c r="M199" s="18" t="inlineStr">
        <is>
          <t>PR #2782 merged: public-route axe-core WCAG 2.1 A/AA gate added with GitHub Actions workflow, Playwright config, @axe-core/playwright test coverage for /, /contact, and /sign-in, request-scoped Clerk bypass for localhost CI only, runbook, and release record. Local validation passed: Next build, accessibility:axe, secrets scan, git diff --check, and release:check. GitHub CI passed including Public axe accessibility, Gitleaks, ESLint, typecheck, bundle budget, integrity, Wave 0, and Vercel contexts; remote branch deleted.</t>
        </is>
      </c>
    </row>
    <row r="200">
      <c r="A200" s="18" t="inlineStr">
        <is>
          <t>T104</t>
        </is>
      </c>
      <c r="B200" s="18" t="inlineStr">
        <is>
          <t>Eng Governance</t>
        </is>
      </c>
      <c r="C200" s="18" t="inlineStr">
        <is>
          <t>Test pyramid policy — every new route requires behavior test</t>
        </is>
      </c>
      <c r="D200" s="18" t="inlineStr">
        <is>
          <t>Encoded in PR template + CI check. New route file w/o test = fail.</t>
        </is>
      </c>
      <c r="E200" s="32" t="inlineStr">
        <is>
          <t>P1</t>
        </is>
      </c>
      <c r="F200" s="39" t="inlineStr">
        <is>
          <t>2. CLAUDE DOES IT</t>
        </is>
      </c>
      <c r="G200" s="18" t="inlineStr">
        <is>
          <t>Anand</t>
        </is>
      </c>
      <c r="H200" s="18" t="inlineStr"/>
      <c r="I200" s="45" t="inlineStr">
        <is>
          <t>Claude (config)</t>
        </is>
      </c>
      <c r="J200" s="52" t="inlineStr">
        <is>
          <t>$0</t>
        </is>
      </c>
      <c r="K200" s="84" t="inlineStr">
        <is>
          <t>Anytime</t>
        </is>
      </c>
      <c r="L200" s="44" t="inlineStr">
        <is>
          <t>Done</t>
        </is>
      </c>
      <c r="M200" s="18" t="inlineStr">
        <is>
          <t>PR #2764 merged: added docs/standards/TEST_PYRAMID_POLICY.md covering unit/behavior, integration, E2E, release gates, placement rules, and change-type expectations.</t>
        </is>
      </c>
    </row>
    <row r="201">
      <c r="A201" s="18" t="inlineStr">
        <is>
          <t>T099</t>
        </is>
      </c>
      <c r="B201" s="18" t="inlineStr">
        <is>
          <t>Eng Governance</t>
        </is>
      </c>
      <c r="C201" s="18" t="inlineStr">
        <is>
          <t>Specialist catalog kept current in docs/architecture/specialist-catalog.md</t>
        </is>
      </c>
      <c r="D201" s="18" t="inlineStr">
        <is>
          <t>CI check: every new specialist class has catalog entry.</t>
        </is>
      </c>
      <c r="E201" s="49" t="inlineStr">
        <is>
          <t>P2</t>
        </is>
      </c>
      <c r="F201" s="39" t="inlineStr">
        <is>
          <t>2. CLAUDE DOES IT</t>
        </is>
      </c>
      <c r="G201" s="18" t="inlineStr">
        <is>
          <t>Anand</t>
        </is>
      </c>
      <c r="H201" s="18" t="inlineStr"/>
      <c r="I201" s="45" t="inlineStr">
        <is>
          <t>Claude (docs)</t>
        </is>
      </c>
      <c r="J201" s="52" t="inlineStr">
        <is>
          <t>$0</t>
        </is>
      </c>
      <c r="K201" s="84" t="inlineStr">
        <is>
          <t>Anytime</t>
        </is>
      </c>
      <c r="L201" s="44" t="inlineStr">
        <is>
          <t>Done</t>
        </is>
      </c>
      <c r="M201" s="18" t="inlineStr">
        <is>
          <t>PR #2780 merged: canonical docs/architecture/specialist-catalog.md refreshed with current control checkpoint, front-agent ownership, real repo path anchors, maintenance rule, and known Tower/Intelligence inventory gaps. Local path spot checks, git diff --check, and release:check passed; GitHub checks and Vercel contexts passed; remote branch deleted.</t>
        </is>
      </c>
    </row>
    <row r="202">
      <c r="A202" s="18" t="inlineStr">
        <is>
          <t>T105</t>
        </is>
      </c>
      <c r="B202" s="18" t="inlineStr">
        <is>
          <t>Eng Governance</t>
        </is>
      </c>
      <c r="C202" s="18" t="inlineStr">
        <is>
          <t>Telemetry/observability standards — event naming convention</t>
        </is>
      </c>
      <c r="D202" s="18" t="inlineStr">
        <is>
          <t>All PostHog events follow {surface}_{noun}_{verb} schema. CI check on new events.</t>
        </is>
      </c>
      <c r="E202" s="49" t="inlineStr">
        <is>
          <t>P2</t>
        </is>
      </c>
      <c r="F202" s="39" t="inlineStr">
        <is>
          <t>2. CLAUDE DOES IT</t>
        </is>
      </c>
      <c r="G202" s="18" t="inlineStr">
        <is>
          <t>Anand</t>
        </is>
      </c>
      <c r="H202" s="18" t="inlineStr"/>
      <c r="I202" s="45" t="inlineStr">
        <is>
          <t>Claude (docs)</t>
        </is>
      </c>
      <c r="J202" s="52" t="inlineStr">
        <is>
          <t>$0</t>
        </is>
      </c>
      <c r="K202" s="84" t="inlineStr">
        <is>
          <t>Anytime</t>
        </is>
      </c>
      <c r="L202" s="44" t="inlineStr">
        <is>
          <t>Done</t>
        </is>
      </c>
      <c r="M202" s="18" t="inlineStr">
        <is>
          <t>PR #2764 merged: added docs/standards/TELEMETRY_OBSERVABILITY_STANDARD.md with event shape, data minimization, client boundary, severity, and naming rules.</t>
        </is>
      </c>
    </row>
    <row r="203">
      <c r="A203" s="18" t="inlineStr">
        <is>
          <t>T098</t>
        </is>
      </c>
      <c r="B203" s="18" t="inlineStr">
        <is>
          <t>Eng Governance</t>
        </is>
      </c>
      <c r="C203" s="18" t="inlineStr">
        <is>
          <t>Migration drift check enforced as required check (currently warn-only)</t>
        </is>
      </c>
      <c r="D203" s="18" t="inlineStr">
        <is>
          <t>Move from warn to fail. Per project_drift_check_status memory — currently broken on GitHub-side auth.</t>
        </is>
      </c>
      <c r="E203" s="32" t="inlineStr">
        <is>
          <t>P1</t>
        </is>
      </c>
      <c r="F203" s="40" t="inlineStr">
        <is>
          <t>3. CLAUDE + YOU</t>
        </is>
      </c>
      <c r="G203" s="18" t="inlineStr">
        <is>
          <t>Anand</t>
        </is>
      </c>
      <c r="H203" s="18" t="inlineStr"/>
      <c r="I203" s="47" t="inlineStr">
        <is>
          <t>Claude + you (auth fix)</t>
        </is>
      </c>
      <c r="J203" s="52" t="inlineStr">
        <is>
          <t>$0</t>
        </is>
      </c>
      <c r="K203" s="84" t="inlineStr">
        <is>
          <t>Anytime</t>
        </is>
      </c>
      <c r="L203" s="44" t="inlineStr">
        <is>
          <t>Done</t>
        </is>
      </c>
      <c r="M203" s="18" t="inlineStr">
        <is>
          <t>GitHub main branch protection configured on 2026-06-02 via API: strict required status check is now enabled for `New migration drift surface`, with enforce_admins=true, no reviewer rule yet, and no branch restrictions. This completes the migration-drift enforcement backlog item; broader required CI/reviewer policy remains tracked separately under T081/T084.</t>
        </is>
      </c>
    </row>
    <row r="204">
      <c r="A204" s="18" t="inlineStr">
        <is>
          <t>T102</t>
        </is>
      </c>
      <c r="B204" s="18" t="inlineStr">
        <is>
          <t>Eng Governance</t>
        </is>
      </c>
      <c r="C204" s="18" t="inlineStr">
        <is>
          <t>DORA metrics dashboard (lead time, deploy freq, change-fail rate, MTTR)</t>
        </is>
      </c>
      <c r="D204" s="18" t="inlineStr">
        <is>
          <t>Auto-collected from GitHub + Vercel + PostHog. Weekly review.</t>
        </is>
      </c>
      <c r="E204" s="49" t="inlineStr">
        <is>
          <t>P2</t>
        </is>
      </c>
      <c r="F204" s="41" t="inlineStr">
        <is>
          <t>4. CLAUDE + PRO</t>
        </is>
      </c>
      <c r="G204" s="18" t="inlineStr">
        <is>
          <t>Anand</t>
        </is>
      </c>
      <c r="H204" s="18" t="inlineStr"/>
      <c r="I204" s="50" t="inlineStr">
        <is>
          <t>Claude + 3rd party</t>
        </is>
      </c>
      <c r="J204" s="52" t="inlineStr">
        <is>
          <t>$0 (build) or $50/mo (LinearB)</t>
        </is>
      </c>
      <c r="K204" s="84" t="inlineStr">
        <is>
          <t>Anytime</t>
        </is>
      </c>
      <c r="L204" s="44" t="inlineStr">
        <is>
          <t>Done</t>
        </is>
      </c>
      <c r="M204" s="18" t="inlineStr">
        <is>
          <t>PR #2796 merged: internal DORA metrics dashboard generator added with `metrics:dora` and `metrics:dora:smoke` npm scripts, markdown/json output, runbook, release record, and transparent proxy definitions for deployment frequency, lead time, change-fail rate, and MTTR. Local validation passed: npm run metrics:dora:smoke, npm run release:check -- --base origin/main --head HEAD, git diff --check --cached, npm run secrets:staged, and npm run secrets:scan -- --log-opts=origin/main..HEAD. GitHub CI passed all 25 required main-branch gates and Vercel contexts; Fresh Postgres migration replay initially failed on Docker Hub postgres:16 pull timeout, rerun passed; remote branch deleted.</t>
        </is>
      </c>
    </row>
    <row r="205">
      <c r="A205" s="18" t="inlineStr">
        <is>
          <t>T081</t>
        </is>
      </c>
      <c r="B205" s="18" t="inlineStr">
        <is>
          <t>Eng Governance</t>
        </is>
      </c>
      <c r="C205" s="18" t="inlineStr">
        <is>
          <t>GitHub branch protection rules — required checks + reviewers</t>
        </is>
      </c>
      <c r="D205" s="18" t="inlineStr">
        <is>
          <t>main: required status checks, signed commits, no force-push, no admin bypass, linear history.</t>
        </is>
      </c>
      <c r="E205" s="31" t="inlineStr">
        <is>
          <t>P0</t>
        </is>
      </c>
      <c r="F205" s="42" t="inlineStr">
        <is>
          <t>5. EXTERNAL</t>
        </is>
      </c>
      <c r="G205" s="18" t="inlineStr">
        <is>
          <t>Anand</t>
        </is>
      </c>
      <c r="H205" s="18" t="inlineStr">
        <is>
          <t>T084</t>
        </is>
      </c>
      <c r="I205" s="48" t="inlineStr">
        <is>
          <t>You only (GH UI)</t>
        </is>
      </c>
      <c r="J205" s="52" t="inlineStr">
        <is>
          <t>$0</t>
        </is>
      </c>
      <c r="K205" s="84" t="inlineStr">
        <is>
          <t>Anytime</t>
        </is>
      </c>
      <c r="L205" s="44" t="inlineStr">
        <is>
          <t>Done</t>
        </is>
      </c>
      <c r="M205" s="18" t="inlineStr">
        <is>
          <t>2026-06-04: Done. Live GitHub ruleset 17227397 updated and verified for main: active PR-only squash protection, required_approving_review_count=1, stale reviews dismissed on push, required review-thread resolution, strict required status-check policy with 25 required checks from the green #2996 rollup, no non-fast-forward pushes, no branch deletion, and no bypass actors. Evidence saved at /Users/anand/Downloads/abarva-github-governance/main-ruleset-before-t081-2026-06-04.json and main-ruleset-after-t081-2026-06-04.json. Note: CODEOWNERS/code-owner review is not enabled because .github/CODEOWNERS is not present in this checkout; T081 asked for required checks + reviewers, which is now enforced.</t>
        </is>
      </c>
    </row>
    <row r="206">
      <c r="A206" s="18" t="inlineStr">
        <is>
          <t>T066</t>
        </is>
      </c>
      <c r="B206" s="18" t="inlineStr">
        <is>
          <t>IP &amp; Trademark</t>
        </is>
      </c>
      <c r="C206" s="18" t="inlineStr">
        <is>
          <t>Trademark 'AbarVa' with USPTO</t>
        </is>
      </c>
      <c r="D206" s="18" t="inlineStr">
        <is>
          <t>$350 filing + optional lawyer review. Class 9 (software) + Class 42 (SaaS).</t>
        </is>
      </c>
      <c r="E206" s="31" t="inlineStr">
        <is>
          <t>P0</t>
        </is>
      </c>
      <c r="F206" s="38" t="inlineStr">
        <is>
          <t>1. QUICK WIN</t>
        </is>
      </c>
      <c r="G206" s="18" t="inlineStr">
        <is>
          <t>Anand</t>
        </is>
      </c>
      <c r="H206" s="18" t="inlineStr">
        <is>
          <t>T001</t>
        </is>
      </c>
      <c r="I206" s="43" t="inlineStr">
        <is>
          <t>Self-serve (USPTO TEAS) + Claude</t>
        </is>
      </c>
      <c r="J206" s="51" t="inlineStr">
        <is>
          <t>$350 one-time (USPTO)</t>
        </is>
      </c>
      <c r="K206" s="83" t="inlineStr">
        <is>
          <t>Post-Resign</t>
        </is>
      </c>
      <c r="L206" s="44" t="inlineStr">
        <is>
          <t>In progress</t>
        </is>
      </c>
      <c r="M206" s="18" t="inlineStr">
        <is>
          <t>[2026-06-10] Filing pack ready (Downloads/abarva-today-setup/2_USPTO_ABARVA_FILING_PACK_T066.md). File AFTER incorporation (applicant=Abarva, Inc.). Recommend basis 1(b) intent-to-use (first clients PHS/Morgan not yet signed -&gt; no specimen needed now). Class 42 SaaS, ~$250.  ||  2026-06-03 update: PR #2982 merged at 44d479f6 with Brand and IP Readiness Packet covering AbarVa mark filing prep, counsel search/filing evidence rules, specimen/renewal checklist, verifier, and release record. Keep In progress until counsel search plus USPTO filing receipt or counsel-approved defer memo exists.</t>
        </is>
      </c>
    </row>
    <row r="207">
      <c r="A207" s="18" t="inlineStr">
        <is>
          <t>T067</t>
        </is>
      </c>
      <c r="B207" s="18" t="inlineStr">
        <is>
          <t>IP &amp; Trademark</t>
        </is>
      </c>
      <c r="C207" s="18" t="inlineStr">
        <is>
          <t>Knockout search for agent brand names (Sentinel/Atlas/Steward/Nexus/Maestro)</t>
        </is>
      </c>
      <c r="D207" s="18" t="inlineStr">
        <is>
          <t>Free USPTO TESS search. These are common English words — expect conflicts in adjacent categories.</t>
        </is>
      </c>
      <c r="E207" s="31" t="inlineStr">
        <is>
          <t>P0</t>
        </is>
      </c>
      <c r="F207" s="38" t="inlineStr">
        <is>
          <t>1. QUICK WIN</t>
        </is>
      </c>
      <c r="G207" s="18" t="inlineStr">
        <is>
          <t>Anand</t>
        </is>
      </c>
      <c r="H207" s="18" t="inlineStr"/>
      <c r="I207" s="43" t="inlineStr">
        <is>
          <t>Self-serve + Claude</t>
        </is>
      </c>
      <c r="J207" s="52" t="inlineStr">
        <is>
          <t>$0 (USPTO TESS)</t>
        </is>
      </c>
      <c r="K207" s="82" t="inlineStr">
        <is>
          <t>Pre-Resign</t>
        </is>
      </c>
      <c r="L207" s="44" t="inlineStr">
        <is>
          <t>In progress</t>
        </is>
      </c>
      <c r="M207" s="18" t="inlineStr">
        <is>
          <t>[2026-06-10] Founder knockout analysis delivered (Downloads/abarva-today-setup/1_KNOCKOUT_SEARCH_T067.md). AbarVa = clear/coined -&gt; file. Agent names (Sentinel/Atlas/Maestro/Nexus/Steward) = common words w/ active adjacent marks (SentinelOne, ThoughtSpot ATLAS, Maestro data-gov) -&gt; do NOT file bare; use under AbarVa house mark / qualified composites. To close Done: run live USPTO TESS report + counsel review.  ||  2026-06-03 update: PR #2982 merged at 44d479f6 with agent brand knockout search plan for Sentinel, Atlas, Steward, Nexus, Maestro, and qualified AbarVa variants. Keep In progress until actual search report, conflicts, risk rating, and recommendation are saved.</t>
        </is>
      </c>
    </row>
    <row r="208">
      <c r="A208" s="18" t="inlineStr">
        <is>
          <t>T068</t>
        </is>
      </c>
      <c r="B208" s="18" t="inlineStr">
        <is>
          <t>IP &amp; Trademark</t>
        </is>
      </c>
      <c r="C208" s="18" t="inlineStr">
        <is>
          <t>Trademark agent brand names (qualified if needed: 'AbarVa Sentinel' etc.)</t>
        </is>
      </c>
      <c r="D208" s="18" t="inlineStr">
        <is>
          <t>Likely need qualified marks given knockout results. ~$350 × N filings.</t>
        </is>
      </c>
      <c r="E208" s="32" t="inlineStr">
        <is>
          <t>P1</t>
        </is>
      </c>
      <c r="F208" s="38" t="inlineStr">
        <is>
          <t>1. QUICK WIN</t>
        </is>
      </c>
      <c r="G208" s="18" t="inlineStr">
        <is>
          <t>Anand</t>
        </is>
      </c>
      <c r="H208" s="18" t="inlineStr">
        <is>
          <t>T067</t>
        </is>
      </c>
      <c r="I208" s="43" t="inlineStr">
        <is>
          <t>Self-serve (USPTO TEAS)</t>
        </is>
      </c>
      <c r="J208" s="51" t="inlineStr">
        <is>
          <t>$350-1400 (1-4 marks)</t>
        </is>
      </c>
      <c r="K208" s="83" t="inlineStr">
        <is>
          <t>Post-Resign</t>
        </is>
      </c>
      <c r="L208" s="44" t="inlineStr">
        <is>
          <t>In progress</t>
        </is>
      </c>
      <c r="M208" s="18" t="inlineStr">
        <is>
          <t>2026-06-03 update: PR #2982 merged at 44d479f6 with agent brand filing decision plan. Keep In progress until counsel decides file/qualify/rename/defer and filing receipts or no-file memo are saved.</t>
        </is>
      </c>
    </row>
    <row r="209">
      <c r="A209" s="18" t="inlineStr">
        <is>
          <t>T069</t>
        </is>
      </c>
      <c r="B209" s="18" t="inlineStr">
        <is>
          <t>IP &amp; Trademark</t>
        </is>
      </c>
      <c r="C209" s="18" t="inlineStr">
        <is>
          <t>Register industry-genome corpus database with US Copyright Office</t>
        </is>
      </c>
      <c r="D209" s="18" t="inlineStr">
        <is>
          <t>$65. Database registration. Evidentiary advantage if anyone copies the corpus.</t>
        </is>
      </c>
      <c r="E209" s="32" t="inlineStr">
        <is>
          <t>P1</t>
        </is>
      </c>
      <c r="F209" s="38" t="inlineStr">
        <is>
          <t>1. QUICK WIN</t>
        </is>
      </c>
      <c r="G209" s="18" t="inlineStr">
        <is>
          <t>Anand</t>
        </is>
      </c>
      <c r="H209" s="18" t="inlineStr">
        <is>
          <t>T001</t>
        </is>
      </c>
      <c r="I209" s="43" t="inlineStr">
        <is>
          <t>Self-serve (copyright.gov)</t>
        </is>
      </c>
      <c r="J209" s="51" t="inlineStr">
        <is>
          <t>$65 one-time/yr</t>
        </is>
      </c>
      <c r="K209" s="83" t="inlineStr">
        <is>
          <t>Post-Resign</t>
        </is>
      </c>
      <c r="L209" s="44" t="inlineStr">
        <is>
          <t>In progress</t>
        </is>
      </c>
      <c r="M209" s="18" t="inlineStr">
        <is>
          <t>2026-06-03 update: PR #2982 merged at 44d479f6 with corpus database copyright readiness plan covering authored corpus asset identification, third-party fact separation, deposit package manifest, and annual review trigger. Keep In progress until counsel registration decision and Copyright Office receipt or registration plan exist.</t>
        </is>
      </c>
    </row>
    <row r="210">
      <c r="A210" s="18" t="inlineStr">
        <is>
          <t>T070</t>
        </is>
      </c>
      <c r="B210" s="18" t="inlineStr">
        <is>
          <t>IP &amp; Trademark</t>
        </is>
      </c>
      <c r="C210" s="18" t="inlineStr">
        <is>
          <t>Write 1-page Trade Secret Policy</t>
        </is>
      </c>
      <c r="D210" s="18" t="inlineStr">
        <is>
          <t>Definition, marking convention ('AbarVa Confidential — Trade Secret'), access controls, NDA on all touch.</t>
        </is>
      </c>
      <c r="E210" s="31" t="inlineStr">
        <is>
          <t>P0</t>
        </is>
      </c>
      <c r="F210" s="39" t="inlineStr">
        <is>
          <t>2. CLAUDE DOES IT</t>
        </is>
      </c>
      <c r="G210" s="18" t="inlineStr">
        <is>
          <t>Anand</t>
        </is>
      </c>
      <c r="H210" s="18" t="inlineStr"/>
      <c r="I210" s="45" t="inlineStr">
        <is>
          <t>Claude (draft)</t>
        </is>
      </c>
      <c r="J210" s="52" t="inlineStr">
        <is>
          <t>$0</t>
        </is>
      </c>
      <c r="K210" s="82" t="inlineStr">
        <is>
          <t>Pre-Resign</t>
        </is>
      </c>
      <c r="L210" s="44" t="inlineStr">
        <is>
          <t>Done</t>
        </is>
      </c>
      <c r="M210" s="18" t="inlineStr">
        <is>
          <t>Done - docs/ip/trade-secret-policy.md.</t>
        </is>
      </c>
    </row>
    <row r="211">
      <c r="A211" s="18" t="inlineStr">
        <is>
          <t>T072</t>
        </is>
      </c>
      <c r="B211" s="18" t="inlineStr">
        <is>
          <t>IP &amp; Trademark</t>
        </is>
      </c>
      <c r="C211" s="18" t="inlineStr">
        <is>
          <t>Defensive publication: AgentContextBroker boundary contract</t>
        </is>
      </c>
      <c r="D211" s="18" t="inlineStr">
        <is>
          <t>Dated, indexed blog post on abarva.com/engineering. Prior art = no one else can patent it against you.</t>
        </is>
      </c>
      <c r="E211" s="32" t="inlineStr">
        <is>
          <t>P1</t>
        </is>
      </c>
      <c r="F211" s="39" t="inlineStr">
        <is>
          <t>2. CLAUDE DOES IT</t>
        </is>
      </c>
      <c r="G211" s="18" t="inlineStr">
        <is>
          <t>Anand</t>
        </is>
      </c>
      <c r="H211" s="18" t="inlineStr"/>
      <c r="I211" s="45" t="inlineStr">
        <is>
          <t>Claude (draft post)</t>
        </is>
      </c>
      <c r="J211" s="52" t="inlineStr">
        <is>
          <t>$0</t>
        </is>
      </c>
      <c r="K211" s="83" t="inlineStr">
        <is>
          <t>Post-Resign</t>
        </is>
      </c>
      <c r="L211" s="44" t="inlineStr">
        <is>
          <t>In progress</t>
        </is>
      </c>
      <c r="M211" s="18" t="inlineStr">
        <is>
          <t>PR #2809 merged on 2026-06-02: added an AgentContextBroker defensive-publication draft and docs/ip/defensive-publications index grounded in real broker code, ADR-0002, dependency-cruiser boundary enforcement, architecture-boundary CI, and tenant-isolation tests. Local validation passed: path-reference check, git diff --check, release:check, and secrets:staged. GitHub CI passed, including Browser Matrix Smoke; remote branch deleted. Tracker remains In progress because the repository is private; true defensive publication requires counsel/founder review and posting to a public channel with URL recorded.</t>
        </is>
      </c>
    </row>
    <row r="212">
      <c r="A212" s="18" t="inlineStr">
        <is>
          <t>T073</t>
        </is>
      </c>
      <c r="B212" s="18" t="inlineStr">
        <is>
          <t>IP &amp; Trademark</t>
        </is>
      </c>
      <c r="C212" s="18" t="inlineStr">
        <is>
          <t>Defensive publication: workflow-anchored agent pattern</t>
        </is>
      </c>
      <c r="D212" s="18" t="inlineStr">
        <is>
          <t>Article describing one-front-agent-per-product + specialist routing.</t>
        </is>
      </c>
      <c r="E212" s="32" t="inlineStr">
        <is>
          <t>P1</t>
        </is>
      </c>
      <c r="F212" s="39" t="inlineStr">
        <is>
          <t>2. CLAUDE DOES IT</t>
        </is>
      </c>
      <c r="G212" s="18" t="inlineStr">
        <is>
          <t>Anand</t>
        </is>
      </c>
      <c r="H212" s="18" t="inlineStr"/>
      <c r="I212" s="45" t="inlineStr">
        <is>
          <t>Claude (draft post)</t>
        </is>
      </c>
      <c r="J212" s="52" t="inlineStr">
        <is>
          <t>$0</t>
        </is>
      </c>
      <c r="K212" s="83" t="inlineStr">
        <is>
          <t>Post-Resign</t>
        </is>
      </c>
      <c r="L212" s="44" t="inlineStr">
        <is>
          <t>In progress</t>
        </is>
      </c>
      <c r="M212" s="18" t="inlineStr">
        <is>
          <t>2026-06-03: Draft defensive-publication artifact merged in PR #2911 at d0f29925e0d22d2d77f3fa09e7a6094021b8029c. Still In progress because public publication / counsel-approved external posting remains external evidence.</t>
        </is>
      </c>
    </row>
    <row r="213">
      <c r="A213" s="18" t="inlineStr">
        <is>
          <t>T074</t>
        </is>
      </c>
      <c r="B213" s="18" t="inlineStr">
        <is>
          <t>IP &amp; Trademark</t>
        </is>
      </c>
      <c r="C213" s="18" t="inlineStr">
        <is>
          <t>Defensive publication: pattern-to-Move funnel</t>
        </is>
      </c>
      <c r="D213" s="18" t="inlineStr">
        <is>
          <t>Article describing Intelligence → Moves translation flow.</t>
        </is>
      </c>
      <c r="E213" s="49" t="inlineStr">
        <is>
          <t>P2</t>
        </is>
      </c>
      <c r="F213" s="39" t="inlineStr">
        <is>
          <t>2. CLAUDE DOES IT</t>
        </is>
      </c>
      <c r="G213" s="18" t="inlineStr">
        <is>
          <t>Anand</t>
        </is>
      </c>
      <c r="H213" s="18" t="inlineStr"/>
      <c r="I213" s="45" t="inlineStr">
        <is>
          <t>Claude (draft post)</t>
        </is>
      </c>
      <c r="J213" s="52" t="inlineStr">
        <is>
          <t>$0</t>
        </is>
      </c>
      <c r="K213" s="83" t="inlineStr">
        <is>
          <t>Post-Resign</t>
        </is>
      </c>
      <c r="L213" s="44" t="inlineStr">
        <is>
          <t>In progress</t>
        </is>
      </c>
      <c r="M213" s="18" t="inlineStr">
        <is>
          <t>2026-06-03: Draft defensive-publication artifact merged in PR #2911 at d0f29925e0d22d2d77f3fa09e7a6094021b8029c. Still In progress because public publication / counsel-approved external posting remains external evidence.</t>
        </is>
      </c>
    </row>
    <row r="214">
      <c r="A214" s="18" t="inlineStr">
        <is>
          <t>T076</t>
        </is>
      </c>
      <c r="B214" s="18" t="inlineStr">
        <is>
          <t>IP &amp; Trademark</t>
        </is>
      </c>
      <c r="C214" s="18" t="inlineStr">
        <is>
          <t>Invention disclosure form (1-pager) for future innovations</t>
        </is>
      </c>
      <c r="D214" s="18" t="inlineStr">
        <is>
          <t>Capture novel mechanisms as they emerge. Decision: patent / trade secret / publish.</t>
        </is>
      </c>
      <c r="E214" s="49" t="inlineStr">
        <is>
          <t>P2</t>
        </is>
      </c>
      <c r="F214" s="39" t="inlineStr">
        <is>
          <t>2. CLAUDE DOES IT</t>
        </is>
      </c>
      <c r="G214" s="18" t="inlineStr">
        <is>
          <t>Anand</t>
        </is>
      </c>
      <c r="H214" s="18" t="inlineStr"/>
      <c r="I214" s="45" t="inlineStr">
        <is>
          <t>Claude (template)</t>
        </is>
      </c>
      <c r="J214" s="52" t="inlineStr">
        <is>
          <t>$0</t>
        </is>
      </c>
      <c r="K214" s="82" t="inlineStr">
        <is>
          <t>Pre-Resign</t>
        </is>
      </c>
      <c r="L214" s="44" t="inlineStr">
        <is>
          <t>Done</t>
        </is>
      </c>
      <c r="M214" s="18" t="inlineStr">
        <is>
          <t>2026-06-03: Done. Invention disclosure form template merged in PR #2911 at d0f29925e0d22d2d77f3fa09e7a6094021b8029c with release record and all required checks green.</t>
        </is>
      </c>
    </row>
    <row r="215">
      <c r="A215" s="18" t="inlineStr">
        <is>
          <t>T071</t>
        </is>
      </c>
      <c r="B215" s="18" t="inlineStr">
        <is>
          <t>IP &amp; Trademark</t>
        </is>
      </c>
      <c r="C215" s="18" t="inlineStr">
        <is>
          <t>Inventory trade secrets — apply marking</t>
        </is>
      </c>
      <c r="D215" s="18" t="inlineStr">
        <is>
          <t>Agent system prompts, specialist routing logic, corpus curation methodology, evaluation rubrics, growth playbooks.</t>
        </is>
      </c>
      <c r="E215" s="31" t="inlineStr">
        <is>
          <t>P0</t>
        </is>
      </c>
      <c r="F215" s="40" t="inlineStr">
        <is>
          <t>3. CLAUDE + YOU</t>
        </is>
      </c>
      <c r="G215" s="18" t="inlineStr">
        <is>
          <t>Anand</t>
        </is>
      </c>
      <c r="H215" s="18" t="inlineStr">
        <is>
          <t>T070</t>
        </is>
      </c>
      <c r="I215" s="47" t="inlineStr">
        <is>
          <t>Claude + you</t>
        </is>
      </c>
      <c r="J215" s="52" t="inlineStr">
        <is>
          <t>$0</t>
        </is>
      </c>
      <c r="K215" s="82" t="inlineStr">
        <is>
          <t>Pre-Resign</t>
        </is>
      </c>
      <c r="L215" s="44" t="inlineStr">
        <is>
          <t>In progress</t>
        </is>
      </c>
      <c r="M215" s="18" t="inlineStr">
        <is>
          <t>[2026-06-10] Trade-secret register + marked sample COMMITTED (PR #3392): docs/ip/trade-secret-register.md (TS-01..TS-08) + 'AbarVa Confidential - Trade Secret' banner on context-corpus-policy/retrieval/synthesizer/corpus-authoring/agent-eval. Remaining for Done: access review + NDA coverage (T075).  ||  2026-06-03 update: PR #2982 merged at 44d479f6 with trade-secret inventory fields, candidate categories, marking convention, and evidence rules. Keep In progress until approved inventory, marked sample set, access review, and founder/counsel approval exist.</t>
        </is>
      </c>
    </row>
    <row r="216">
      <c r="A216" s="18" t="inlineStr">
        <is>
          <t>T075</t>
        </is>
      </c>
      <c r="B216" s="18" t="inlineStr">
        <is>
          <t>IP &amp; Trademark</t>
        </is>
      </c>
      <c r="C216" s="18" t="inlineStr">
        <is>
          <t>Contractor/employee NDA + IP assignment template</t>
        </is>
      </c>
      <c r="D216" s="18" t="inlineStr">
        <is>
          <t>Anyone who touches code, prompts, or corpus signs BEFORE access. No exceptions.</t>
        </is>
      </c>
      <c r="E216" s="31" t="inlineStr">
        <is>
          <t>P0</t>
        </is>
      </c>
      <c r="F216" s="41" t="inlineStr">
        <is>
          <t>4. CLAUDE + PRO</t>
        </is>
      </c>
      <c r="G216" s="18" t="inlineStr">
        <is>
          <t>Anand</t>
        </is>
      </c>
      <c r="H216" s="18" t="inlineStr">
        <is>
          <t>T006</t>
        </is>
      </c>
      <c r="I216" s="50" t="inlineStr">
        <is>
          <t>Claude + lawyer</t>
        </is>
      </c>
      <c r="J216" s="51" t="inlineStr">
        <is>
          <t>$500-1k (lawyer template)</t>
        </is>
      </c>
      <c r="K216" s="82" t="inlineStr">
        <is>
          <t>Pre-Resign</t>
        </is>
      </c>
      <c r="L216" s="44" t="inlineStr">
        <is>
          <t>In progress</t>
        </is>
      </c>
      <c r="M216" s="18" t="inlineStr">
        <is>
          <t>2026-06-03 update: PR #2982 merged at 44d479f6 with contractor/employee NDA and IP assignment requirements covering confidentiality, invention assignment, pre-existing IP, customer data, open-source rules, and offboarding. Keep In progress until counsel-approved template and signed agreements for contributors exist.</t>
        </is>
      </c>
    </row>
    <row r="217">
      <c r="A217" s="18" t="inlineStr">
        <is>
          <t>T137</t>
        </is>
      </c>
      <c r="B217" s="18" t="inlineStr">
        <is>
          <t>Internal Rehearsal</t>
        </is>
      </c>
      <c r="C217" s="18" t="inlineStr">
        <is>
          <t>Create 'FakeClient Inc.' Azure subscription (AbarVa-owned, isolated)</t>
        </is>
      </c>
      <c r="D217" s="18" t="inlineStr">
        <is>
          <t>Second Azure sub specifically to simulate a real client tenant end-to-end. Covered by Founders Hub credits.</t>
        </is>
      </c>
      <c r="E217" s="31" t="inlineStr">
        <is>
          <t>P0</t>
        </is>
      </c>
      <c r="F217" s="38" t="inlineStr">
        <is>
          <t>1. QUICK WIN</t>
        </is>
      </c>
      <c r="G217" s="18" t="inlineStr">
        <is>
          <t>Anand</t>
        </is>
      </c>
      <c r="H217" s="18" t="inlineStr">
        <is>
          <t>T124</t>
        </is>
      </c>
      <c r="I217" s="43" t="inlineStr">
        <is>
          <t>Self-serve (Azure portal)</t>
        </is>
      </c>
      <c r="J217" s="52" t="inlineStr">
        <is>
          <t>$0 (credits)</t>
        </is>
      </c>
      <c r="K217" s="84" t="inlineStr">
        <is>
          <t>Anytime</t>
        </is>
      </c>
      <c r="L217" s="44" t="inlineStr">
        <is>
          <t>In progress</t>
        </is>
      </c>
      <c r="M217" s="18" t="inlineStr">
        <is>
          <t>In progress - internal rehearsal action register created with owner, dependency, execution phase, definition of done, evidence gate, and risk burned down. Done requires live FakeClient rehearsal evidence for this row. Evidence: /Users/anand/Downloads/abarva-internal-rehearsal-readiness/INTERNAL_REHEARSAL_ACTION_REGISTER_2026-06-04.xlsx; index: /Users/anand/Downloads/abarva-internal-rehearsal-readiness/INTERNAL_REHEARSAL_READINESS_INDEX_2026-06-04.md.</t>
        </is>
      </c>
    </row>
    <row r="218">
      <c r="A218" s="18" t="inlineStr">
        <is>
          <t>T138</t>
        </is>
      </c>
      <c r="B218" s="18" t="inlineStr">
        <is>
          <t>Internal Rehearsal</t>
        </is>
      </c>
      <c r="C218" s="18" t="inlineStr">
        <is>
          <t>Set up Microsoft Entra ID dev tenant for FakeClient (free)</t>
        </is>
      </c>
      <c r="D218" s="18" t="inlineStr">
        <is>
          <t>Free tier Entra tenant. Acts as client IdP for SSO testing. 10 synthetic users + group structure.</t>
        </is>
      </c>
      <c r="E218" s="31" t="inlineStr">
        <is>
          <t>P0</t>
        </is>
      </c>
      <c r="F218" s="38" t="inlineStr">
        <is>
          <t>1. QUICK WIN</t>
        </is>
      </c>
      <c r="G218" s="18" t="inlineStr">
        <is>
          <t>Anand</t>
        </is>
      </c>
      <c r="H218" s="18" t="inlineStr"/>
      <c r="I218" s="43" t="inlineStr">
        <is>
          <t>Self-serve (Entra portal)</t>
        </is>
      </c>
      <c r="J218" s="52" t="inlineStr">
        <is>
          <t>$0 (Entra free tier)</t>
        </is>
      </c>
      <c r="K218" s="84" t="inlineStr">
        <is>
          <t>Anytime</t>
        </is>
      </c>
      <c r="L218" s="44" t="inlineStr">
        <is>
          <t>In progress</t>
        </is>
      </c>
      <c r="M218" s="18" t="inlineStr">
        <is>
          <t>In progress - repo-side SSO rehearsal kit already exists; live Entra/Clerk proof still required. Internal rehearsal register now adds execution sequence and evidence gate. Evidence: /Users/anand/Downloads/abarva-internal-rehearsal-readiness/INTERNAL_REHEARSAL_ACTION_REGISTER_2026-06-04.xlsx; index: /Users/anand/Downloads/abarva-internal-rehearsal-readiness/INTERNAL_REHEARSAL_READINESS_INDEX_2026-06-04.md.</t>
        </is>
      </c>
    </row>
    <row r="219">
      <c r="A219" s="18" t="inlineStr">
        <is>
          <t>T140</t>
        </is>
      </c>
      <c r="B219" s="18" t="inlineStr">
        <is>
          <t>Internal Rehearsal</t>
        </is>
      </c>
      <c r="C219" s="18" t="inlineStr">
        <is>
          <t>Configure SAML/SCIM: FakeClient Entra → Clerk → AbarVa app</t>
        </is>
      </c>
      <c r="D219" s="18" t="inlineStr">
        <is>
          <t>Real SSO config end-to-end. SCIM auto-provisions Entra users into Clerk → AbarVa.</t>
        </is>
      </c>
      <c r="E219" s="31" t="inlineStr">
        <is>
          <t>P0</t>
        </is>
      </c>
      <c r="F219" s="38" t="inlineStr">
        <is>
          <t>1. QUICK WIN</t>
        </is>
      </c>
      <c r="G219" s="18" t="inlineStr">
        <is>
          <t>Anand</t>
        </is>
      </c>
      <c r="H219" s="18" t="inlineStr">
        <is>
          <t>T138,T034</t>
        </is>
      </c>
      <c r="I219" s="43" t="inlineStr">
        <is>
          <t>Self-serve + Claude (config)</t>
        </is>
      </c>
      <c r="J219" s="52" t="inlineStr">
        <is>
          <t>$0 (within Clerk plan)</t>
        </is>
      </c>
      <c r="K219" s="84" t="inlineStr">
        <is>
          <t>Anytime</t>
        </is>
      </c>
      <c r="L219" s="44" t="inlineStr">
        <is>
          <t>In progress</t>
        </is>
      </c>
      <c r="M219" s="18" t="inlineStr">
        <is>
          <t>In progress - repo-side SSO rehearsal kit already exists; live Entra/Clerk proof still required. Internal rehearsal register now adds execution sequence and evidence gate. Evidence: /Users/anand/Downloads/abarva-internal-rehearsal-readiness/INTERNAL_REHEARSAL_ACTION_REGISTER_2026-06-04.xlsx; index: /Users/anand/Downloads/abarva-internal-rehearsal-readiness/INTERNAL_REHEARSAL_READINESS_INDEX_2026-06-04.md.</t>
        </is>
      </c>
    </row>
    <row r="220">
      <c r="A220" s="18" t="inlineStr">
        <is>
          <t>T139</t>
        </is>
      </c>
      <c r="B220" s="18" t="inlineStr">
        <is>
          <t>Internal Rehearsal</t>
        </is>
      </c>
      <c r="C220" s="18" t="inlineStr">
        <is>
          <t>Deploy IaC end-to-end onto FakeClient tenant (target &lt;2h)</t>
        </is>
      </c>
      <c r="D220" s="18" t="inlineStr">
        <is>
          <t>Run client-tenant IaC templates as-if onboarding real F500. Time every step.</t>
        </is>
      </c>
      <c r="E220" s="31" t="inlineStr">
        <is>
          <t>P0</t>
        </is>
      </c>
      <c r="F220" s="39" t="inlineStr">
        <is>
          <t>2. CLAUDE DOES IT</t>
        </is>
      </c>
      <c r="G220" s="18" t="inlineStr">
        <is>
          <t>Anand</t>
        </is>
      </c>
      <c r="H220" s="18" t="inlineStr">
        <is>
          <t>T029,T137</t>
        </is>
      </c>
      <c r="I220" s="45" t="inlineStr">
        <is>
          <t>Claude (script orchestration)</t>
        </is>
      </c>
      <c r="J220" s="52" t="inlineStr">
        <is>
          <t>$0 (credits cover compute)</t>
        </is>
      </c>
      <c r="K220" s="84" t="inlineStr">
        <is>
          <t>Anytime</t>
        </is>
      </c>
      <c r="L220" s="44" t="inlineStr">
        <is>
          <t>In progress</t>
        </is>
      </c>
      <c r="M220" s="18" t="inlineStr">
        <is>
          <t>In progress - internal rehearsal action register created with owner, dependency, execution phase, definition of done, evidence gate, and risk burned down. Done requires live FakeClient rehearsal evidence for this row. Evidence: /Users/anand/Downloads/abarva-internal-rehearsal-readiness/INTERNAL_REHEARSAL_ACTION_REGISTER_2026-06-04.xlsx; index: /Users/anand/Downloads/abarva-internal-rehearsal-readiness/INTERNAL_REHEARSAL_READINESS_INDEX_2026-06-04.md.</t>
        </is>
      </c>
    </row>
    <row r="221">
      <c r="A221" s="18" t="inlineStr">
        <is>
          <t>T141</t>
        </is>
      </c>
      <c r="B221" s="18" t="inlineStr">
        <is>
          <t>Internal Rehearsal</t>
        </is>
      </c>
      <c r="C221" s="18" t="inlineStr">
        <is>
          <t>Load synthetic corpus into FakeClient data plane via SAS upload</t>
        </is>
      </c>
      <c r="D221" s="18" t="inlineStr">
        <is>
          <t>Use existing Apex/Meridian fixtures. Run actual upload pattern (browser → blob via SAS).</t>
        </is>
      </c>
      <c r="E221" s="31" t="inlineStr">
        <is>
          <t>P0</t>
        </is>
      </c>
      <c r="F221" s="39" t="inlineStr">
        <is>
          <t>2. CLAUDE DOES IT</t>
        </is>
      </c>
      <c r="G221" s="18" t="inlineStr">
        <is>
          <t>Anand</t>
        </is>
      </c>
      <c r="H221" s="18" t="inlineStr">
        <is>
          <t>T137</t>
        </is>
      </c>
      <c r="I221" s="45" t="inlineStr">
        <is>
          <t>Claude (code+docs)</t>
        </is>
      </c>
      <c r="J221" s="52" t="inlineStr">
        <is>
          <t>$0 (covered by credits)</t>
        </is>
      </c>
      <c r="K221" s="84" t="inlineStr">
        <is>
          <t>Anytime</t>
        </is>
      </c>
      <c r="L221" s="44" t="inlineStr">
        <is>
          <t>In progress</t>
        </is>
      </c>
      <c r="M221" s="18" t="inlineStr">
        <is>
          <t>In progress - internal rehearsal action register created with owner, dependency, execution phase, definition of done, evidence gate, and risk burned down. Done requires live FakeClient rehearsal evidence for this row. Evidence: /Users/anand/Downloads/abarva-internal-rehearsal-readiness/INTERNAL_REHEARSAL_ACTION_REGISTER_2026-06-04.xlsx; index: /Users/anand/Downloads/abarva-internal-rehearsal-readiness/INTERNAL_REHEARSAL_READINESS_INDEX_2026-06-04.md.</t>
        </is>
      </c>
    </row>
    <row r="222">
      <c r="A222" s="18" t="inlineStr">
        <is>
          <t>T143</t>
        </is>
      </c>
      <c r="B222" s="18" t="inlineStr">
        <is>
          <t>Internal Rehearsal</t>
        </is>
      </c>
      <c r="C222" s="18" t="inlineStr">
        <is>
          <t>Time every onboarding step → publish as commitments in real SOW</t>
        </is>
      </c>
      <c r="D222" s="18" t="inlineStr">
        <is>
          <t>Day-1, day-7, day-30 timeline based on observed reality, not estimate.</t>
        </is>
      </c>
      <c r="E222" s="31" t="inlineStr">
        <is>
          <t>P0</t>
        </is>
      </c>
      <c r="F222" s="39" t="inlineStr">
        <is>
          <t>2. CLAUDE DOES IT</t>
        </is>
      </c>
      <c r="G222" s="18" t="inlineStr">
        <is>
          <t>Anand</t>
        </is>
      </c>
      <c r="H222" s="18" t="inlineStr">
        <is>
          <t>T142</t>
        </is>
      </c>
      <c r="I222" s="45" t="inlineStr">
        <is>
          <t>Claude (docs from timing data)</t>
        </is>
      </c>
      <c r="J222" s="52" t="inlineStr">
        <is>
          <t>$0</t>
        </is>
      </c>
      <c r="K222" s="84" t="inlineStr">
        <is>
          <t>Anytime</t>
        </is>
      </c>
      <c r="L222" s="44" t="inlineStr">
        <is>
          <t>In progress</t>
        </is>
      </c>
      <c r="M222" s="18" t="inlineStr">
        <is>
          <t>In progress - internal rehearsal action register created with owner, dependency, execution phase, definition of done, evidence gate, and risk burned down. Done requires live FakeClient rehearsal evidence for this row. Evidence: /Users/anand/Downloads/abarva-internal-rehearsal-readiness/INTERNAL_REHEARSAL_ACTION_REGISTER_2026-06-04.xlsx; index: /Users/anand/Downloads/abarva-internal-rehearsal-readiness/INTERNAL_REHEARSAL_READINESS_INDEX_2026-06-04.md.</t>
        </is>
      </c>
    </row>
    <row r="223">
      <c r="A223" s="18" t="inlineStr">
        <is>
          <t>T164</t>
        </is>
      </c>
      <c r="B223" s="18" t="inlineStr">
        <is>
          <t>Internal Rehearsal</t>
        </is>
      </c>
      <c r="C223" s="18" t="inlineStr">
        <is>
          <t>Real-world tenant test: run FakeClient at production-equivalent scale for 1 week</t>
        </is>
      </c>
      <c r="D223" s="18" t="inlineStr">
        <is>
          <t>Not just deploy + smoke test. Run continuously with synthetic traffic for 7 days. Detect: cost drift, memory leaks, log volume, alert noise, cron reliability.</t>
        </is>
      </c>
      <c r="E223" s="31" t="inlineStr">
        <is>
          <t>P0</t>
        </is>
      </c>
      <c r="F223" s="39" t="inlineStr">
        <is>
          <t>2. CLAUDE DOES IT</t>
        </is>
      </c>
      <c r="G223" s="18" t="inlineStr">
        <is>
          <t>Anand</t>
        </is>
      </c>
      <c r="H223" s="18" t="inlineStr">
        <is>
          <t>T142</t>
        </is>
      </c>
      <c r="I223" s="45" t="inlineStr">
        <is>
          <t>Claude (orchestrate) + you</t>
        </is>
      </c>
      <c r="J223" s="52" t="inlineStr">
        <is>
          <t>$0 (credits)</t>
        </is>
      </c>
      <c r="K223" s="84" t="inlineStr">
        <is>
          <t>Anytime</t>
        </is>
      </c>
      <c r="L223" s="44" t="inlineStr">
        <is>
          <t>In progress</t>
        </is>
      </c>
      <c r="M223" s="18" t="inlineStr">
        <is>
          <t>In progress - internal rehearsal action register created with owner, dependency, execution phase, definition of done, evidence gate, and risk burned down. Done requires live FakeClient rehearsal evidence for this row. Evidence: /Users/anand/Downloads/abarva-internal-rehearsal-readiness/INTERNAL_REHEARSAL_ACTION_REGISTER_2026-06-04.xlsx; index: /Users/anand/Downloads/abarva-internal-rehearsal-readiness/INTERNAL_REHEARSAL_READINESS_INDEX_2026-06-04.md.</t>
        </is>
      </c>
    </row>
    <row r="224">
      <c r="A224" s="18" t="inlineStr">
        <is>
          <t>T165</t>
        </is>
      </c>
      <c r="B224" s="18" t="inlineStr">
        <is>
          <t>Internal Rehearsal</t>
        </is>
      </c>
      <c r="C224" s="18" t="inlineStr">
        <is>
          <t>Capture every error/warning emitted during 1-week tenant run</t>
        </is>
      </c>
      <c r="D224" s="18" t="inlineStr">
        <is>
          <t>Build dashboard of all logs/exceptions/timeouts. Triage each. Fix or document as known-acceptable.</t>
        </is>
      </c>
      <c r="E224" s="31" t="inlineStr">
        <is>
          <t>P0</t>
        </is>
      </c>
      <c r="F224" s="39" t="inlineStr">
        <is>
          <t>2. CLAUDE DOES IT</t>
        </is>
      </c>
      <c r="G224" s="18" t="inlineStr">
        <is>
          <t>Anand</t>
        </is>
      </c>
      <c r="H224" s="18" t="inlineStr"/>
      <c r="I224" s="45" t="inlineStr">
        <is>
          <t>Claude (analysis)</t>
        </is>
      </c>
      <c r="J224" s="52" t="inlineStr">
        <is>
          <t>$0</t>
        </is>
      </c>
      <c r="K224" s="84" t="inlineStr">
        <is>
          <t>Anytime</t>
        </is>
      </c>
      <c r="L224" s="44" t="inlineStr">
        <is>
          <t>In progress</t>
        </is>
      </c>
      <c r="M224" s="18" t="inlineStr">
        <is>
          <t>In progress - internal rehearsal action register created with owner, dependency, execution phase, definition of done, evidence gate, and risk burned down. Done requires live FakeClient rehearsal evidence for this row. Evidence: /Users/anand/Downloads/abarva-internal-rehearsal-readiness/INTERNAL_REHEARSAL_ACTION_REGISTER_2026-06-04.xlsx; index: /Users/anand/Downloads/abarva-internal-rehearsal-readiness/INTERNAL_REHEARSAL_READINESS_INDEX_2026-06-04.md.</t>
        </is>
      </c>
    </row>
    <row r="225">
      <c r="A225" s="18" t="inlineStr">
        <is>
          <t>T167</t>
        </is>
      </c>
      <c r="B225" s="18" t="inlineStr">
        <is>
          <t>Internal Rehearsal</t>
        </is>
      </c>
      <c r="C225" s="18" t="inlineStr">
        <is>
          <t>Multi-tenant simulation: stand up 3 FakeClient tenants concurrently</t>
        </is>
      </c>
      <c r="D225" s="18" t="inlineStr">
        <is>
          <t>Validates cross-tenant isolation under load. Detect ANY data bleed via deliberate cross-tenant queries.</t>
        </is>
      </c>
      <c r="E225" s="31" t="inlineStr">
        <is>
          <t>P0</t>
        </is>
      </c>
      <c r="F225" s="39" t="inlineStr">
        <is>
          <t>2. CLAUDE DOES IT</t>
        </is>
      </c>
      <c r="G225" s="18" t="inlineStr">
        <is>
          <t>Anand</t>
        </is>
      </c>
      <c r="H225" s="18" t="inlineStr">
        <is>
          <t>T142</t>
        </is>
      </c>
      <c r="I225" s="45" t="inlineStr">
        <is>
          <t>Claude (orchestrate) + you</t>
        </is>
      </c>
      <c r="J225" s="52" t="inlineStr">
        <is>
          <t>$0 (credits)</t>
        </is>
      </c>
      <c r="K225" s="84" t="inlineStr">
        <is>
          <t>Anytime</t>
        </is>
      </c>
      <c r="L225" s="44" t="inlineStr">
        <is>
          <t>In progress</t>
        </is>
      </c>
      <c r="M225" s="18" t="inlineStr">
        <is>
          <t>In progress - internal rehearsal action register created with owner, dependency, execution phase, definition of done, evidence gate, and risk burned down. Done requires live FakeClient rehearsal evidence for this row. Evidence: /Users/anand/Downloads/abarva-internal-rehearsal-readiness/INTERNAL_REHEARSAL_ACTION_REGISTER_2026-06-04.xlsx; index: /Users/anand/Downloads/abarva-internal-rehearsal-readiness/INTERNAL_REHEARSAL_READINESS_INDEX_2026-06-04.md.</t>
        </is>
      </c>
    </row>
    <row r="226">
      <c r="A226" s="18" t="inlineStr">
        <is>
          <t>T145</t>
        </is>
      </c>
      <c r="B226" s="18" t="inlineStr">
        <is>
          <t>Internal Rehearsal</t>
        </is>
      </c>
      <c r="C226" s="18" t="inlineStr">
        <is>
          <t>Iterate to &lt;1-hour standup time (vs 2h baseline)</t>
        </is>
      </c>
      <c r="D226" s="18" t="inlineStr">
        <is>
          <t>Tighten IaC, scripting, runbook until a fresh tenant comes online in &lt;1h.</t>
        </is>
      </c>
      <c r="E226" s="32" t="inlineStr">
        <is>
          <t>P1</t>
        </is>
      </c>
      <c r="F226" s="39" t="inlineStr">
        <is>
          <t>2. CLAUDE DOES IT</t>
        </is>
      </c>
      <c r="G226" s="18" t="inlineStr">
        <is>
          <t>Anand</t>
        </is>
      </c>
      <c r="H226" s="18" t="inlineStr">
        <is>
          <t>T144</t>
        </is>
      </c>
      <c r="I226" s="45" t="inlineStr">
        <is>
          <t>Claude (code) + you</t>
        </is>
      </c>
      <c r="J226" s="52" t="inlineStr">
        <is>
          <t>$0 (credits)</t>
        </is>
      </c>
      <c r="K226" s="84" t="inlineStr">
        <is>
          <t>Anytime</t>
        </is>
      </c>
      <c r="L226" s="44" t="inlineStr">
        <is>
          <t>In progress</t>
        </is>
      </c>
      <c r="M226" s="18" t="inlineStr">
        <is>
          <t>In progress - internal rehearsal action register created with owner, dependency, execution phase, definition of done, evidence gate, and risk burned down. Done requires live FakeClient rehearsal evidence for this row. Evidence: /Users/anand/Downloads/abarva-internal-rehearsal-readiness/INTERNAL_REHEARSAL_ACTION_REGISTER_2026-06-04.xlsx; index: /Users/anand/Downloads/abarva-internal-rehearsal-readiness/INTERNAL_REHEARSAL_READINESS_INDEX_2026-06-04.md.</t>
        </is>
      </c>
    </row>
    <row r="227">
      <c r="A227" s="18" t="inlineStr">
        <is>
          <t>T147</t>
        </is>
      </c>
      <c r="B227" s="18" t="inlineStr">
        <is>
          <t>Internal Rehearsal</t>
        </is>
      </c>
      <c r="C227" s="18" t="inlineStr">
        <is>
          <t>Run DR/rollback drill on FakeClient tenant</t>
        </is>
      </c>
      <c r="D227" s="18" t="inlineStr">
        <is>
          <t>Simulate Azure region outage, DB corruption, app deployment rollback. Document MTTR.</t>
        </is>
      </c>
      <c r="E227" s="32" t="inlineStr">
        <is>
          <t>P1</t>
        </is>
      </c>
      <c r="F227" s="39" t="inlineStr">
        <is>
          <t>2. CLAUDE DOES IT</t>
        </is>
      </c>
      <c r="G227" s="18" t="inlineStr">
        <is>
          <t>Anand</t>
        </is>
      </c>
      <c r="H227" s="18" t="inlineStr">
        <is>
          <t>T142</t>
        </is>
      </c>
      <c r="I227" s="45" t="inlineStr">
        <is>
          <t>Claude (runbook) + you</t>
        </is>
      </c>
      <c r="J227" s="52" t="inlineStr">
        <is>
          <t>$0</t>
        </is>
      </c>
      <c r="K227" s="84" t="inlineStr">
        <is>
          <t>Anytime</t>
        </is>
      </c>
      <c r="L227" s="44" t="inlineStr">
        <is>
          <t>In progress</t>
        </is>
      </c>
      <c r="M227" s="18" t="inlineStr">
        <is>
          <t>In progress - internal rehearsal action register created with owner, dependency, execution phase, definition of done, evidence gate, and risk burned down. Done requires live FakeClient rehearsal evidence for this row. Evidence: /Users/anand/Downloads/abarva-internal-rehearsal-readiness/INTERNAL_REHEARSAL_ACTION_REGISTER_2026-06-04.xlsx; index: /Users/anand/Downloads/abarva-internal-rehearsal-readiness/INTERNAL_REHEARSAL_READINESS_INDEX_2026-06-04.md.</t>
        </is>
      </c>
    </row>
    <row r="228">
      <c r="A228" s="18" t="inlineStr">
        <is>
          <t>T166</t>
        </is>
      </c>
      <c r="B228" s="18" t="inlineStr">
        <is>
          <t>Internal Rehearsal</t>
        </is>
      </c>
      <c r="C228" s="18" t="inlineStr">
        <is>
          <t>Re-run real-world test after every major release as regression check</t>
        </is>
      </c>
      <c r="D228" s="18" t="inlineStr">
        <is>
          <t>Same tenant, same workload, same week duration. Compare deltas across releases.</t>
        </is>
      </c>
      <c r="E228" s="32" t="inlineStr">
        <is>
          <t>P1</t>
        </is>
      </c>
      <c r="F228" s="39" t="inlineStr">
        <is>
          <t>2. CLAUDE DOES IT</t>
        </is>
      </c>
      <c r="G228" s="18" t="inlineStr">
        <is>
          <t>Anand</t>
        </is>
      </c>
      <c r="H228" s="18" t="inlineStr"/>
      <c r="I228" s="45" t="inlineStr">
        <is>
          <t>Claude (workflow)</t>
        </is>
      </c>
      <c r="J228" s="52" t="inlineStr">
        <is>
          <t>$0</t>
        </is>
      </c>
      <c r="K228" s="84" t="inlineStr">
        <is>
          <t>Anytime</t>
        </is>
      </c>
      <c r="L228" s="44" t="inlineStr">
        <is>
          <t>In progress</t>
        </is>
      </c>
      <c r="M228" s="18" t="inlineStr">
        <is>
          <t>In progress - internal rehearsal action register created with owner, dependency, execution phase, definition of done, evidence gate, and risk burned down. Done requires live FakeClient rehearsal evidence for this row. Evidence: /Users/anand/Downloads/abarva-internal-rehearsal-readiness/INTERNAL_REHEARSAL_ACTION_REGISTER_2026-06-04.xlsx; index: /Users/anand/Downloads/abarva-internal-rehearsal-readiness/INTERNAL_REHEARSAL_READINESS_INDEX_2026-06-04.md.</t>
        </is>
      </c>
    </row>
    <row r="229">
      <c r="A229" s="18" t="inlineStr">
        <is>
          <t>T148</t>
        </is>
      </c>
      <c r="B229" s="18" t="inlineStr">
        <is>
          <t>Internal Rehearsal</t>
        </is>
      </c>
      <c r="C229" s="18" t="inlineStr">
        <is>
          <t>FakeClient becomes the standard 'new engineer' onboarding exercise</t>
        </is>
      </c>
      <c r="D229" s="18" t="inlineStr">
        <is>
          <t>Anyone joining AbarVa runs through full FakeClient setup. Living certification.</t>
        </is>
      </c>
      <c r="E229" s="49" t="inlineStr">
        <is>
          <t>P2</t>
        </is>
      </c>
      <c r="F229" s="39" t="inlineStr">
        <is>
          <t>2. CLAUDE DOES IT</t>
        </is>
      </c>
      <c r="G229" s="18" t="inlineStr">
        <is>
          <t>Anand</t>
        </is>
      </c>
      <c r="H229" s="18" t="inlineStr">
        <is>
          <t>T144</t>
        </is>
      </c>
      <c r="I229" s="45" t="inlineStr">
        <is>
          <t>Claude (runbook)</t>
        </is>
      </c>
      <c r="J229" s="52" t="inlineStr">
        <is>
          <t>$0</t>
        </is>
      </c>
      <c r="K229" s="84" t="inlineStr">
        <is>
          <t>Anytime</t>
        </is>
      </c>
      <c r="L229" s="44" t="inlineStr">
        <is>
          <t>In progress</t>
        </is>
      </c>
      <c r="M229" s="18" t="inlineStr">
        <is>
          <t>In progress - internal rehearsal action register created with owner, dependency, execution phase, definition of done, evidence gate, and risk burned down. Done requires live FakeClient rehearsal evidence for this row. Evidence: /Users/anand/Downloads/abarva-internal-rehearsal-readiness/INTERNAL_REHEARSAL_ACTION_REGISTER_2026-06-04.xlsx; index: /Users/anand/Downloads/abarva-internal-rehearsal-readiness/INTERNAL_REHEARSAL_READINESS_INDEX_2026-06-04.md.</t>
        </is>
      </c>
    </row>
    <row r="230">
      <c r="A230" s="18" t="inlineStr">
        <is>
          <t>T144</t>
        </is>
      </c>
      <c r="B230" s="18" t="inlineStr">
        <is>
          <t>Internal Rehearsal</t>
        </is>
      </c>
      <c r="C230" s="18" t="inlineStr">
        <is>
          <t>Document gaps + create fix tickets</t>
        </is>
      </c>
      <c r="D230" s="18" t="inlineStr">
        <is>
          <t>Every 'wait, this is awkward' moment becomes a backlog item BEFORE real client sees it.</t>
        </is>
      </c>
      <c r="E230" s="31" t="inlineStr">
        <is>
          <t>P0</t>
        </is>
      </c>
      <c r="F230" s="40" t="inlineStr">
        <is>
          <t>3. CLAUDE + YOU</t>
        </is>
      </c>
      <c r="G230" s="18" t="inlineStr">
        <is>
          <t>Anand</t>
        </is>
      </c>
      <c r="H230" s="18" t="inlineStr">
        <is>
          <t>T142</t>
        </is>
      </c>
      <c r="I230" s="47" t="inlineStr">
        <is>
          <t>Claude + you</t>
        </is>
      </c>
      <c r="J230" s="52" t="inlineStr">
        <is>
          <t>$0</t>
        </is>
      </c>
      <c r="K230" s="84" t="inlineStr">
        <is>
          <t>Anytime</t>
        </is>
      </c>
      <c r="L230" s="44" t="inlineStr">
        <is>
          <t>In progress</t>
        </is>
      </c>
      <c r="M230" s="18" t="inlineStr">
        <is>
          <t>In progress - internal rehearsal action register created with owner, dependency, execution phase, definition of done, evidence gate, and risk burned down. Done requires live FakeClient rehearsal evidence for this row. Evidence: /Users/anand/Downloads/abarva-internal-rehearsal-readiness/INTERNAL_REHEARSAL_ACTION_REGISTER_2026-06-04.xlsx; index: /Users/anand/Downloads/abarva-internal-rehearsal-readiness/INTERNAL_REHEARSAL_READINESS_INDEX_2026-06-04.md.</t>
        </is>
      </c>
    </row>
    <row r="231">
      <c r="A231" s="18" t="inlineStr">
        <is>
          <t>T142</t>
        </is>
      </c>
      <c r="B231" s="18" t="inlineStr">
        <is>
          <t>Internal Rehearsal</t>
        </is>
      </c>
      <c r="C231" s="18" t="inlineStr">
        <is>
          <t>Run end-to-end user journey on FakeClient: login → chat → upload → Move → audit</t>
        </is>
      </c>
      <c r="D231" s="18" t="inlineStr">
        <is>
          <t>Walk through full workflow as a 'client user'. Find every dead end, every confusing UX, every gap.</t>
        </is>
      </c>
      <c r="E231" s="31" t="inlineStr">
        <is>
          <t>P0</t>
        </is>
      </c>
      <c r="F231" s="42" t="inlineStr">
        <is>
          <t>5. EXTERNAL</t>
        </is>
      </c>
      <c r="G231" s="18" t="inlineStr">
        <is>
          <t>Anand</t>
        </is>
      </c>
      <c r="H231" s="18" t="inlineStr">
        <is>
          <t>T141,T140</t>
        </is>
      </c>
      <c r="I231" s="48" t="inlineStr">
        <is>
          <t>You only (walk through)</t>
        </is>
      </c>
      <c r="J231" s="52" t="inlineStr">
        <is>
          <t>$0</t>
        </is>
      </c>
      <c r="K231" s="84" t="inlineStr">
        <is>
          <t>Anytime</t>
        </is>
      </c>
      <c r="L231" s="44" t="inlineStr">
        <is>
          <t>In progress</t>
        </is>
      </c>
      <c r="M231" s="18" t="inlineStr">
        <is>
          <t>In progress - internal rehearsal action register created with owner, dependency, execution phase, definition of done, evidence gate, and risk burned down. Done requires live FakeClient rehearsal evidence for this row. Evidence: /Users/anand/Downloads/abarva-internal-rehearsal-readiness/INTERNAL_REHEARSAL_ACTION_REGISTER_2026-06-04.xlsx; index: /Users/anand/Downloads/abarva-internal-rehearsal-readiness/INTERNAL_REHEARSAL_READINESS_INDEX_2026-06-04.md.</t>
        </is>
      </c>
    </row>
    <row r="232">
      <c r="A232" s="18" t="inlineStr">
        <is>
          <t>T146</t>
        </is>
      </c>
      <c r="B232" s="18" t="inlineStr">
        <is>
          <t>Internal Rehearsal</t>
        </is>
      </c>
      <c r="C232" s="18" t="inlineStr">
        <is>
          <t>Point external pen test at FakeClient tenant (not pilot client)</t>
        </is>
      </c>
      <c r="D232" s="18" t="inlineStr">
        <is>
          <t>Lower risk: test the dress rehearsal first. Real client sees a hardened tenant.</t>
        </is>
      </c>
      <c r="E232" s="31" t="inlineStr">
        <is>
          <t>P0</t>
        </is>
      </c>
      <c r="F232" s="42" t="inlineStr">
        <is>
          <t>5. EXTERNAL</t>
        </is>
      </c>
      <c r="G232" s="18" t="inlineStr">
        <is>
          <t>Anand</t>
        </is>
      </c>
      <c r="H232" s="18" t="inlineStr">
        <is>
          <t>T142,T031</t>
        </is>
      </c>
      <c r="I232" s="48" t="inlineStr">
        <is>
          <t>3rd party: Cobalt/Bishop Fox</t>
        </is>
      </c>
      <c r="J232" s="51" t="inlineStr">
        <is>
          <t>$8-15k (per pen test)</t>
        </is>
      </c>
      <c r="K232" s="84" t="inlineStr">
        <is>
          <t>Anytime</t>
        </is>
      </c>
      <c r="L232" s="44" t="inlineStr">
        <is>
          <t>In progress</t>
        </is>
      </c>
      <c r="M232" s="18" t="inlineStr">
        <is>
          <t>In progress - internal rehearsal action register created with owner, dependency, execution phase, definition of done, evidence gate, and risk burned down. Done requires live FakeClient rehearsal evidence for this row. Evidence: /Users/anand/Downloads/abarva-internal-rehearsal-readiness/INTERNAL_REHEARSAL_ACTION_REGISTER_2026-06-04.xlsx; index: /Users/anand/Downloads/abarva-internal-rehearsal-readiness/INTERNAL_REHEARSAL_READINESS_INDEX_2026-06-04.md.</t>
        </is>
      </c>
    </row>
    <row r="233">
      <c r="A233" s="18" t="inlineStr">
        <is>
          <t>T108</t>
        </is>
      </c>
      <c r="B233" s="18" t="inlineStr">
        <is>
          <t>Operational Readiness</t>
        </is>
      </c>
      <c r="C233" s="18" t="inlineStr">
        <is>
          <t>Internal wiki / knowledge base (Notion or in-repo docs)</t>
        </is>
      </c>
      <c r="D233" s="18" t="inlineStr">
        <is>
          <t>Single home for: runbooks, ADRs, customer notes, decisions. NOT scattered Google Docs.</t>
        </is>
      </c>
      <c r="E233" s="32" t="inlineStr">
        <is>
          <t>P1</t>
        </is>
      </c>
      <c r="F233" s="38" t="inlineStr">
        <is>
          <t>1. QUICK WIN</t>
        </is>
      </c>
      <c r="G233" s="18" t="inlineStr">
        <is>
          <t>Anand</t>
        </is>
      </c>
      <c r="H233" s="18" t="inlineStr"/>
      <c r="I233" s="43" t="inlineStr">
        <is>
          <t>Self-serve (Notion/repo)</t>
        </is>
      </c>
      <c r="J233" s="52" t="inlineStr">
        <is>
          <t>$0 (in-repo) or $8/user/mo (Notion)</t>
        </is>
      </c>
      <c r="K233" s="84" t="inlineStr">
        <is>
          <t>Anytime</t>
        </is>
      </c>
      <c r="L233" s="44" t="inlineStr">
        <is>
          <t>Done</t>
        </is>
      </c>
      <c r="M233" s="18" t="inlineStr">
        <is>
          <t>PR #2800 merged: added in-repo internal knowledge base index at docs/internal/README.md plus release record 2026-06-02-internal-knowledge-base.md. CI passed all required main-branch gates; remote branch codex/internal-wiki deleted. This covers the in-repo internal wiki/knowledge-base path and leaves future page-level deep dives to later backlog items.</t>
        </is>
      </c>
    </row>
    <row r="234">
      <c r="A234" s="18" t="inlineStr">
        <is>
          <t>T110</t>
        </is>
      </c>
      <c r="B234" s="18" t="inlineStr">
        <is>
          <t>Operational Readiness</t>
        </is>
      </c>
      <c r="C234" s="18" t="inlineStr">
        <is>
          <t>Demo environment with synthetic data</t>
        </is>
      </c>
      <c r="D234" s="18" t="inlineStr">
        <is>
          <t>demo.abarva.com — Apex/Meridian/FirstCapital. Auto-reset nightly. For sales/investor demos.</t>
        </is>
      </c>
      <c r="E234" s="32" t="inlineStr">
        <is>
          <t>P1</t>
        </is>
      </c>
      <c r="F234" s="39" t="inlineStr">
        <is>
          <t>2. CLAUDE DOES IT</t>
        </is>
      </c>
      <c r="G234" s="18" t="inlineStr">
        <is>
          <t>Anand</t>
        </is>
      </c>
      <c r="H234" s="18" t="inlineStr"/>
      <c r="I234" s="45" t="inlineStr">
        <is>
          <t>Claude (code)</t>
        </is>
      </c>
      <c r="J234" s="51" t="inlineStr">
        <is>
          <t>$50-100/mo Azure (covered by credits)</t>
        </is>
      </c>
      <c r="K234" s="84" t="inlineStr">
        <is>
          <t>Anytime</t>
        </is>
      </c>
      <c r="L234" s="44" t="inlineStr">
        <is>
          <t>In progress</t>
        </is>
      </c>
      <c r="M234" s="18" t="inlineStr">
        <is>
          <t>Repo-controlled demo readiness gate built on branch codex/demo-environment-readiness: Apex, Meridian Health, and First Capital synthetic tenants registered; npm run demo:environment:verify passes; Jest/lint/release gate pass. Still pending before Done: demo.abarva.com DNS/Vercel route proof, Clerk demo-user smoke, and nightly reset scheduler log. 2026-06-04: PR #3005 opened for Operational Readiness live-evidence runbook/verifier/release record. It covers the six remaining open Operational rows with exact evidence gates for hosted demo route/auth/reset proof, disaster drill record, OFAC screening evidence, founder close-sprint acknowledgement, hire-plan approval, and founder cadence evidence. Keep In progress until the row-specific live/founder/external proof is captured. 2026-06-04: PR #3005 merged to main at fc1d79ed with the Operational Readiness live-evidence runbook, verifier, and release record. Keep In progress until founder/live/external evidence named by the row is captured and attached.</t>
        </is>
      </c>
    </row>
    <row r="235">
      <c r="A235" s="18" t="inlineStr">
        <is>
          <t>T111</t>
        </is>
      </c>
      <c r="B235" s="18" t="inlineStr">
        <is>
          <t>Operational Readiness</t>
        </is>
      </c>
      <c r="C235" s="18" t="inlineStr">
        <is>
          <t>Sales engineering toolkit</t>
        </is>
      </c>
      <c r="D235" s="18" t="inlineStr">
        <is>
          <t>Reference architecture deck, demo script, ROI calculator, security one-pager.</t>
        </is>
      </c>
      <c r="E235" s="32" t="inlineStr">
        <is>
          <t>P1</t>
        </is>
      </c>
      <c r="F235" s="39" t="inlineStr">
        <is>
          <t>2. CLAUDE DOES IT</t>
        </is>
      </c>
      <c r="G235" s="18" t="inlineStr">
        <is>
          <t>Anand</t>
        </is>
      </c>
      <c r="H235" s="18" t="inlineStr"/>
      <c r="I235" s="45" t="inlineStr">
        <is>
          <t>Claude (draft)</t>
        </is>
      </c>
      <c r="J235" s="52" t="inlineStr">
        <is>
          <t>$0</t>
        </is>
      </c>
      <c r="K235" s="84" t="inlineStr">
        <is>
          <t>Anytime</t>
        </is>
      </c>
      <c r="L235" s="44" t="inlineStr">
        <is>
          <t>Done</t>
        </is>
      </c>
      <c r="M235" s="18" t="inlineStr">
        <is>
          <t>PR #2801 merged: added in-repo sales engineering toolkit at docs/gtm/sales-engineering-toolkit/ with reference architecture deck outline, technical demo script, ROI calculator worksheet, security one-pager, internal index link, and release record 2026-06-02-sales-engineering-toolkit.md. Local validation passed: git diff --check, release:check, 67 referenced paths verified, and secrets:staged. GitHub CI passed all required gates; remote branch deleted.</t>
        </is>
      </c>
    </row>
    <row r="236">
      <c r="A236" s="18" t="inlineStr">
        <is>
          <t>T112</t>
        </is>
      </c>
      <c r="B236" s="18" t="inlineStr">
        <is>
          <t>Operational Readiness</t>
        </is>
      </c>
      <c r="C236" s="18" t="inlineStr">
        <is>
          <t>Competitive intelligence doc</t>
        </is>
      </c>
      <c r="D236" s="18" t="inlineStr">
        <is>
          <t>Glean, Hebbia, Writer, Anthropic-direct, BCG GenAI, McKinsey QuantumBlack. Quick differentiators.</t>
        </is>
      </c>
      <c r="E236" s="32" t="inlineStr">
        <is>
          <t>P1</t>
        </is>
      </c>
      <c r="F236" s="39" t="inlineStr">
        <is>
          <t>2. CLAUDE DOES IT</t>
        </is>
      </c>
      <c r="G236" s="18" t="inlineStr">
        <is>
          <t>Anand</t>
        </is>
      </c>
      <c r="H236" s="18" t="inlineStr"/>
      <c r="I236" s="45" t="inlineStr">
        <is>
          <t>Claude (research)</t>
        </is>
      </c>
      <c r="J236" s="52" t="inlineStr">
        <is>
          <t>$0</t>
        </is>
      </c>
      <c r="K236" s="84" t="inlineStr">
        <is>
          <t>Anytime</t>
        </is>
      </c>
      <c r="L236" s="44" t="inlineStr">
        <is>
          <t>Done</t>
        </is>
      </c>
      <c r="M236" s="18" t="inlineStr">
        <is>
          <t>PR #2804 merged: added internal competitive intelligence brief at docs/gtm/COMPETITIVE_INTELLIGENCE.md, linked it from the sales engineering toolkit and internal knowledge base, and added release record 2026-06-02-competitive-intelligence.md. Brief covers Glean, Hebbia, Writer, Anthropic-direct, BCG GenAI, and McKinsey QuantumBlack using public/official source notes checked 2026-06-02. Local validation passed: git diff --check, release:check, 69 referenced paths verified, and secrets:staged. GitHub CI passed all required gates; remote branch deleted. Positioning remains time-sensitive and should be refreshed before named-account buyer conversations.</t>
        </is>
      </c>
    </row>
    <row r="237">
      <c r="A237" s="18" t="inlineStr">
        <is>
          <t>T115</t>
        </is>
      </c>
      <c r="B237" s="18" t="inlineStr">
        <is>
          <t>Operational Readiness</t>
        </is>
      </c>
      <c r="C237" s="18" t="inlineStr">
        <is>
          <t>Disaster scenarios documented + drilled</t>
        </is>
      </c>
      <c r="D237" s="18" t="inlineStr">
        <is>
          <t>Vercel outage, Anthropic API change/price hike, Azure region down, key-person unavailable &gt;7 days.</t>
        </is>
      </c>
      <c r="E237" s="32" t="inlineStr">
        <is>
          <t>P1</t>
        </is>
      </c>
      <c r="F237" s="39" t="inlineStr">
        <is>
          <t>2. CLAUDE DOES IT</t>
        </is>
      </c>
      <c r="G237" s="18" t="inlineStr">
        <is>
          <t>Anand</t>
        </is>
      </c>
      <c r="H237" s="18" t="inlineStr"/>
      <c r="I237" s="45" t="inlineStr">
        <is>
          <t>Claude (templates)</t>
        </is>
      </c>
      <c r="J237" s="52" t="inlineStr">
        <is>
          <t>$0</t>
        </is>
      </c>
      <c r="K237" s="84" t="inlineStr">
        <is>
          <t>Anytime</t>
        </is>
      </c>
      <c r="L237" s="44" t="inlineStr">
        <is>
          <t>In progress</t>
        </is>
      </c>
      <c r="M237" s="18" t="inlineStr">
        <is>
          <t>PR #2802 merged: added disaster scenario drill packet at docs/runbooks/disaster-scenario-drills.md, linked it from disaster recovery and the internal knowledge base, and added release record 2026-06-02-disaster-scenario-drills.md. Local validation passed: git diff --check, release:check, 56 referenced paths verified, and secrets:staged. GitHub CI passed all required gates; remote branch deleted. Tracker remains In progress because this creates the tabletop packet/templates but does not prove a live human tabletop drill has been conducted. 2026-06-04: PR #3005 opened for Operational Readiness live-evidence runbook/verifier/release record. It covers the six remaining open Operational rows with exact evidence gates for hosted demo route/auth/reset proof, disaster drill record, OFAC screening evidence, founder close-sprint acknowledgement, hire-plan approval, and founder cadence evidence. Keep In progress until the row-specific live/founder/external proof is captured. 2026-06-04: PR #3005 merged to main at fc1d79ed with the Operational Readiness live-evidence runbook, verifier, and release record. Keep In progress until founder/live/external evidence named by the row is captured and attached.</t>
        </is>
      </c>
    </row>
    <row r="238">
      <c r="A238" s="18" t="inlineStr">
        <is>
          <t>T118</t>
        </is>
      </c>
      <c r="B238" s="18" t="inlineStr">
        <is>
          <t>Operational Readiness</t>
        </is>
      </c>
      <c r="C238" s="18" t="inlineStr">
        <is>
          <t>AI ethics / Responsible AI policy</t>
        </is>
      </c>
      <c r="D238" s="18" t="inlineStr">
        <is>
          <t>Public doc: data use, training, hallucination handling, human-in-loop, escalation. F500 will ask.</t>
        </is>
      </c>
      <c r="E238" s="32" t="inlineStr">
        <is>
          <t>P1</t>
        </is>
      </c>
      <c r="F238" s="39" t="inlineStr">
        <is>
          <t>2. CLAUDE DOES IT</t>
        </is>
      </c>
      <c r="G238" s="18" t="inlineStr">
        <is>
          <t>Anand</t>
        </is>
      </c>
      <c r="H238" s="18" t="inlineStr"/>
      <c r="I238" s="45" t="inlineStr">
        <is>
          <t>Claude (draft)</t>
        </is>
      </c>
      <c r="J238" s="52" t="inlineStr">
        <is>
          <t>$0</t>
        </is>
      </c>
      <c r="K238" s="84" t="inlineStr">
        <is>
          <t>Anytime</t>
        </is>
      </c>
      <c r="L238" s="44" t="inlineStr">
        <is>
          <t>Done</t>
        </is>
      </c>
      <c r="M238" s="18" t="inlineStr">
        <is>
          <t>Differentiator AND compliance
2026-06-03: Closed by docs/legal/responsible-ai-policy.md.</t>
        </is>
      </c>
    </row>
    <row r="239">
      <c r="A239" s="18" t="inlineStr">
        <is>
          <t>T119</t>
        </is>
      </c>
      <c r="B239" s="18" t="inlineStr">
        <is>
          <t>Operational Readiness</t>
        </is>
      </c>
      <c r="C239" s="18" t="inlineStr">
        <is>
          <t>DSAR (Data Subject Access Request) process for GDPR</t>
        </is>
      </c>
      <c r="D239" s="18" t="inlineStr">
        <is>
          <t>Documented intake, identity verification, fulfillment SLA (typically 30 days). Even if no EU clients yet.</t>
        </is>
      </c>
      <c r="E239" s="49" t="inlineStr">
        <is>
          <t>P2</t>
        </is>
      </c>
      <c r="F239" s="39" t="inlineStr">
        <is>
          <t>2. CLAUDE DOES IT</t>
        </is>
      </c>
      <c r="G239" s="18" t="inlineStr">
        <is>
          <t>Anand</t>
        </is>
      </c>
      <c r="H239" s="18" t="inlineStr"/>
      <c r="I239" s="45" t="inlineStr">
        <is>
          <t>Claude (template)</t>
        </is>
      </c>
      <c r="J239" s="52" t="inlineStr">
        <is>
          <t>$0</t>
        </is>
      </c>
      <c r="K239" s="84" t="inlineStr">
        <is>
          <t>Anytime</t>
        </is>
      </c>
      <c r="L239" s="44" t="inlineStr">
        <is>
          <t>Done</t>
        </is>
      </c>
      <c r="M239" s="18" t="inlineStr">
        <is>
          <t>2026-06-04: Done. DSAR evidence location and register established at /Users/anand/Downloads/abarva-operational-readiness/DSAR_REGISTER_2026-06-04.xlsx with intake schema and process checklist; evidence index at /Users/anand/Downloads/abarva-operational-readiness/OPERATIONAL_READINESS_EVIDENCE_INDEX_2026-06-04.md. No live DSAR has been received yet; future live DSARs should be added as new rows and sensitive identity artifacts stored only in a private vault.</t>
        </is>
      </c>
    </row>
    <row r="240">
      <c r="A240" s="18" t="inlineStr">
        <is>
          <t>T120</t>
        </is>
      </c>
      <c r="B240" s="18" t="inlineStr">
        <is>
          <t>Operational Readiness</t>
        </is>
      </c>
      <c r="C240" s="18" t="inlineStr">
        <is>
          <t>Records retention policy</t>
        </is>
      </c>
      <c r="D240" s="18" t="inlineStr">
        <is>
          <t>How long do you keep: logs, customer data, financial records, employee records, comms.</t>
        </is>
      </c>
      <c r="E240" s="49" t="inlineStr">
        <is>
          <t>P2</t>
        </is>
      </c>
      <c r="F240" s="39" t="inlineStr">
        <is>
          <t>2. CLAUDE DOES IT</t>
        </is>
      </c>
      <c r="G240" s="18" t="inlineStr">
        <is>
          <t>Anand</t>
        </is>
      </c>
      <c r="H240" s="18" t="inlineStr"/>
      <c r="I240" s="45" t="inlineStr">
        <is>
          <t>Claude (draft)</t>
        </is>
      </c>
      <c r="J240" s="52" t="inlineStr">
        <is>
          <t>$0</t>
        </is>
      </c>
      <c r="K240" s="84" t="inlineStr">
        <is>
          <t>Anytime</t>
        </is>
      </c>
      <c r="L240" s="44" t="inlineStr">
        <is>
          <t>Done</t>
        </is>
      </c>
      <c r="M240" s="18" t="inlineStr">
        <is>
          <t>2026-06-03: Done. Records retention policy runbook merged in PR #2912 at 670af54b9b5677ccc4270c43ca80e2b57a2c8683 with all required checks green.</t>
        </is>
      </c>
    </row>
    <row r="241">
      <c r="A241" s="18" t="inlineStr">
        <is>
          <t>T121</t>
        </is>
      </c>
      <c r="B241" s="18" t="inlineStr">
        <is>
          <t>Operational Readiness</t>
        </is>
      </c>
      <c r="C241" s="18" t="inlineStr">
        <is>
          <t>OFAC / sanctions screening on customers</t>
        </is>
      </c>
      <c r="D241" s="18" t="inlineStr">
        <is>
          <t>Run new customers against OFAC SDN list. Free API. One-time setup, automated.</t>
        </is>
      </c>
      <c r="E241" s="49" t="inlineStr">
        <is>
          <t>P2</t>
        </is>
      </c>
      <c r="F241" s="39" t="inlineStr">
        <is>
          <t>2. CLAUDE DOES IT</t>
        </is>
      </c>
      <c r="G241" s="18" t="inlineStr">
        <is>
          <t>Anand</t>
        </is>
      </c>
      <c r="H241" s="18" t="inlineStr"/>
      <c r="I241" s="45" t="inlineStr">
        <is>
          <t>Claude (API integration)</t>
        </is>
      </c>
      <c r="J241" s="52" t="inlineStr">
        <is>
          <t>$0 (OpenSanctions free tier)</t>
        </is>
      </c>
      <c r="K241" s="84" t="inlineStr">
        <is>
          <t>Anytime</t>
        </is>
      </c>
      <c r="L241" s="44" t="inlineStr">
        <is>
          <t>In progress</t>
        </is>
      </c>
      <c r="M241" s="18" t="inlineStr">
        <is>
          <t>PR #2895 merged 2026-06-03: OFAC screening foundation landed with deterministic sanctions-screening evaluator, compliance posture card, broker/component/tests, verifier, runbook, build manifest, release record, and CI/local QA. Remains In progress until live screening workflow or approved manual process stores evidence for new customers. 2026-06-04: PR #3005 opened for Operational Readiness live-evidence runbook/verifier/release record. It covers the six remaining open Operational rows with exact evidence gates for hosted demo route/auth/reset proof, disaster drill record, OFAC screening evidence, founder close-sprint acknowledgement, hire-plan approval, and founder cadence evidence. Keep In progress until the row-specific live/founder/external proof is captured. 2026-06-04: PR #3005 merged to main at fc1d79ed with the Operational Readiness live-evidence runbook, verifier, and release record. Keep In progress until founder/live/external evidence named by the row is captured and attached.</t>
        </is>
      </c>
    </row>
    <row r="242">
      <c r="A242" s="18" t="inlineStr">
        <is>
          <t>T122</t>
        </is>
      </c>
      <c r="B242" s="18" t="inlineStr">
        <is>
          <t>Operational Readiness</t>
        </is>
      </c>
      <c r="C242" s="18" t="inlineStr">
        <is>
          <t>Vendor management — track every third-party + their renewal</t>
        </is>
      </c>
      <c r="D242" s="18" t="inlineStr">
        <is>
          <t>Vercel, Clerk, Anthropic, OpenAI, Stripe, Resend, PostHog, Vanta, Cobalt, insurance, etc. Spreadsheet OK at this size.</t>
        </is>
      </c>
      <c r="E242" s="49" t="inlineStr">
        <is>
          <t>P2</t>
        </is>
      </c>
      <c r="F242" s="39" t="inlineStr">
        <is>
          <t>2. CLAUDE DOES IT</t>
        </is>
      </c>
      <c r="G242" s="18" t="inlineStr">
        <is>
          <t>Anand</t>
        </is>
      </c>
      <c r="H242" s="18" t="inlineStr"/>
      <c r="I242" s="45" t="inlineStr">
        <is>
          <t>Claude (sheet)</t>
        </is>
      </c>
      <c r="J242" s="52" t="inlineStr">
        <is>
          <t>$0 (sheet)</t>
        </is>
      </c>
      <c r="K242" s="84" t="inlineStr">
        <is>
          <t>Anytime</t>
        </is>
      </c>
      <c r="L242" s="44" t="inlineStr">
        <is>
          <t>Done</t>
        </is>
      </c>
      <c r="M242" s="18" t="inlineStr">
        <is>
          <t>2026-06-04: Done. Live vendor register established at /Users/anand/Downloads/abarva-operational-readiness/VENDOR_REGISTER_2026-06-04.xlsx with initial tracked vendors: GitHub, Vercel, Clerk, Azure, Anthropic, OpenAI, Stripe, Resend, and PostHog. Evidence index at /Users/anand/Downloads/abarva-operational-readiness/OPERATIONAL_READINESS_EVIDENCE_INDEX_2026-06-04.md. Renewal dates marked TBD where owner follow-up is still required.</t>
        </is>
      </c>
    </row>
    <row r="243">
      <c r="A243" s="18" t="inlineStr">
        <is>
          <t>T107</t>
        </is>
      </c>
      <c r="B243" s="18" t="inlineStr">
        <is>
          <t>Operational Readiness</t>
        </is>
      </c>
      <c r="C243" s="18" t="inlineStr">
        <is>
          <t>Compensation framework (cash + equity + vesting)</t>
        </is>
      </c>
      <c r="D243" s="18" t="inlineStr">
        <is>
          <t>Standard: 4yr / 1yr cliff vest. Equity bands by role. Cash bands. Before first offer.</t>
        </is>
      </c>
      <c r="E243" s="32" t="inlineStr">
        <is>
          <t>P1</t>
        </is>
      </c>
      <c r="F243" s="40" t="inlineStr">
        <is>
          <t>3. CLAUDE + YOU</t>
        </is>
      </c>
      <c r="G243" s="18" t="inlineStr">
        <is>
          <t>Anand</t>
        </is>
      </c>
      <c r="H243" s="18" t="inlineStr">
        <is>
          <t>T106</t>
        </is>
      </c>
      <c r="I243" s="47" t="inlineStr">
        <is>
          <t>Claude + you</t>
        </is>
      </c>
      <c r="J243" s="52" t="inlineStr">
        <is>
          <t>$0</t>
        </is>
      </c>
      <c r="K243" s="84" t="inlineStr">
        <is>
          <t>Anytime</t>
        </is>
      </c>
      <c r="L243" s="44" t="inlineStr">
        <is>
          <t>Done</t>
        </is>
      </c>
      <c r="M243" s="18" t="inlineStr">
        <is>
          <t>Done - PR #2974 merged 2026-06-04 at 127d4020f8189a09d81065fa19c971d2b8da0e8a. docs/people/COMPENSATION_FRAMEWORK.md defines standard 4-year/1-year cliff vesting, early role cash/equity planning ranges, offer approval checklist, exception policy, advisor equity, review cadence, and records to keep. Final offers still require founder/legal review.</t>
        </is>
      </c>
    </row>
    <row r="244">
      <c r="A244" s="18" t="inlineStr">
        <is>
          <t>T113</t>
        </is>
      </c>
      <c r="B244" s="18" t="inlineStr">
        <is>
          <t>Operational Readiness</t>
        </is>
      </c>
      <c r="C244" s="18" t="inlineStr">
        <is>
          <t>Product feedback loop — single intake + triage cadence</t>
        </is>
      </c>
      <c r="D244" s="18" t="inlineStr">
        <is>
          <t>All feature requests (from any source) → one queue. Weekly triage. Customer sees status.</t>
        </is>
      </c>
      <c r="E244" s="32" t="inlineStr">
        <is>
          <t>P1</t>
        </is>
      </c>
      <c r="F244" s="40" t="inlineStr">
        <is>
          <t>3. CLAUDE + YOU</t>
        </is>
      </c>
      <c r="G244" s="18" t="inlineStr">
        <is>
          <t>Anand</t>
        </is>
      </c>
      <c r="H244" s="18" t="inlineStr"/>
      <c r="I244" s="47" t="inlineStr">
        <is>
          <t>Claude + you</t>
        </is>
      </c>
      <c r="J244" s="52" t="inlineStr">
        <is>
          <t>$0 (GH Issues) or $50/mo (Canny)</t>
        </is>
      </c>
      <c r="K244" s="84" t="inlineStr">
        <is>
          <t>Anytime</t>
        </is>
      </c>
      <c r="L244" s="44" t="inlineStr">
        <is>
          <t>Done</t>
        </is>
      </c>
      <c r="M244" s="18" t="inlineStr">
        <is>
          <t>Done - PR #2970 merged 2026-06-04 at 4d99ad9a58ece156cc269f2cc77090fa1d28b4ab. docs/runbooks/product-feedback-triage.md is the single product feedback intake + triage source of truth; CI passed before merge.</t>
        </is>
      </c>
    </row>
    <row r="245">
      <c r="A245" s="18" t="inlineStr">
        <is>
          <t>T114</t>
        </is>
      </c>
      <c r="B245" s="18" t="inlineStr">
        <is>
          <t>Operational Readiness</t>
        </is>
      </c>
      <c r="C245" s="18" t="inlineStr">
        <is>
          <t>Public-ish product roadmap (3 horizons)</t>
        </is>
      </c>
      <c r="D245" s="18" t="inlineStr">
        <is>
          <t>Now / Next / Later. Shared with pilot client. Reduces ad-hoc 'when will X ship' questions.</t>
        </is>
      </c>
      <c r="E245" s="49" t="inlineStr">
        <is>
          <t>P2</t>
        </is>
      </c>
      <c r="F245" s="40" t="inlineStr">
        <is>
          <t>3. CLAUDE + YOU</t>
        </is>
      </c>
      <c r="G245" s="18" t="inlineStr">
        <is>
          <t>Anand</t>
        </is>
      </c>
      <c r="H245" s="18" t="inlineStr"/>
      <c r="I245" s="47" t="inlineStr">
        <is>
          <t>Claude + you</t>
        </is>
      </c>
      <c r="J245" s="52" t="inlineStr">
        <is>
          <t>$0</t>
        </is>
      </c>
      <c r="K245" s="84" t="inlineStr">
        <is>
          <t>Anytime</t>
        </is>
      </c>
      <c r="L245" s="44" t="inlineStr">
        <is>
          <t>Done</t>
        </is>
      </c>
      <c r="M245" s="18" t="inlineStr">
        <is>
          <t>Done - PR #2970 merged 2026-06-04 at 4d99ad9a58ece156cc269f2cc77090fa1d28b4ab. docs/runbooks/product-roadmap-horizons.md defines customer-safe Now/Next/Later roadmap process and pilot guardrails; CI passed before merge.</t>
        </is>
      </c>
    </row>
    <row r="246">
      <c r="A246" s="18" t="inlineStr">
        <is>
          <t>T116</t>
        </is>
      </c>
      <c r="B246" s="18" t="inlineStr">
        <is>
          <t>Operational Readiness</t>
        </is>
      </c>
      <c r="C246" s="18" t="inlineStr">
        <is>
          <t>Financial controls — vendor spend approval thresholds</t>
        </is>
      </c>
      <c r="D246" s="18" t="inlineStr">
        <is>
          <t>Auto-approve &lt;$500; founder-approve &lt;$5k; board-approve (you, formally) &gt;$5k.</t>
        </is>
      </c>
      <c r="E246" s="49" t="inlineStr">
        <is>
          <t>P2</t>
        </is>
      </c>
      <c r="F246" s="40" t="inlineStr">
        <is>
          <t>3. CLAUDE + YOU</t>
        </is>
      </c>
      <c r="G246" s="18" t="inlineStr">
        <is>
          <t>Anand</t>
        </is>
      </c>
      <c r="H246" s="18" t="inlineStr"/>
      <c r="I246" s="47" t="inlineStr">
        <is>
          <t>Claude + you</t>
        </is>
      </c>
      <c r="J246" s="52" t="inlineStr">
        <is>
          <t>$0</t>
        </is>
      </c>
      <c r="K246" s="84" t="inlineStr">
        <is>
          <t>Anytime</t>
        </is>
      </c>
      <c r="L246" s="44" t="inlineStr">
        <is>
          <t>Done</t>
        </is>
      </c>
      <c r="M246" s="18" t="inlineStr">
        <is>
          <t>Done - PR #2970 merged 2026-06-04 at 4d99ad9a58ece156cc269f2cc77090fa1d28b4ab. docs/runbooks/spend-approval-controls.md defines vendor spend thresholds, usage-based cost controls, approval workflow, and evidence requirements; CI passed before merge.</t>
        </is>
      </c>
    </row>
    <row r="247">
      <c r="A247" s="18" t="inlineStr">
        <is>
          <t>T109</t>
        </is>
      </c>
      <c r="B247" s="18" t="inlineStr">
        <is>
          <t>Operational Readiness</t>
        </is>
      </c>
      <c r="C247" s="18" t="inlineStr">
        <is>
          <t>Customer help center / product docs</t>
        </is>
      </c>
      <c r="D247" s="18" t="inlineStr">
        <is>
          <t>End-user docs (not security/legal). Mintlify, Docusaurus, or just /docs in app.</t>
        </is>
      </c>
      <c r="E247" s="49" t="inlineStr">
        <is>
          <t>P2</t>
        </is>
      </c>
      <c r="F247" s="41" t="inlineStr">
        <is>
          <t>4. CLAUDE + PRO</t>
        </is>
      </c>
      <c r="G247" s="18" t="inlineStr">
        <is>
          <t>Anand</t>
        </is>
      </c>
      <c r="H247" s="18" t="inlineStr"/>
      <c r="I247" s="50" t="inlineStr">
        <is>
          <t>3rd party + Claude</t>
        </is>
      </c>
      <c r="J247" s="52" t="inlineStr">
        <is>
          <t>$0 (in-repo) or $120/mo (Mintlify)</t>
        </is>
      </c>
      <c r="K247" s="83" t="inlineStr">
        <is>
          <t>Post-Resign</t>
        </is>
      </c>
      <c r="L247" s="44" t="inlineStr">
        <is>
          <t>Done</t>
        </is>
      </c>
      <c r="M247" s="18" t="inlineStr">
        <is>
          <t>Done - PR #2972 merged 2026-06-04 at 8f1edc068c97226c6debc479417308c203801168. Authenticated /docs product help center is on main with module guides, workflow guides, support escalation paths, focused Jest coverage, release record, and green CI.</t>
        </is>
      </c>
    </row>
    <row r="248">
      <c r="A248" s="18" t="inlineStr">
        <is>
          <t>T305</t>
        </is>
      </c>
      <c r="B248" s="18" t="inlineStr">
        <is>
          <t>Operational Readiness</t>
        </is>
      </c>
      <c r="C248" s="18" t="inlineStr">
        <is>
          <t>ACKNOWLEDGE: 2 parallel close sprints = ~20 hr/wk sales for 2 weeks</t>
        </is>
      </c>
      <c r="D248" s="18" t="inlineStr">
        <is>
          <t>Real founder bandwidth tradeoff. Product/eng work slows for 2 weeks. Plan accordingly.</t>
        </is>
      </c>
      <c r="E248" s="31" t="inlineStr">
        <is>
          <t>P0</t>
        </is>
      </c>
      <c r="F248" s="42" t="inlineStr">
        <is>
          <t>5. EXTERNAL</t>
        </is>
      </c>
      <c r="G248" s="18" t="inlineStr">
        <is>
          <t>Anand</t>
        </is>
      </c>
      <c r="H248" s="18" t="inlineStr"/>
      <c r="I248" s="48" t="inlineStr">
        <is>
          <t>You only (calendar)</t>
        </is>
      </c>
      <c r="J248" s="52" t="inlineStr">
        <is>
          <t>$0</t>
        </is>
      </c>
      <c r="K248" s="84" t="inlineStr">
        <is>
          <t>Anytime</t>
        </is>
      </c>
      <c r="L248" s="44" t="inlineStr">
        <is>
          <t>In progress</t>
        </is>
      </c>
      <c r="M248" s="18" t="inlineStr">
        <is>
          <t>2026-06-03 update: PR #2985 merged to main at 3894b07e5afebf81ad7cea7a89babf97673c8e39 with founder operating-system runbook acknowledging 2 parallel close sprints as ~20 hr/wk founder sales load and specifying deferred-work discipline. Keep In progress until founder uses/acknowledges it in a live weekly review. 2026-06-04: PR #3005 opened for Operational Readiness live-evidence runbook/verifier/release record. It covers the six remaining open Operational rows with exact evidence gates for hosted demo route/auth/reset proof, disaster drill record, OFAC screening evidence, founder close-sprint acknowledgement, hire-plan approval, and founder cadence evidence. Keep In progress until the row-specific live/founder/external proof is captured. 2026-06-04: PR #3005 merged to main at fc1d79ed with the Operational Readiness live-evidence runbook, verifier, and release record. Keep In progress until founder/live/external evidence named by the row is captured and attached.</t>
        </is>
      </c>
    </row>
    <row r="249">
      <c r="A249" s="18" t="inlineStr">
        <is>
          <t>T106</t>
        </is>
      </c>
      <c r="B249" s="18" t="inlineStr">
        <is>
          <t>Operational Readiness</t>
        </is>
      </c>
      <c r="C249" s="18" t="inlineStr">
        <is>
          <t>Hire plan — sequence + roles</t>
        </is>
      </c>
      <c r="D249" s="18" t="inlineStr">
        <is>
          <t>Eng #2 (senior staff) at month X, CSM at month Y, Sales/SE at month Z. Triggered by ARR or pilot conversion.</t>
        </is>
      </c>
      <c r="E249" s="32" t="inlineStr">
        <is>
          <t>P1</t>
        </is>
      </c>
      <c r="F249" s="42" t="inlineStr">
        <is>
          <t>5. EXTERNAL</t>
        </is>
      </c>
      <c r="G249" s="18" t="inlineStr">
        <is>
          <t>Anand</t>
        </is>
      </c>
      <c r="H249" s="18" t="inlineStr"/>
      <c r="I249" s="48" t="inlineStr">
        <is>
          <t>You only</t>
        </is>
      </c>
      <c r="J249" s="52" t="inlineStr">
        <is>
          <t>$0 (plan only); $150-250k/yr once hire</t>
        </is>
      </c>
      <c r="K249" s="83" t="inlineStr">
        <is>
          <t>Post-Resign</t>
        </is>
      </c>
      <c r="L249" s="44" t="inlineStr">
        <is>
          <t>In progress</t>
        </is>
      </c>
      <c r="M249" s="18" t="inlineStr">
        <is>
          <t>2026-06-03 update: PR #2985 merged to main at 3894b07e5afebf81ad7cea7a89babf97673c8e39 with trigger-based hire sequence and first-hire evidence requirements in docs/runbooks/founder-operating-system.md. Keep In progress until founder approval and/or hiring trigger evidence exists. 2026-06-04: PR #3005 opened for Operational Readiness live-evidence runbook/verifier/release record. It covers the six remaining open Operational rows with exact evidence gates for hosted demo route/auth/reset proof, disaster drill record, OFAC screening evidence, founder close-sprint acknowledgement, hire-plan approval, and founder cadence evidence. Keep In progress until the row-specific live/founder/external proof is captured. 2026-06-04: PR #3005 merged to main at fc1d79ed with the Operational Readiness live-evidence runbook, verifier, and release record. Keep In progress until founder/live/external evidence named by the row is captured and attached.</t>
        </is>
      </c>
    </row>
    <row r="250">
      <c r="A250" s="18" t="inlineStr">
        <is>
          <t>T123</t>
        </is>
      </c>
      <c r="B250" s="18" t="inlineStr">
        <is>
          <t>Operational Readiness</t>
        </is>
      </c>
      <c r="C250" s="18" t="inlineStr">
        <is>
          <t>Founder operating cadence</t>
        </is>
      </c>
      <c r="D250" s="18" t="inlineStr">
        <is>
          <t>Weekly: pipeline + product. Monthly: financials + metrics. Quarterly: strategy/roadmap.</t>
        </is>
      </c>
      <c r="E250" s="32" t="inlineStr">
        <is>
          <t>P1</t>
        </is>
      </c>
      <c r="F250" s="42" t="inlineStr">
        <is>
          <t>5. EXTERNAL</t>
        </is>
      </c>
      <c r="G250" s="18" t="inlineStr">
        <is>
          <t>Anand</t>
        </is>
      </c>
      <c r="H250" s="18" t="inlineStr"/>
      <c r="I250" s="48" t="inlineStr">
        <is>
          <t>You only</t>
        </is>
      </c>
      <c r="J250" s="52" t="inlineStr">
        <is>
          <t>$0</t>
        </is>
      </c>
      <c r="K250" s="84" t="inlineStr">
        <is>
          <t>Anytime</t>
        </is>
      </c>
      <c r="L250" s="44" t="inlineStr">
        <is>
          <t>In progress</t>
        </is>
      </c>
      <c r="M250" s="18" t="inlineStr">
        <is>
          <t>2026-06-03 update: PR #2985 merged to main at 3894b07e5afebf81ad7cea7a89babf97673c8e39 with weekly/monthly/quarterly founder cadence and required operating artifacts. Keep In progress until the cadence has been run at least once and evidence is retained. 2026-06-04: PR #3005 opened for Operational Readiness live-evidence runbook/verifier/release record. It covers the six remaining open Operational rows with exact evidence gates for hosted demo route/auth/reset proof, disaster drill record, OFAC screening evidence, founder close-sprint acknowledgement, hire-plan approval, and founder cadence evidence. Keep In progress until the row-specific live/founder/external proof is captured. 2026-06-04: PR #3005 merged to main at fc1d79ed with the Operational Readiness live-evidence runbook, verifier, and release record. Keep In progress until founder/live/external evidence named by the row is captured and attached.</t>
        </is>
      </c>
    </row>
    <row r="251">
      <c r="A251" s="18" t="inlineStr">
        <is>
          <t>T117</t>
        </is>
      </c>
      <c r="B251" s="18" t="inlineStr">
        <is>
          <t>Operational Readiness</t>
        </is>
      </c>
      <c r="C251" s="18" t="inlineStr">
        <is>
          <t>SaaS metrics dashboard (MRR, ARR, CAC, churn, NRR)</t>
        </is>
      </c>
      <c r="D251" s="18" t="inlineStr">
        <is>
          <t>Even with 1 customer. Stripe or ChartMogul. Discipline now = fundraise narrative later.</t>
        </is>
      </c>
      <c r="E251" s="49" t="inlineStr">
        <is>
          <t>P2</t>
        </is>
      </c>
      <c r="F251" s="42" t="inlineStr">
        <is>
          <t>5. EXTERNAL</t>
        </is>
      </c>
      <c r="G251" s="18" t="inlineStr">
        <is>
          <t>Anand</t>
        </is>
      </c>
      <c r="H251" s="18" t="inlineStr"/>
      <c r="I251" s="48" t="inlineStr">
        <is>
          <t>3rd party: ChartMogul/Stripe</t>
        </is>
      </c>
      <c r="J251" s="52" t="inlineStr">
        <is>
          <t>$0 (Stripe Sigma) or $100-300/mo (ChartMogul)</t>
        </is>
      </c>
      <c r="K251" s="84" t="inlineStr">
        <is>
          <t>Anytime</t>
        </is>
      </c>
      <c r="L251" s="44" t="inlineStr">
        <is>
          <t>Done</t>
        </is>
      </c>
      <c r="M251" s="18" t="inlineStr">
        <is>
          <t>2026-06-04: Done. First monthly SaaS metrics packet/dashboard created and validated at /Users/anand/Downloads/abarva-operational-readiness/SAAS_METRICS_PACKET_2026-06.xlsx. Current values are conservative: MRR=0, ARR=0, bookings=0, CAC/churn/NRR marked N/A until paid customer base exists, and pipeline/cash/runway marked TBD pending founder finance/CRM input. Evidence index updated at /Users/anand/Downloads/abarva-operational-readiness/OPERATIONAL_READINESS_EVIDENCE_INDEX_2026-06-04.md.</t>
        </is>
      </c>
    </row>
    <row r="252">
      <c r="A252" s="18" t="inlineStr">
        <is>
          <t>T050</t>
        </is>
      </c>
      <c r="B252" s="18" t="inlineStr">
        <is>
          <t>Pilot Ops</t>
        </is>
      </c>
      <c r="C252" s="18" t="inlineStr">
        <is>
          <t>Build reference architecture deck for security reviews (15 slides)</t>
        </is>
      </c>
      <c r="D252" s="18" t="inlineStr">
        <is>
          <t>Answers 80% of SIG Lite. Reusable.</t>
        </is>
      </c>
      <c r="E252" s="31" t="inlineStr">
        <is>
          <t>P0</t>
        </is>
      </c>
      <c r="F252" s="39" t="inlineStr">
        <is>
          <t>2. CLAUDE DOES IT</t>
        </is>
      </c>
      <c r="G252" s="18" t="inlineStr">
        <is>
          <t>Anand</t>
        </is>
      </c>
      <c r="H252" s="18" t="inlineStr">
        <is>
          <t>T027</t>
        </is>
      </c>
      <c r="I252" s="45" t="inlineStr">
        <is>
          <t>Claude (slides outline)</t>
        </is>
      </c>
      <c r="J252" s="52" t="inlineStr">
        <is>
          <t>$0</t>
        </is>
      </c>
      <c r="K252" s="83" t="inlineStr">
        <is>
          <t>Post-Resign</t>
        </is>
      </c>
      <c r="L252" s="44" t="inlineStr">
        <is>
          <t>Done</t>
        </is>
      </c>
      <c r="M252" s="18" t="inlineStr">
        <is>
          <t>PR #2810 merged on 2026-06-02: added a 15-slide security-review reference architecture deck at docs/security/REFERENCE_ARCHITECTURE_SECURITY_REVIEW_DECK.md and linked it from the sales-engineering toolkit. Local validation passed: path-reference check, slide-count check (15), git diff --check, release:check, and secrets:staged. GitHub CI passed, including Browser Matrix Smoke and Vercel contexts; remote branch deleted.</t>
        </is>
      </c>
    </row>
    <row r="253">
      <c r="A253" s="18" t="inlineStr">
        <is>
          <t>T049</t>
        </is>
      </c>
      <c r="B253" s="18" t="inlineStr">
        <is>
          <t>Pilot Ops</t>
        </is>
      </c>
      <c r="C253" s="18" t="inlineStr">
        <is>
          <t>Write 30/60/90 pilot kickoff playbook</t>
        </is>
      </c>
      <c r="D253" s="18" t="inlineStr">
        <is>
          <t>Both-sides milestones: data delivery, SSO config, user provisioning, exec reviews.</t>
        </is>
      </c>
      <c r="E253" s="32" t="inlineStr">
        <is>
          <t>P1</t>
        </is>
      </c>
      <c r="F253" s="39" t="inlineStr">
        <is>
          <t>2. CLAUDE DOES IT</t>
        </is>
      </c>
      <c r="G253" s="18" t="inlineStr">
        <is>
          <t>Anand</t>
        </is>
      </c>
      <c r="H253" s="18" t="inlineStr"/>
      <c r="I253" s="45" t="inlineStr">
        <is>
          <t>Claude (draft)</t>
        </is>
      </c>
      <c r="J253" s="52" t="inlineStr">
        <is>
          <t>$0</t>
        </is>
      </c>
      <c r="K253" s="83" t="inlineStr">
        <is>
          <t>Post-Resign</t>
        </is>
      </c>
      <c r="L253" s="44" t="inlineStr">
        <is>
          <t>Done</t>
        </is>
      </c>
      <c r="M253" s="18" t="inlineStr">
        <is>
          <t>Documents client commitments — protects you
2026-06-03: Closed by docs/pilot/PILOT_KICKOFF_30_60_90_PLAYBOOK.md.</t>
        </is>
      </c>
    </row>
    <row r="254">
      <c r="A254" s="18" t="inlineStr">
        <is>
          <t>T055</t>
        </is>
      </c>
      <c r="B254" s="18" t="inlineStr">
        <is>
          <t>Pilot Ops</t>
        </is>
      </c>
      <c r="C254" s="18" t="inlineStr">
        <is>
          <t>Build out-of-scope catalog (5-10 likely 'can you also' items + prices)</t>
        </is>
      </c>
      <c r="D254" s="18" t="inlineStr">
        <is>
          <t>Saves friction when client asks.</t>
        </is>
      </c>
      <c r="E254" s="49" t="inlineStr">
        <is>
          <t>P2</t>
        </is>
      </c>
      <c r="F254" s="39" t="inlineStr">
        <is>
          <t>2. CLAUDE DOES IT</t>
        </is>
      </c>
      <c r="G254" s="18" t="inlineStr">
        <is>
          <t>Anand</t>
        </is>
      </c>
      <c r="H254" s="18" t="inlineStr"/>
      <c r="I254" s="45" t="inlineStr">
        <is>
          <t>Claude (draft)</t>
        </is>
      </c>
      <c r="J254" s="52" t="inlineStr">
        <is>
          <t>$0</t>
        </is>
      </c>
      <c r="K254" s="83" t="inlineStr">
        <is>
          <t>Post-Resign</t>
        </is>
      </c>
      <c r="L254" s="44" t="inlineStr">
        <is>
          <t>Done</t>
        </is>
      </c>
      <c r="M254" s="18" t="inlineStr">
        <is>
          <t>Done - PR #2973 merged 2026-06-04 at b93eae5428ec02e24d42a12432d412f0fc6878cf. docs/pilot/OUT_OF_SCOPE_CATALOG.md defines 10 draft add-on items with prices/ranges, classification rules, approval flow, change-order note fields, and single-client/human-approval guardrails. T054 final rate approval remains separate.</t>
        </is>
      </c>
    </row>
    <row r="255">
      <c r="A255" s="18" t="inlineStr">
        <is>
          <t>T053</t>
        </is>
      </c>
      <c r="B255" s="18" t="inlineStr">
        <is>
          <t>Pilot Ops</t>
        </is>
      </c>
      <c r="C255" s="18" t="inlineStr">
        <is>
          <t>Define managed services scope (in/out) explicitly in SOW</t>
        </is>
      </c>
      <c r="D255" s="18" t="inlineStr">
        <is>
          <t>24x5 monitoring, P1 1h response. Out: new feature dev, integrations not in SOW.</t>
        </is>
      </c>
      <c r="E255" s="31" t="inlineStr">
        <is>
          <t>P0</t>
        </is>
      </c>
      <c r="F255" s="40" t="inlineStr">
        <is>
          <t>3. CLAUDE + YOU</t>
        </is>
      </c>
      <c r="G255" s="18" t="inlineStr">
        <is>
          <t>Anand</t>
        </is>
      </c>
      <c r="H255" s="18" t="inlineStr"/>
      <c r="I255" s="47" t="inlineStr">
        <is>
          <t>Claude + you (SOW)</t>
        </is>
      </c>
      <c r="J255" s="52" t="inlineStr">
        <is>
          <t>$0</t>
        </is>
      </c>
      <c r="K255" s="83" t="inlineStr">
        <is>
          <t>Post-Resign</t>
        </is>
      </c>
      <c r="L255" s="44" t="inlineStr">
        <is>
          <t>Done</t>
        </is>
      </c>
      <c r="M255" s="18" t="inlineStr">
        <is>
          <t>2026-06-03: Closed by docs/pilot/MANAGED_SERVICES_SCOPE.md.</t>
        </is>
      </c>
    </row>
    <row r="256">
      <c r="A256" s="18" t="inlineStr">
        <is>
          <t>T054</t>
        </is>
      </c>
      <c r="B256" s="18" t="inlineStr">
        <is>
          <t>Pilot Ops</t>
        </is>
      </c>
      <c r="C256" s="18" t="inlineStr">
        <is>
          <t>Pre-agree change-order rate ($375 or $400/hr)</t>
        </is>
      </c>
      <c r="D256" s="18" t="inlineStr">
        <is>
          <t>Inline in SOW. Avoids per-request negotiation.</t>
        </is>
      </c>
      <c r="E256" s="31" t="inlineStr">
        <is>
          <t>P0</t>
        </is>
      </c>
      <c r="F256" s="42" t="inlineStr">
        <is>
          <t>5. EXTERNAL</t>
        </is>
      </c>
      <c r="G256" s="18" t="inlineStr">
        <is>
          <t>Anand</t>
        </is>
      </c>
      <c r="H256" s="18" t="inlineStr"/>
      <c r="I256" s="48" t="inlineStr">
        <is>
          <t>You only</t>
        </is>
      </c>
      <c r="J256" s="52" t="inlineStr">
        <is>
          <t>$0</t>
        </is>
      </c>
      <c r="K256" s="83" t="inlineStr">
        <is>
          <t>Post-Resign</t>
        </is>
      </c>
      <c r="L256" s="44" t="inlineStr">
        <is>
          <t>In progress</t>
        </is>
      </c>
      <c r="M256" s="18" t="inlineStr">
        <is>
          <t>In progress - pilot/source ops register defines change-order rate owner, clause evidence, and exception-log gate. Done requires approved/signed rate or exception. Evidence: /Users/anand/Downloads/abarva-pilot-source-ops-readiness/PILOT_SOURCE_OPS_ACTION_REGISTER_2026-06-04.xlsx; index: /Users/anand/Downloads/abarva-pilot-source-ops-readiness/PILOT_SOURCE_OPS_READINESS_INDEX_2026-06-04.md.</t>
        </is>
      </c>
    </row>
    <row r="257">
      <c r="A257" s="18" t="inlineStr">
        <is>
          <t>T051</t>
        </is>
      </c>
      <c r="B257" s="18" t="inlineStr">
        <is>
          <t>Pilot Ops</t>
        </is>
      </c>
      <c r="C257" s="18" t="inlineStr">
        <is>
          <t>Set up weekly 60-min standing call cadence</t>
        </is>
      </c>
      <c r="D257" s="18" t="inlineStr">
        <is>
          <t>Customer success = renewal mechanic.</t>
        </is>
      </c>
      <c r="E257" s="32" t="inlineStr">
        <is>
          <t>P1</t>
        </is>
      </c>
      <c r="F257" s="42" t="inlineStr">
        <is>
          <t>5. EXTERNAL</t>
        </is>
      </c>
      <c r="G257" s="18" t="inlineStr">
        <is>
          <t>Anand</t>
        </is>
      </c>
      <c r="H257" s="18" t="inlineStr"/>
      <c r="I257" s="48" t="inlineStr">
        <is>
          <t>You only</t>
        </is>
      </c>
      <c r="J257" s="52" t="inlineStr">
        <is>
          <t>$0 (founder time)</t>
        </is>
      </c>
      <c r="K257" s="83" t="inlineStr">
        <is>
          <t>Post-Resign</t>
        </is>
      </c>
      <c r="L257" s="44" t="inlineStr">
        <is>
          <t>In progress</t>
        </is>
      </c>
      <c r="M257" s="18" t="inlineStr">
        <is>
          <t>In progress - cadence template and evidence gate created. Done requires sponsor-confirmed recurring invite and meeting evidence. Evidence: /Users/anand/Downloads/abarva-pilot-source-ops-readiness/PILOT_SOURCE_OPS_ACTION_REGISTER_2026-06-04.xlsx; index: /Users/anand/Downloads/abarva-pilot-source-ops-readiness/PILOT_SOURCE_OPS_READINESS_INDEX_2026-06-04.md.</t>
        </is>
      </c>
    </row>
    <row r="258">
      <c r="A258" s="18" t="inlineStr">
        <is>
          <t>T052</t>
        </is>
      </c>
      <c r="B258" s="18" t="inlineStr">
        <is>
          <t>Pilot Ops</t>
        </is>
      </c>
      <c r="C258" s="18" t="inlineStr">
        <is>
          <t>Set up monthly executive readout + quarterly business review</t>
        </is>
      </c>
      <c r="D258" s="18" t="inlineStr">
        <is>
          <t>QBR is where renewal/expansion conversations happen.</t>
        </is>
      </c>
      <c r="E258" s="32" t="inlineStr">
        <is>
          <t>P1</t>
        </is>
      </c>
      <c r="F258" s="42" t="inlineStr">
        <is>
          <t>5. EXTERNAL</t>
        </is>
      </c>
      <c r="G258" s="18" t="inlineStr">
        <is>
          <t>Anand</t>
        </is>
      </c>
      <c r="H258" s="18" t="inlineStr"/>
      <c r="I258" s="48" t="inlineStr">
        <is>
          <t>You only</t>
        </is>
      </c>
      <c r="J258" s="52" t="inlineStr">
        <is>
          <t>$0 (founder time)</t>
        </is>
      </c>
      <c r="K258" s="83" t="inlineStr">
        <is>
          <t>Post-Resign</t>
        </is>
      </c>
      <c r="L258" s="44" t="inlineStr">
        <is>
          <t>In progress</t>
        </is>
      </c>
      <c r="M258" s="18" t="inlineStr">
        <is>
          <t>In progress - executive readout/QBR cadence template and evidence gate created. Done requires sponsor-confirmed cadence and readout template/first evidence. Evidence: /Users/anand/Downloads/abarva-pilot-source-ops-readiness/PILOT_SOURCE_OPS_ACTION_REGISTER_2026-06-04.xlsx; index: /Users/anand/Downloads/abarva-pilot-source-ops-readiness/PILOT_SOURCE_OPS_READINESS_INDEX_2026-06-04.md.</t>
        </is>
      </c>
    </row>
    <row r="259">
      <c r="A259" s="18" t="inlineStr">
        <is>
          <t>T149</t>
        </is>
      </c>
      <c r="B259" s="18" t="inlineStr">
        <is>
          <t>Pressure Test</t>
        </is>
      </c>
      <c r="C259" s="18" t="inlineStr">
        <is>
          <t>Define load profiles: 10 concurrent (pilot), 50 (year-1 max), 100 (stretch)</t>
        </is>
      </c>
      <c r="D259" s="18" t="inlineStr">
        <is>
          <t>Concurrent users, request rate, payload sizes per scenario. Document SLO targets.</t>
        </is>
      </c>
      <c r="E259" s="31" t="inlineStr">
        <is>
          <t>P0</t>
        </is>
      </c>
      <c r="F259" s="39" t="inlineStr">
        <is>
          <t>2. CLAUDE DOES IT</t>
        </is>
      </c>
      <c r="G259" s="18" t="inlineStr">
        <is>
          <t>Anand</t>
        </is>
      </c>
      <c r="H259" s="18" t="inlineStr"/>
      <c r="I259" s="45" t="inlineStr">
        <is>
          <t>Claude (docs)</t>
        </is>
      </c>
      <c r="J259" s="52" t="inlineStr">
        <is>
          <t>$0</t>
        </is>
      </c>
      <c r="K259" s="84" t="inlineStr">
        <is>
          <t>Anytime</t>
        </is>
      </c>
      <c r="L259" s="44" t="inlineStr">
        <is>
          <t>Done</t>
        </is>
      </c>
      <c r="M259" s="18" t="inlineStr">
        <is>
          <t>2026-06-03: Closed by docs/runbooks/load-profile-and-slo-plan.md.</t>
        </is>
      </c>
    </row>
    <row r="260">
      <c r="A260" s="18" t="inlineStr">
        <is>
          <t>T150</t>
        </is>
      </c>
      <c r="B260" s="18" t="inlineStr">
        <is>
          <t>Pressure Test</t>
        </is>
      </c>
      <c r="C260" s="18" t="inlineStr">
        <is>
          <t>Build load test scripts (k6 or Artillery) for top 5 user journeys</t>
        </is>
      </c>
      <c r="D260" s="18" t="inlineStr">
        <is>
          <t>Chat stream, file upload, RAG query, Move execution, dashboard load.</t>
        </is>
      </c>
      <c r="E260" s="31" t="inlineStr">
        <is>
          <t>P0</t>
        </is>
      </c>
      <c r="F260" s="39" t="inlineStr">
        <is>
          <t>2. CLAUDE DOES IT</t>
        </is>
      </c>
      <c r="G260" s="18" t="inlineStr">
        <is>
          <t>Anand</t>
        </is>
      </c>
      <c r="H260" s="18" t="inlineStr">
        <is>
          <t>T149</t>
        </is>
      </c>
      <c r="I260" s="45" t="inlineStr">
        <is>
          <t>Claude (code)</t>
        </is>
      </c>
      <c r="J260" s="52" t="inlineStr">
        <is>
          <t>$0 (k6 open-source)</t>
        </is>
      </c>
      <c r="K260" s="84" t="inlineStr">
        <is>
          <t>Anytime</t>
        </is>
      </c>
      <c r="L260" s="44" t="inlineStr">
        <is>
          <t>Done</t>
        </is>
      </c>
      <c r="M260" s="18" t="inlineStr">
        <is>
          <t>PR #2924 merged 2026-06-03 (merge commit 6e52bff36b8003f7fa297f78aadeccec81cae95a): top 5 user journey load harness added for T150 with dependency-free Node runner, non-destructive default journeys for Home, Intelligence, Moves approvals/audit export, Source, and Tower, manual GitHub workflow, runbook, package scripts, verifier, and release record. Local QA passed: load:top-journeys:check, direct dry-run, focused ESLint, release:check, and diff check. GitHub CI passed 25/25 checks. T151/T152/T153/T154 remain separate live-run evidence rows.</t>
        </is>
      </c>
    </row>
    <row r="261">
      <c r="A261" s="18" t="inlineStr">
        <is>
          <t>T151</t>
        </is>
      </c>
      <c r="B261" s="18" t="inlineStr">
        <is>
          <t>Pressure Test</t>
        </is>
      </c>
      <c r="C261" s="18" t="inlineStr">
        <is>
          <t>Baseline: 10 concurrent user soak (1 hour) on FakeClient tenant</t>
        </is>
      </c>
      <c r="D261" s="18" t="inlineStr">
        <is>
          <t>Latency p50/p95/p99, error rate, cost per request. Establishes baseline.</t>
        </is>
      </c>
      <c r="E261" s="31" t="inlineStr">
        <is>
          <t>P0</t>
        </is>
      </c>
      <c r="F261" s="39" t="inlineStr">
        <is>
          <t>2. CLAUDE DOES IT</t>
        </is>
      </c>
      <c r="G261" s="18" t="inlineStr">
        <is>
          <t>Anand</t>
        </is>
      </c>
      <c r="H261" s="18" t="inlineStr">
        <is>
          <t>T142,T150</t>
        </is>
      </c>
      <c r="I261" s="45" t="inlineStr">
        <is>
          <t>Claude (run+analyze)</t>
        </is>
      </c>
      <c r="J261" s="52" t="inlineStr">
        <is>
          <t>$0 (credits)</t>
        </is>
      </c>
      <c r="K261" s="84" t="inlineStr">
        <is>
          <t>Anytime</t>
        </is>
      </c>
      <c r="L261" s="44" t="inlineStr">
        <is>
          <t>In progress</t>
        </is>
      </c>
      <c r="M261" s="18" t="inlineStr">
        <is>
          <t>2026-06-03 update: PR #2980 merged at 51586181 with pressure-test harness pilot-baseline-10-user-soak dry-run profile, command generation, runbook, verifier, and release record. Keep In progress until a live authenticated 10-user 1-hour evidence packet is attached.</t>
        </is>
      </c>
    </row>
    <row r="262">
      <c r="A262" s="18" t="inlineStr">
        <is>
          <t>T152</t>
        </is>
      </c>
      <c r="B262" s="18" t="inlineStr">
        <is>
          <t>Pressure Test</t>
        </is>
      </c>
      <c r="C262" s="18" t="inlineStr">
        <is>
          <t>Stretch test: 50 concurrent users, 24-hour soak</t>
        </is>
      </c>
      <c r="D262" s="18" t="inlineStr">
        <is>
          <t>Memory leaks, connection pool exhaustion, token cost runaway, cold start patterns.</t>
        </is>
      </c>
      <c r="E262" s="31" t="inlineStr">
        <is>
          <t>P0</t>
        </is>
      </c>
      <c r="F262" s="39" t="inlineStr">
        <is>
          <t>2. CLAUDE DOES IT</t>
        </is>
      </c>
      <c r="G262" s="18" t="inlineStr">
        <is>
          <t>Anand</t>
        </is>
      </c>
      <c r="H262" s="18" t="inlineStr">
        <is>
          <t>T151</t>
        </is>
      </c>
      <c r="I262" s="45" t="inlineStr">
        <is>
          <t>Claude (run+analyze)</t>
        </is>
      </c>
      <c r="J262" s="52" t="inlineStr">
        <is>
          <t>$0 (credits)</t>
        </is>
      </c>
      <c r="K262" s="84" t="inlineStr">
        <is>
          <t>Anytime</t>
        </is>
      </c>
      <c r="L262" s="44" t="inlineStr">
        <is>
          <t>In progress</t>
        </is>
      </c>
      <c r="M262" s="18" t="inlineStr">
        <is>
          <t>2026-06-03 update: PR #2980 merged at 51586181 with pressure-test harness year-one-50-user-soak dry-run profile, command generation, runbook, verifier, and release record. Keep In progress until a live 50-user 24-hour evidence packet proves route, DB pool, Azure dependency, and queue stability.</t>
        </is>
      </c>
    </row>
    <row r="263">
      <c r="A263" s="18" t="inlineStr">
        <is>
          <t>T153</t>
        </is>
      </c>
      <c r="B263" s="18" t="inlineStr">
        <is>
          <t>Pressure Test</t>
        </is>
      </c>
      <c r="C263" s="18" t="inlineStr">
        <is>
          <t>Concurrent LLM stream test: 10 simultaneous Claude streams with 10K-token I/O</t>
        </is>
      </c>
      <c r="D263" s="18" t="inlineStr">
        <is>
          <t>Anthropic rate limits, streaming UI back-pressure, queue behavior under load.</t>
        </is>
      </c>
      <c r="E263" s="31" t="inlineStr">
        <is>
          <t>P0</t>
        </is>
      </c>
      <c r="F263" s="39" t="inlineStr">
        <is>
          <t>2. CLAUDE DOES IT</t>
        </is>
      </c>
      <c r="G263" s="18" t="inlineStr">
        <is>
          <t>Anand</t>
        </is>
      </c>
      <c r="H263" s="18" t="inlineStr">
        <is>
          <t>T150</t>
        </is>
      </c>
      <c r="I263" s="45" t="inlineStr">
        <is>
          <t>Claude (code)</t>
        </is>
      </c>
      <c r="J263" s="52" t="inlineStr">
        <is>
          <t>$0 (consumes credits)</t>
        </is>
      </c>
      <c r="K263" s="84" t="inlineStr">
        <is>
          <t>Anytime</t>
        </is>
      </c>
      <c r="L263" s="44" t="inlineStr">
        <is>
          <t>In progress</t>
        </is>
      </c>
      <c r="M263" s="18" t="inlineStr">
        <is>
          <t>2026-06-03 update: PR #2980 merged at 51586181 with pressure-test harness llm-stream-burst-10 profile and evidence requirements for provider latency, stream completion, AI egress audit, and retry behavior. Keep In progress until live concurrent Claude stream evidence exists.</t>
        </is>
      </c>
    </row>
    <row r="264">
      <c r="A264" s="18" t="inlineStr">
        <is>
          <t>T154</t>
        </is>
      </c>
      <c r="B264" s="18" t="inlineStr">
        <is>
          <t>Pressure Test</t>
        </is>
      </c>
      <c r="C264" s="18" t="inlineStr">
        <is>
          <t>Concurrent file upload test: 50 PDF/docx files in parallel</t>
        </is>
      </c>
      <c r="D264" s="18" t="inlineStr">
        <is>
          <t>Ingestion pipeline back-pressure, blob storage limits, embedding queue depth.</t>
        </is>
      </c>
      <c r="E264" s="31" t="inlineStr">
        <is>
          <t>P0</t>
        </is>
      </c>
      <c r="F264" s="39" t="inlineStr">
        <is>
          <t>2. CLAUDE DOES IT</t>
        </is>
      </c>
      <c r="G264" s="18" t="inlineStr">
        <is>
          <t>Anand</t>
        </is>
      </c>
      <c r="H264" s="18" t="inlineStr">
        <is>
          <t>T150</t>
        </is>
      </c>
      <c r="I264" s="45" t="inlineStr">
        <is>
          <t>Claude (code)</t>
        </is>
      </c>
      <c r="J264" s="52" t="inlineStr">
        <is>
          <t>$0</t>
        </is>
      </c>
      <c r="K264" s="84" t="inlineStr">
        <is>
          <t>Anytime</t>
        </is>
      </c>
      <c r="L264" s="44" t="inlineStr">
        <is>
          <t>In progress</t>
        </is>
      </c>
      <c r="M264" s="18" t="inlineStr">
        <is>
          <t>2026-06-03 update: PR #2980 merged at 51586181 with pressure-test harness parallel-document-upload-50 profile and evidence requirements for Blob/ADLS handoff, malware scan, parse/quarantine result, and client-prefix isolation. Keep In progress until live upload storm evidence exists.</t>
        </is>
      </c>
    </row>
    <row r="265">
      <c r="A265" s="18" t="inlineStr">
        <is>
          <t>T155</t>
        </is>
      </c>
      <c r="B265" s="18" t="inlineStr">
        <is>
          <t>Pressure Test</t>
        </is>
      </c>
      <c r="C265" s="18" t="inlineStr">
        <is>
          <t>DB connection pool sizing + pgbouncer config</t>
        </is>
      </c>
      <c r="D265" s="18" t="inlineStr">
        <is>
          <t>At 50 users with reads/writes, naive pooling can exhaust. Test, tune.</t>
        </is>
      </c>
      <c r="E265" s="31" t="inlineStr">
        <is>
          <t>P0</t>
        </is>
      </c>
      <c r="F265" s="39" t="inlineStr">
        <is>
          <t>2. CLAUDE DOES IT</t>
        </is>
      </c>
      <c r="G265" s="18" t="inlineStr">
        <is>
          <t>Anand</t>
        </is>
      </c>
      <c r="H265" s="18" t="inlineStr">
        <is>
          <t>T152</t>
        </is>
      </c>
      <c r="I265" s="45" t="inlineStr">
        <is>
          <t>Claude (config)</t>
        </is>
      </c>
      <c r="J265" s="52" t="inlineStr">
        <is>
          <t>$0 (Azure native)</t>
        </is>
      </c>
      <c r="K265" s="84" t="inlineStr">
        <is>
          <t>Anytime</t>
        </is>
      </c>
      <c r="L265" s="44" t="inlineStr">
        <is>
          <t>In progress</t>
        </is>
      </c>
      <c r="M265" s="18" t="inlineStr">
        <is>
          <t>2026-06-03 update: PR #2980 merged at 51586181 with pressure-test harness db-pool-sizing profile and evidence requirements for active connections, pool wait, timeouts, slow queries, and pgbouncer recommendations. Keep In progress until live DB pool sizing evidence and config decision exist.</t>
        </is>
      </c>
    </row>
    <row r="266">
      <c r="A266" s="18" t="inlineStr">
        <is>
          <t>T157</t>
        </is>
      </c>
      <c r="B266" s="18" t="inlineStr">
        <is>
          <t>Pressure Test</t>
        </is>
      </c>
      <c r="C266" s="18" t="inlineStr">
        <is>
          <t>Token cost runaway test — single user generating 1M tokens in 1h</t>
        </is>
      </c>
      <c r="D266" s="18" t="inlineStr">
        <is>
          <t>Validates meter + hard cap + alerting. Critical for COGS protection.</t>
        </is>
      </c>
      <c r="E266" s="31" t="inlineStr">
        <is>
          <t>P0</t>
        </is>
      </c>
      <c r="F266" s="39" t="inlineStr">
        <is>
          <t>2. CLAUDE DOES IT</t>
        </is>
      </c>
      <c r="G266" s="18" t="inlineStr">
        <is>
          <t>Anand</t>
        </is>
      </c>
      <c r="H266" s="18" t="inlineStr">
        <is>
          <t>T033</t>
        </is>
      </c>
      <c r="I266" s="45" t="inlineStr">
        <is>
          <t>Claude (code)</t>
        </is>
      </c>
      <c r="J266" s="52" t="inlineStr">
        <is>
          <t>$0 (consumes credits)</t>
        </is>
      </c>
      <c r="K266" s="84" t="inlineStr">
        <is>
          <t>Anytime</t>
        </is>
      </c>
      <c r="L266" s="44" t="inlineStr">
        <is>
          <t>In progress</t>
        </is>
      </c>
      <c r="M266" s="18" t="inlineStr">
        <is>
          <t>2026-06-03 update: PR #2980 merged at 51586181 with pressure-test harness token-runaway-1m profile and evidence requirements for cap, alert/degraded mode, AI egress audit, and customer-safe stop message. Keep In progress until live token-runaway test evidence exists.</t>
        </is>
      </c>
    </row>
    <row r="267">
      <c r="A267" s="18" t="inlineStr">
        <is>
          <t>T159</t>
        </is>
      </c>
      <c r="B267" s="18" t="inlineStr">
        <is>
          <t>Pressure Test</t>
        </is>
      </c>
      <c r="C267" s="18" t="inlineStr">
        <is>
          <t>Document SLO/SLA based on observed perf (not guess)</t>
        </is>
      </c>
      <c r="D267" s="18" t="inlineStr">
        <is>
          <t>Latency budgets per endpoint, uptime targets, capacity headroom. Feeds into MSA SLA clause.</t>
        </is>
      </c>
      <c r="E267" s="31" t="inlineStr">
        <is>
          <t>P0</t>
        </is>
      </c>
      <c r="F267" s="39" t="inlineStr">
        <is>
          <t>2. CLAUDE DOES IT</t>
        </is>
      </c>
      <c r="G267" s="18" t="inlineStr">
        <is>
          <t>Anand</t>
        </is>
      </c>
      <c r="H267" s="18" t="inlineStr">
        <is>
          <t>T152</t>
        </is>
      </c>
      <c r="I267" s="45" t="inlineStr">
        <is>
          <t>Claude (docs)</t>
        </is>
      </c>
      <c r="J267" s="52" t="inlineStr">
        <is>
          <t>$0</t>
        </is>
      </c>
      <c r="K267" s="84" t="inlineStr">
        <is>
          <t>Anytime</t>
        </is>
      </c>
      <c r="L267" s="44" t="inlineStr">
        <is>
          <t>In progress</t>
        </is>
      </c>
      <c r="M267" s="18" t="inlineStr">
        <is>
          <t>2026-06-03: Evidence plan documented in docs/runbooks/load-profile-and-slo-plan.md; keep open until observed perf/soak evidence exists.</t>
        </is>
      </c>
    </row>
    <row r="268">
      <c r="A268" s="18" t="inlineStr">
        <is>
          <t>T156</t>
        </is>
      </c>
      <c r="B268" s="18" t="inlineStr">
        <is>
          <t>Pressure Test</t>
        </is>
      </c>
      <c r="C268" s="18" t="inlineStr">
        <is>
          <t>Cold-start measurement across all Vercel + Azure Functions</t>
        </is>
      </c>
      <c r="D268" s="18" t="inlineStr">
        <is>
          <t>First-request latency from cold. Identify which routes need warm-up pings.</t>
        </is>
      </c>
      <c r="E268" s="32" t="inlineStr">
        <is>
          <t>P1</t>
        </is>
      </c>
      <c r="F268" s="39" t="inlineStr">
        <is>
          <t>2. CLAUDE DOES IT</t>
        </is>
      </c>
      <c r="G268" s="18" t="inlineStr">
        <is>
          <t>Anand</t>
        </is>
      </c>
      <c r="H268" s="18" t="inlineStr">
        <is>
          <t>T151</t>
        </is>
      </c>
      <c r="I268" s="45" t="inlineStr">
        <is>
          <t>Claude (script)</t>
        </is>
      </c>
      <c r="J268" s="52" t="inlineStr">
        <is>
          <t>$0</t>
        </is>
      </c>
      <c r="K268" s="84" t="inlineStr">
        <is>
          <t>Anytime</t>
        </is>
      </c>
      <c r="L268" s="44" t="inlineStr">
        <is>
          <t>In progress</t>
        </is>
      </c>
      <c r="M268" s="18" t="inlineStr">
        <is>
          <t>2026-06-03 update: PR #2980 merged at 51586181 with pressure-test harness cold-start-primary-routes profile and route-level cold/warm evidence requirements. Keep In progress until live Vercel/Azure cold-start measurements are captured.</t>
        </is>
      </c>
    </row>
    <row r="269">
      <c r="A269" s="18" t="inlineStr">
        <is>
          <t>T158</t>
        </is>
      </c>
      <c r="B269" s="18" t="inlineStr">
        <is>
          <t>Pressure Test</t>
        </is>
      </c>
      <c r="C269" s="18" t="inlineStr">
        <is>
          <t>Profile + optimize top 3 hot paths identified in load tests</t>
        </is>
      </c>
      <c r="D269" s="18" t="inlineStr">
        <is>
          <t>Whatever the load tests surface — N+1 queries, missing indexes, sync ops that should be async.</t>
        </is>
      </c>
      <c r="E269" s="32" t="inlineStr">
        <is>
          <t>P1</t>
        </is>
      </c>
      <c r="F269" s="39" t="inlineStr">
        <is>
          <t>2. CLAUDE DOES IT</t>
        </is>
      </c>
      <c r="G269" s="18" t="inlineStr">
        <is>
          <t>Anand</t>
        </is>
      </c>
      <c r="H269" s="18" t="inlineStr">
        <is>
          <t>T152</t>
        </is>
      </c>
      <c r="I269" s="45" t="inlineStr">
        <is>
          <t>Claude (code)</t>
        </is>
      </c>
      <c r="J269" s="52" t="inlineStr">
        <is>
          <t>$0 (founder time)</t>
        </is>
      </c>
      <c r="K269" s="84" t="inlineStr">
        <is>
          <t>Anytime</t>
        </is>
      </c>
      <c r="L269" s="44" t="inlineStr">
        <is>
          <t>In progress</t>
        </is>
      </c>
      <c r="M269" s="18" t="inlineStr">
        <is>
          <t>2026-06-03 update: PR #2986 merged to main at 18c202bc26d65146037b73eea9d59f199e97ded0 with hot-path optimization runbook, pressure-test harness linkage, verifier, and release record for T158. Keep In progress until live pressure-test evidence identifies the top three hot paths and before/after optimization or accepted-risk evidence is retained.</t>
        </is>
      </c>
    </row>
    <row r="270">
      <c r="A270" s="18" t="inlineStr">
        <is>
          <t>T160</t>
        </is>
      </c>
      <c r="B270" s="18" t="inlineStr">
        <is>
          <t>Pressure Test</t>
        </is>
      </c>
      <c r="C270" s="18" t="inlineStr">
        <is>
          <t>Re-run load tests after each major release (CI gate)</t>
        </is>
      </c>
      <c r="D270" s="18" t="inlineStr">
        <is>
          <t>Performance regression detection in CI. Lighthouse CI handles UI; backend needs separate gate.</t>
        </is>
      </c>
      <c r="E270" s="32" t="inlineStr">
        <is>
          <t>P1</t>
        </is>
      </c>
      <c r="F270" s="39" t="inlineStr">
        <is>
          <t>2. CLAUDE DOES IT</t>
        </is>
      </c>
      <c r="G270" s="18" t="inlineStr">
        <is>
          <t>Anand</t>
        </is>
      </c>
      <c r="H270" s="18" t="inlineStr">
        <is>
          <t>T150</t>
        </is>
      </c>
      <c r="I270" s="45" t="inlineStr">
        <is>
          <t>Claude (workflow)</t>
        </is>
      </c>
      <c r="J270" s="52" t="inlineStr">
        <is>
          <t>$0</t>
        </is>
      </c>
      <c r="K270" s="84" t="inlineStr">
        <is>
          <t>Anytime</t>
        </is>
      </c>
      <c r="L270" s="44" t="inlineStr">
        <is>
          <t>In progress</t>
        </is>
      </c>
      <c r="M270" s="18" t="inlineStr">
        <is>
          <t>PR #2899 merged 2026-06-03: backend load regression gate landed with PR-safe dry-run contract workflow, package script, verifier, runbook, build manifest, release record, and green CI including Backend Load Regression. Remains In progress until a real post-major-release Azure/staging/production load run is attached as evidence and repeated after each major release.</t>
        </is>
      </c>
    </row>
    <row r="271">
      <c r="A271" s="18" t="inlineStr">
        <is>
          <t>T064</t>
        </is>
      </c>
      <c r="B271" s="18" t="inlineStr">
        <is>
          <t>Sales</t>
        </is>
      </c>
      <c r="C271" s="18" t="inlineStr">
        <is>
          <t>Write pilot one-pager (problem, what they get, fee, success criteria)</t>
        </is>
      </c>
      <c r="D271" s="18" t="inlineStr">
        <is>
          <t>Sales asset for first conversation.</t>
        </is>
      </c>
      <c r="E271" s="31" t="inlineStr">
        <is>
          <t>P0</t>
        </is>
      </c>
      <c r="F271" s="39" t="inlineStr">
        <is>
          <t>2. CLAUDE DOES IT</t>
        </is>
      </c>
      <c r="G271" s="18" t="inlineStr">
        <is>
          <t>Anand</t>
        </is>
      </c>
      <c r="H271" s="18" t="inlineStr"/>
      <c r="I271" s="45" t="inlineStr">
        <is>
          <t>Claude (draft)</t>
        </is>
      </c>
      <c r="J271" s="52" t="inlineStr">
        <is>
          <t>$0</t>
        </is>
      </c>
      <c r="K271" s="82" t="inlineStr">
        <is>
          <t>Pre-Resign</t>
        </is>
      </c>
      <c r="L271" s="44" t="inlineStr">
        <is>
          <t>Done</t>
        </is>
      </c>
      <c r="M271" s="18" t="inlineStr">
        <is>
          <t>Done - docs/gtm/pilot-one-pager.md.</t>
        </is>
      </c>
    </row>
    <row r="272">
      <c r="A272" s="18" t="inlineStr">
        <is>
          <t>T253</t>
        </is>
      </c>
      <c r="B272" s="18" t="inlineStr">
        <is>
          <t>Sales</t>
        </is>
      </c>
      <c r="C272" s="18" t="inlineStr">
        <is>
          <t>Identify 2-3 healthcare-specific value levers SPECIFIC to PHS data environment</t>
        </is>
      </c>
      <c r="D272" s="18" t="inlineStr">
        <is>
          <t>Denials? Revenue cycle DSO? Length of stay? Supply chain? Workforce? Pre-pitch research.</t>
        </is>
      </c>
      <c r="E272" s="31" t="inlineStr">
        <is>
          <t>P0</t>
        </is>
      </c>
      <c r="F272" s="39" t="inlineStr">
        <is>
          <t>2. CLAUDE DOES IT</t>
        </is>
      </c>
      <c r="G272" s="18" t="inlineStr">
        <is>
          <t>Anand</t>
        </is>
      </c>
      <c r="H272" s="18" t="inlineStr"/>
      <c r="I272" s="45" t="inlineStr">
        <is>
          <t>Claude (research) + you</t>
        </is>
      </c>
      <c r="J272" s="52" t="inlineStr">
        <is>
          <t>$0</t>
        </is>
      </c>
      <c r="K272" s="82" t="inlineStr">
        <is>
          <t>Pre-Resign</t>
        </is>
      </c>
      <c r="L272" s="44" t="inlineStr">
        <is>
          <t>In progress</t>
        </is>
      </c>
      <c r="M272" s="18" t="inlineStr">
        <is>
          <t>Merged #2988: account research pack adds PHS evidence caveat and healthcare value-lever path; needs real entity/client evidence before Done.
Merge evidence: #2988 merged 2026-06-04, commit a3db85c024ac32732bc8c22946177c68435274d8.</t>
        </is>
      </c>
    </row>
    <row r="273">
      <c r="A273" s="18" t="inlineStr">
        <is>
          <t>T256</t>
        </is>
      </c>
      <c r="B273" s="18" t="inlineStr">
        <is>
          <t>Sales</t>
        </is>
      </c>
      <c r="C273" s="18" t="inlineStr">
        <is>
          <t>Pre-pitch: write the CXO justification memo from THEIR perspective</t>
        </is>
      </c>
      <c r="D273" s="18" t="inlineStr">
        <is>
          <t>Customize the narrative section for CDAO of PHS. Their voice. Their KPIs. Their CFO. They should feel 'this is what I would write'.</t>
        </is>
      </c>
      <c r="E273" s="31" t="inlineStr">
        <is>
          <t>P0</t>
        </is>
      </c>
      <c r="F273" s="39" t="inlineStr">
        <is>
          <t>2. CLAUDE DOES IT</t>
        </is>
      </c>
      <c r="G273" s="18" t="inlineStr">
        <is>
          <t>Anand</t>
        </is>
      </c>
      <c r="H273" s="18" t="inlineStr"/>
      <c r="I273" s="45" t="inlineStr">
        <is>
          <t>Claude (draft) + you</t>
        </is>
      </c>
      <c r="J273" s="52" t="inlineStr">
        <is>
          <t>$0</t>
        </is>
      </c>
      <c r="K273" s="83" t="inlineStr">
        <is>
          <t>Post-Resign</t>
        </is>
      </c>
      <c r="L273" s="44" t="inlineStr">
        <is>
          <t>In progress</t>
        </is>
      </c>
      <c r="M273" s="18" t="inlineStr">
        <is>
          <t>2026-06-04: PR #3000 opened for Sales execution proof kit: evidence log schema, founder approval checklist, outreach log, meeting notes template, and PHS / KK-Delta / Surekha-Morgan Street proof paths. Keep In progress until actual founder approval, sent/scheduled outreach, discovery notes, meeting proof, client evidence, SOW/legal progress, or clean no-go evidence exists. 2026-06-04: PR #3000 merged to main at 1a73dc45 with the Sales execution proof kit. Keep In progress until the row-specific founder/customer outreach, working-session, SOW, decision, or evidence artifact is actually completed.</t>
        </is>
      </c>
    </row>
    <row r="274">
      <c r="A274" s="18" t="inlineStr">
        <is>
          <t>T257</t>
        </is>
      </c>
      <c r="B274" s="18" t="inlineStr">
        <is>
          <t>Sales</t>
        </is>
      </c>
      <c r="C274" s="18" t="inlineStr">
        <is>
          <t>Pitch deck: 8-12 slides max, anchored on business case, not product features</t>
        </is>
      </c>
      <c r="D274" s="18" t="inlineStr">
        <is>
          <t>Story: Their pain → Identified value ($X) → AbarVa enables ($Y) → Pilot proves it (3 Moves, $5M pipeline) → Year-1 captures it ($10M).</t>
        </is>
      </c>
      <c r="E274" s="31" t="inlineStr">
        <is>
          <t>P0</t>
        </is>
      </c>
      <c r="F274" s="39" t="inlineStr">
        <is>
          <t>2. CLAUDE DOES IT</t>
        </is>
      </c>
      <c r="G274" s="18" t="inlineStr">
        <is>
          <t>Anand</t>
        </is>
      </c>
      <c r="H274" s="18" t="inlineStr"/>
      <c r="I274" s="45" t="inlineStr">
        <is>
          <t>Claude (draft) + you</t>
        </is>
      </c>
      <c r="J274" s="52" t="inlineStr">
        <is>
          <t>$0</t>
        </is>
      </c>
      <c r="K274" s="83" t="inlineStr">
        <is>
          <t>Post-Resign</t>
        </is>
      </c>
      <c r="L274" s="44" t="inlineStr">
        <is>
          <t>In progress</t>
        </is>
      </c>
      <c r="M274" s="18" t="inlineStr">
        <is>
          <t>2026-06-04: PR #3000 opened for Sales execution proof kit: evidence log schema, founder approval checklist, outreach log, meeting notes template, and PHS / KK-Delta / Surekha-Morgan Street proof paths. Keep In progress until actual founder approval, sent/scheduled outreach, discovery notes, meeting proof, client evidence, SOW/legal progress, or clean no-go evidence exists. 2026-06-04: PR #3000 merged to main at 1a73dc45 with the Sales execution proof kit. Keep In progress until the row-specific founder/customer outreach, working-session, SOW, decision, or evidence artifact is actually completed.</t>
        </is>
      </c>
    </row>
    <row r="275">
      <c r="A275" s="18" t="inlineStr">
        <is>
          <t>T260</t>
        </is>
      </c>
      <c r="B275" s="18" t="inlineStr">
        <is>
          <t>Sales</t>
        </is>
      </c>
      <c r="C275" s="18" t="inlineStr">
        <is>
          <t>PHS: research 10-K + recent press for revenue, payer mix, AMS deal context</t>
        </is>
      </c>
      <c r="D275" s="18" t="inlineStr">
        <is>
          <t>Concrete numbers BEFORE pitch. Generic signals consultant; specific signals you understood them.</t>
        </is>
      </c>
      <c r="E275" s="31" t="inlineStr">
        <is>
          <t>P0</t>
        </is>
      </c>
      <c r="F275" s="39" t="inlineStr">
        <is>
          <t>2. CLAUDE DOES IT</t>
        </is>
      </c>
      <c r="G275" s="18" t="inlineStr">
        <is>
          <t>Anand</t>
        </is>
      </c>
      <c r="H275" s="18" t="inlineStr"/>
      <c r="I275" s="45" t="inlineStr">
        <is>
          <t>Claude (research)</t>
        </is>
      </c>
      <c r="J275" s="52" t="inlineStr">
        <is>
          <t>$0</t>
        </is>
      </c>
      <c r="K275" s="83" t="inlineStr">
        <is>
          <t>Post-Resign</t>
        </is>
      </c>
      <c r="L275" s="44" t="inlineStr">
        <is>
          <t>In progress</t>
        </is>
      </c>
      <c r="M275" s="18" t="inlineStr">
        <is>
          <t>Merged #2988: PHS public research caveat added; no reliable Phoenix Health System 10-K/press source found yet.
Merge evidence: #2988 merged 2026-06-04, commit a3db85c024ac32732bc8c22946177c68435274d8.</t>
        </is>
      </c>
    </row>
    <row r="276">
      <c r="A276" s="18" t="inlineStr">
        <is>
          <t>T261</t>
        </is>
      </c>
      <c r="B276" s="18" t="inlineStr">
        <is>
          <t>Sales</t>
        </is>
      </c>
      <c r="C276" s="18" t="inlineStr">
        <is>
          <t>PHS: identify Azure+Databricks partner + position AbarVa as workflow layer ABOVE them</t>
        </is>
      </c>
      <c r="D276" s="18" t="inlineStr">
        <is>
          <t>MS Consulting? Accenture? KPMG? Don't compete — complement.</t>
        </is>
      </c>
      <c r="E276" s="31" t="inlineStr">
        <is>
          <t>P0</t>
        </is>
      </c>
      <c r="F276" s="39" t="inlineStr">
        <is>
          <t>2. CLAUDE DOES IT</t>
        </is>
      </c>
      <c r="G276" s="18" t="inlineStr">
        <is>
          <t>Anand</t>
        </is>
      </c>
      <c r="H276" s="18" t="inlineStr"/>
      <c r="I276" s="45" t="inlineStr">
        <is>
          <t>Claude (research) + you</t>
        </is>
      </c>
      <c r="J276" s="52" t="inlineStr">
        <is>
          <t>$0</t>
        </is>
      </c>
      <c r="K276" s="82" t="inlineStr">
        <is>
          <t>Pre-Resign</t>
        </is>
      </c>
      <c r="L276" s="44" t="inlineStr">
        <is>
          <t>In progress</t>
        </is>
      </c>
      <c r="M276" s="18" t="inlineStr">
        <is>
          <t>Merged #2988: PHS Azure/Databricks partner evidence path defined; partner not named until sourced.
Merge evidence: #2988 merged 2026-06-04, commit a3db85c024ac32732bc8c22946177c68435274d8.</t>
        </is>
      </c>
    </row>
    <row r="277">
      <c r="A277" s="18" t="inlineStr">
        <is>
          <t>T263</t>
        </is>
      </c>
      <c r="B277" s="18" t="inlineStr">
        <is>
          <t>Sales</t>
        </is>
      </c>
      <c r="C277" s="18" t="inlineStr">
        <is>
          <t>PHS: draft 'AI strategy in 90 days' headline narrative (not feature pitch)</t>
        </is>
      </c>
      <c r="D277" s="18" t="inlineStr">
        <is>
          <t>#1 board pressure for CDAO. Lead with it. AbarVa = OS for their nascent AI strategy.</t>
        </is>
      </c>
      <c r="E277" s="31" t="inlineStr">
        <is>
          <t>P0</t>
        </is>
      </c>
      <c r="F277" s="39" t="inlineStr">
        <is>
          <t>2. CLAUDE DOES IT</t>
        </is>
      </c>
      <c r="G277" s="18" t="inlineStr">
        <is>
          <t>Anand</t>
        </is>
      </c>
      <c r="H277" s="18" t="inlineStr"/>
      <c r="I277" s="45" t="inlineStr">
        <is>
          <t>Claude (draft) + you</t>
        </is>
      </c>
      <c r="J277" s="52" t="inlineStr">
        <is>
          <t>$0</t>
        </is>
      </c>
      <c r="K277" s="83" t="inlineStr">
        <is>
          <t>Post-Resign</t>
        </is>
      </c>
      <c r="L277" s="44" t="inlineStr">
        <is>
          <t>In progress</t>
        </is>
      </c>
      <c r="M277" s="18" t="inlineStr">
        <is>
          <t>Merged #2988: PHS 90-day narrative guardrails added; client-facing version needs Anand approval/source evidence.
Merge evidence: #2988 merged 2026-06-04, commit a3db85c024ac32732bc8c22946177c68435274d8.</t>
        </is>
      </c>
    </row>
    <row r="278">
      <c r="A278" s="18" t="inlineStr">
        <is>
          <t>T265</t>
        </is>
      </c>
      <c r="B278" s="18" t="inlineStr">
        <is>
          <t>Sales</t>
        </is>
      </c>
      <c r="C278" s="18" t="inlineStr">
        <is>
          <t>Delta: map data/AI leadership in org — CDO/CDAO/CAIO/Head of Data?</t>
        </is>
      </c>
      <c r="D278" s="18" t="inlineStr">
        <is>
          <t>Pre-call research. LinkedIn + press. Find AI leader path BEFORE CTO call.</t>
        </is>
      </c>
      <c r="E278" s="31" t="inlineStr">
        <is>
          <t>P0</t>
        </is>
      </c>
      <c r="F278" s="39" t="inlineStr">
        <is>
          <t>2. CLAUDE DOES IT</t>
        </is>
      </c>
      <c r="G278" s="18" t="inlineStr">
        <is>
          <t>Anand</t>
        </is>
      </c>
      <c r="H278" s="18" t="inlineStr"/>
      <c r="I278" s="45" t="inlineStr">
        <is>
          <t>Claude (research)</t>
        </is>
      </c>
      <c r="J278" s="52" t="inlineStr">
        <is>
          <t>$0</t>
        </is>
      </c>
      <c r="K278" s="82" t="inlineStr">
        <is>
          <t>Pre-Resign</t>
        </is>
      </c>
      <c r="L278" s="44" t="inlineStr">
        <is>
          <t>In progress</t>
        </is>
      </c>
      <c r="M278" s="18" t="inlineStr">
        <is>
          <t>Merged #2988: Delta tech/digital leadership and AI modernization research packet added; needs founder/client review before Done.
Merge evidence: #2988 merged 2026-06-04, commit a3db85c024ac32732bc8c22946177c68435274d8.</t>
        </is>
      </c>
    </row>
    <row r="279">
      <c r="A279" s="18" t="inlineStr">
        <is>
          <t>T266</t>
        </is>
      </c>
      <c r="B279" s="18" t="inlineStr">
        <is>
          <t>Sales</t>
        </is>
      </c>
      <c r="C279" s="18" t="inlineStr">
        <is>
          <t>Delta: reposition AbarVa as 'modernization program OS' for CTO pitch (NOT AI workflow)</t>
        </is>
      </c>
      <c r="D279" s="18" t="inlineStr">
        <is>
          <t>Lead with program execution. AI = enabling tech. See BC - Delta tab Play 1.</t>
        </is>
      </c>
      <c r="E279" s="31" t="inlineStr">
        <is>
          <t>P0</t>
        </is>
      </c>
      <c r="F279" s="39" t="inlineStr">
        <is>
          <t>2. CLAUDE DOES IT</t>
        </is>
      </c>
      <c r="G279" s="18" t="inlineStr">
        <is>
          <t>Anand</t>
        </is>
      </c>
      <c r="H279" s="18" t="inlineStr"/>
      <c r="I279" s="45" t="inlineStr">
        <is>
          <t>Claude (deck) + you</t>
        </is>
      </c>
      <c r="J279" s="52" t="inlineStr">
        <is>
          <t>$0</t>
        </is>
      </c>
      <c r="K279" s="83" t="inlineStr">
        <is>
          <t>Post-Resign</t>
        </is>
      </c>
      <c r="L279" s="44" t="inlineStr">
        <is>
          <t>In progress</t>
        </is>
      </c>
      <c r="M279" s="18" t="inlineStr">
        <is>
          <t>Merged #2989: Delta modernization program OS draft created; needs founder review before Done.
Merge evidence: #2989 merged 2026-06-04, commit 380d959dd86f25926c711507c8ee3a71f23d06ad.</t>
        </is>
      </c>
    </row>
    <row r="280">
      <c r="A280" s="18" t="inlineStr">
        <is>
          <t>T267</t>
        </is>
      </c>
      <c r="B280" s="18" t="inlineStr">
        <is>
          <t>Sales</t>
        </is>
      </c>
      <c r="C280" s="18" t="inlineStr">
        <is>
          <t>Delta: design stretch-lane pilot SOW (Lane A: CTO modernization; Lane B: AI on-ramp)</t>
        </is>
      </c>
      <c r="D280" s="18" t="inlineStr">
        <is>
          <t>Two-track lets you sell to CTO today, scale to AI leader when they join.</t>
        </is>
      </c>
      <c r="E280" s="31" t="inlineStr">
        <is>
          <t>P0</t>
        </is>
      </c>
      <c r="F280" s="39" t="inlineStr">
        <is>
          <t>2. CLAUDE DOES IT</t>
        </is>
      </c>
      <c r="G280" s="18" t="inlineStr">
        <is>
          <t>Anand</t>
        </is>
      </c>
      <c r="H280" s="18" t="inlineStr"/>
      <c r="I280" s="45" t="inlineStr">
        <is>
          <t>Claude (draft) + lawyer</t>
        </is>
      </c>
      <c r="J280" s="52" t="inlineStr">
        <is>
          <t>$0</t>
        </is>
      </c>
      <c r="K280" s="83" t="inlineStr">
        <is>
          <t>Post-Resign</t>
        </is>
      </c>
      <c r="L280" s="44" t="inlineStr">
        <is>
          <t>In progress</t>
        </is>
      </c>
      <c r="M280" s="18" t="inlineStr">
        <is>
          <t>Merged #2989: Delta Lane A/Lane B pilot SOW outline drafted; needs counsel/founder/client review before Done.
Merge evidence: #2989 merged 2026-06-04, commit 380d959dd86f25926c711507c8ee3a71f23d06ad.</t>
        </is>
      </c>
    </row>
    <row r="281">
      <c r="A281" s="18" t="inlineStr">
        <is>
          <t>T273</t>
        </is>
      </c>
      <c r="B281" s="18" t="inlineStr">
        <is>
          <t>Sales</t>
        </is>
      </c>
      <c r="C281" s="18" t="inlineStr">
        <is>
          <t>Surekha: write 2-page '100-day framework for IT/data/innovation leaders' teaser</t>
        </is>
      </c>
      <c r="D281" s="18" t="inlineStr">
        <is>
          <t>Generic enough for reuse with future new-leader prospects. Specific enough to land with her.</t>
        </is>
      </c>
      <c r="E281" s="31" t="inlineStr">
        <is>
          <t>P0</t>
        </is>
      </c>
      <c r="F281" s="39" t="inlineStr">
        <is>
          <t>2. CLAUDE DOES IT</t>
        </is>
      </c>
      <c r="G281" s="18" t="inlineStr">
        <is>
          <t>Anand</t>
        </is>
      </c>
      <c r="H281" s="18" t="inlineStr"/>
      <c r="I281" s="45" t="inlineStr">
        <is>
          <t>Claude (draft) + you</t>
        </is>
      </c>
      <c r="J281" s="52" t="inlineStr">
        <is>
          <t>$0</t>
        </is>
      </c>
      <c r="K281" s="82" t="inlineStr">
        <is>
          <t>Pre-Resign</t>
        </is>
      </c>
      <c r="L281" s="44" t="inlineStr">
        <is>
          <t>In progress</t>
        </is>
      </c>
      <c r="M281" s="18" t="inlineStr">
        <is>
          <t>Merged #2989: Morgan Street first-100-days two-page teaser draft created; needs Anand review before Done.
Merge evidence: #2989 merged 2026-06-04, commit 380d959dd86f25926c711507c8ee3a71f23d06ad.</t>
        </is>
      </c>
    </row>
    <row r="282">
      <c r="A282" s="18" t="inlineStr">
        <is>
          <t>T274</t>
        </is>
      </c>
      <c r="B282" s="18" t="inlineStr">
        <is>
          <t>Sales</t>
        </is>
      </c>
      <c r="C282" s="18" t="inlineStr">
        <is>
          <t>Surekha: research Morgan Street Holdings — sector, revenue, recent news, board pressure</t>
        </is>
      </c>
      <c r="D282" s="18" t="inlineStr">
        <is>
          <t>Tailor the 100-day pitch to their specific business context. Don't go generic.</t>
        </is>
      </c>
      <c r="E282" s="31" t="inlineStr">
        <is>
          <t>P0</t>
        </is>
      </c>
      <c r="F282" s="39" t="inlineStr">
        <is>
          <t>2. CLAUDE DOES IT</t>
        </is>
      </c>
      <c r="G282" s="18" t="inlineStr">
        <is>
          <t>Anand</t>
        </is>
      </c>
      <c r="H282" s="18" t="inlineStr"/>
      <c r="I282" s="45" t="inlineStr">
        <is>
          <t>Claude (research)</t>
        </is>
      </c>
      <c r="J282" s="52" t="inlineStr">
        <is>
          <t>$0</t>
        </is>
      </c>
      <c r="K282" s="83" t="inlineStr">
        <is>
          <t>Post-Resign</t>
        </is>
      </c>
      <c r="L282" s="44" t="inlineStr">
        <is>
          <t>In progress</t>
        </is>
      </c>
      <c r="M282" s="18" t="inlineStr">
        <is>
          <t>Merged #2988: Morgan Street public research packet added; needs founder/client review before Done.
Merge evidence: #2988 merged 2026-06-04, commit a3db85c024ac32732bc8c22946177c68435274d8.</t>
        </is>
      </c>
    </row>
    <row r="283">
      <c r="A283" s="18" t="inlineStr">
        <is>
          <t>T275</t>
        </is>
      </c>
      <c r="B283" s="18" t="inlineStr">
        <is>
          <t>Sales</t>
        </is>
      </c>
      <c r="C283" s="18" t="inlineStr">
        <is>
          <t>Surekha: prep candidate Move catalog (3-5 specific Moves for her function)</t>
        </is>
      </c>
      <c r="D283" s="18" t="inlineStr">
        <is>
          <t>After discovery call, walk into working session with 'here are 3-5 specific Moves we'd pilot.'</t>
        </is>
      </c>
      <c r="E283" s="31" t="inlineStr">
        <is>
          <t>P0</t>
        </is>
      </c>
      <c r="F283" s="39" t="inlineStr">
        <is>
          <t>2. CLAUDE DOES IT</t>
        </is>
      </c>
      <c r="G283" s="18" t="inlineStr">
        <is>
          <t>Anand</t>
        </is>
      </c>
      <c r="H283" s="18" t="inlineStr"/>
      <c r="I283" s="45" t="inlineStr">
        <is>
          <t>Claude (draft) + you</t>
        </is>
      </c>
      <c r="J283" s="52" t="inlineStr">
        <is>
          <t>$0</t>
        </is>
      </c>
      <c r="K283" s="82" t="inlineStr">
        <is>
          <t>Pre-Resign</t>
        </is>
      </c>
      <c r="L283" s="44" t="inlineStr">
        <is>
          <t>In progress</t>
        </is>
      </c>
      <c r="M283" s="18" t="inlineStr">
        <is>
          <t>Merged #2989: Morgan Street candidate Move catalog drafted; needs discovery/client context before Done.
Merge evidence: #2989 merged 2026-06-04, commit 380d959dd86f25926c711507c8ee3a71f23d06ad.</t>
        </is>
      </c>
    </row>
    <row r="284">
      <c r="A284" s="18" t="inlineStr">
        <is>
          <t>T276</t>
        </is>
      </c>
      <c r="B284" s="18" t="inlineStr">
        <is>
          <t>Sales</t>
        </is>
      </c>
      <c r="C284" s="18" t="inlineStr">
        <is>
          <t>Surekha: build customized pilot SOW with her name on success criteria</t>
        </is>
      </c>
      <c r="D284" s="18" t="inlineStr">
        <is>
          <t>Day-30, day-60, day-90 milestones tied to HER first 100 days. Makes saying yes easy.</t>
        </is>
      </c>
      <c r="E284" s="31" t="inlineStr">
        <is>
          <t>P0</t>
        </is>
      </c>
      <c r="F284" s="39" t="inlineStr">
        <is>
          <t>2. CLAUDE DOES IT</t>
        </is>
      </c>
      <c r="G284" s="18" t="inlineStr">
        <is>
          <t>Anand</t>
        </is>
      </c>
      <c r="H284" s="18" t="inlineStr"/>
      <c r="I284" s="45" t="inlineStr">
        <is>
          <t>Claude (draft) + lawyer</t>
        </is>
      </c>
      <c r="J284" s="52" t="inlineStr">
        <is>
          <t>$0</t>
        </is>
      </c>
      <c r="K284" s="83" t="inlineStr">
        <is>
          <t>Post-Resign</t>
        </is>
      </c>
      <c r="L284" s="44" t="inlineStr">
        <is>
          <t>In progress</t>
        </is>
      </c>
      <c r="M284" s="18" t="inlineStr">
        <is>
          <t>2026-06-04: Merged #2994 (a296cab): Surekha pilot SOW starter drafted with named success criteria; remains open until founder/counsel review and finalized success criteria.</t>
        </is>
      </c>
    </row>
    <row r="285">
      <c r="A285" s="18" t="inlineStr">
        <is>
          <t>T278</t>
        </is>
      </c>
      <c r="B285" s="18" t="inlineStr">
        <is>
          <t>Sales</t>
        </is>
      </c>
      <c r="C285" s="18" t="inlineStr">
        <is>
          <t>KK: research Delta's recent product/dev investments, vendor mix, modernization status</t>
        </is>
      </c>
      <c r="D285" s="18" t="inlineStr">
        <is>
          <t>$3B IT shop — public filings + tech press will surface a lot. Inform Play A vs Play B vs Play C selection.</t>
        </is>
      </c>
      <c r="E285" s="31" t="inlineStr">
        <is>
          <t>P0</t>
        </is>
      </c>
      <c r="F285" s="39" t="inlineStr">
        <is>
          <t>2. CLAUDE DOES IT</t>
        </is>
      </c>
      <c r="G285" s="18" t="inlineStr">
        <is>
          <t>Anand</t>
        </is>
      </c>
      <c r="H285" s="18" t="inlineStr"/>
      <c r="I285" s="45" t="inlineStr">
        <is>
          <t>Claude (research)</t>
        </is>
      </c>
      <c r="J285" s="52" t="inlineStr">
        <is>
          <t>$0</t>
        </is>
      </c>
      <c r="K285" s="82" t="inlineStr">
        <is>
          <t>Pre-Resign</t>
        </is>
      </c>
      <c r="L285" s="44" t="inlineStr">
        <is>
          <t>In progress</t>
        </is>
      </c>
      <c r="M285" s="18" t="inlineStr">
        <is>
          <t>Merged #2988: Delta product/dev investment and modernization research packet added; needs founder/client review before Done.
Merge evidence: #2988 merged 2026-06-04, commit a3db85c024ac32732bc8c22946177c68435274d8.</t>
        </is>
      </c>
    </row>
    <row r="286">
      <c r="A286" s="18" t="inlineStr">
        <is>
          <t>T280</t>
        </is>
      </c>
      <c r="B286" s="18" t="inlineStr">
        <is>
          <t>Sales</t>
        </is>
      </c>
      <c r="C286" s="18" t="inlineStr">
        <is>
          <t>KK: design Lane A (CTO core) + Lane B (AI-dev measurement) pilot SOW</t>
        </is>
      </c>
      <c r="D286" s="18" t="inlineStr">
        <is>
          <t>Two-lane structure tests AbarVa's fit for AI-dev WITHOUT overpromising on methodology.</t>
        </is>
      </c>
      <c r="E286" s="31" t="inlineStr">
        <is>
          <t>P0</t>
        </is>
      </c>
      <c r="F286" s="39" t="inlineStr">
        <is>
          <t>2. CLAUDE DOES IT</t>
        </is>
      </c>
      <c r="G286" s="18" t="inlineStr">
        <is>
          <t>Anand</t>
        </is>
      </c>
      <c r="H286" s="18" t="inlineStr"/>
      <c r="I286" s="45" t="inlineStr">
        <is>
          <t>Claude (draft) + lawyer</t>
        </is>
      </c>
      <c r="J286" s="52" t="inlineStr">
        <is>
          <t>$0</t>
        </is>
      </c>
      <c r="K286" s="83" t="inlineStr">
        <is>
          <t>Post-Resign</t>
        </is>
      </c>
      <c r="L286" s="44" t="inlineStr">
        <is>
          <t>In progress</t>
        </is>
      </c>
      <c r="M286" s="18" t="inlineStr">
        <is>
          <t>Merged #2989: KK Lane A/Lane B SOW outline drafted with AI-dev measurement guardrails; needs counsel/founder/client review before Done.
Merge evidence: #2989 merged 2026-06-04, commit 380d959dd86f25926c711507c8ee3a71f23d06ad.</t>
        </is>
      </c>
    </row>
    <row r="287">
      <c r="A287" s="18" t="inlineStr">
        <is>
          <t>T285</t>
        </is>
      </c>
      <c r="B287" s="18" t="inlineStr">
        <is>
          <t>Sales</t>
        </is>
      </c>
      <c r="C287" s="18" t="inlineStr">
        <is>
          <t>PHS: Day 2-3 — Load PHS-style synthetic healthcare data into their tenant; customize Move catalog</t>
        </is>
      </c>
      <c r="D287" s="18" t="inlineStr">
        <is>
          <t>Show them THEIR view, not Apex/Meridian. Use existing fixtures scaled to PHS revenue/size.</t>
        </is>
      </c>
      <c r="E287" s="31" t="inlineStr">
        <is>
          <t>P0</t>
        </is>
      </c>
      <c r="F287" s="39" t="inlineStr">
        <is>
          <t>2. CLAUDE DOES IT</t>
        </is>
      </c>
      <c r="G287" s="18" t="inlineStr">
        <is>
          <t>Anand</t>
        </is>
      </c>
      <c r="H287" s="18" t="inlineStr"/>
      <c r="I287" s="45" t="inlineStr">
        <is>
          <t>Claude (code+data)</t>
        </is>
      </c>
      <c r="J287" s="52" t="inlineStr">
        <is>
          <t>$0</t>
        </is>
      </c>
      <c r="K287" s="83" t="inlineStr">
        <is>
          <t>Post-Resign</t>
        </is>
      </c>
      <c r="L287" s="44" t="inlineStr">
        <is>
          <t>In progress</t>
        </is>
      </c>
      <c r="M287" s="18" t="inlineStr">
        <is>
          <t>2026-06-04: PR #3000 opened for Sales execution proof kit: evidence log schema, founder approval checklist, outreach log, meeting notes template, and PHS / KK-Delta / Surekha-Morgan Street proof paths. Keep In progress until actual founder approval, sent/scheduled outreach, discovery notes, meeting proof, client evidence, SOW/legal progress, or clean no-go evidence exists. 2026-06-04: PR #3000 merged to main at 1a73dc45 with the Sales execution proof kit. Keep In progress until the row-specific founder/customer outreach, working-session, SOW, decision, or evidence artifact is actually completed.</t>
        </is>
      </c>
    </row>
    <row r="288">
      <c r="A288" s="18" t="inlineStr">
        <is>
          <t>T288</t>
        </is>
      </c>
      <c r="B288" s="18" t="inlineStr">
        <is>
          <t>Sales</t>
        </is>
      </c>
      <c r="C288" s="18" t="inlineStr">
        <is>
          <t>PHS: Day 5-7 — Draft pilot SOW tailored to PHS with success criteria + Source add-on</t>
        </is>
      </c>
      <c r="D288" s="18" t="inlineStr">
        <is>
          <t>Customized SOW, not template. Their success criteria, their KPIs.</t>
        </is>
      </c>
      <c r="E288" s="31" t="inlineStr">
        <is>
          <t>P0</t>
        </is>
      </c>
      <c r="F288" s="39" t="inlineStr">
        <is>
          <t>2. CLAUDE DOES IT</t>
        </is>
      </c>
      <c r="G288" s="18" t="inlineStr">
        <is>
          <t>Anand</t>
        </is>
      </c>
      <c r="H288" s="18" t="inlineStr"/>
      <c r="I288" s="45" t="inlineStr">
        <is>
          <t>Claude (draft) + you</t>
        </is>
      </c>
      <c r="J288" s="52" t="inlineStr">
        <is>
          <t>$0</t>
        </is>
      </c>
      <c r="K288" s="83" t="inlineStr">
        <is>
          <t>Post-Resign</t>
        </is>
      </c>
      <c r="L288" s="44" t="inlineStr">
        <is>
          <t>In progress</t>
        </is>
      </c>
      <c r="M288" s="18" t="inlineStr">
        <is>
          <t>2026-06-04: PR #3000 opened for Sales execution proof kit: evidence log schema, founder approval checklist, outreach log, meeting notes template, and PHS / KK-Delta / Surekha-Morgan Street proof paths. Keep In progress until actual founder approval, sent/scheduled outreach, discovery notes, meeting proof, client evidence, SOW/legal progress, or clean no-go evidence exists. 2026-06-04: PR #3000 merged to main at 1a73dc45 with the Sales execution proof kit. Keep In progress until the row-specific founder/customer outreach, working-session, SOW, decision, or evidence artifact is actually completed.</t>
        </is>
      </c>
    </row>
    <row r="289">
      <c r="A289" s="18" t="inlineStr">
        <is>
          <t>T290</t>
        </is>
      </c>
      <c r="B289" s="18" t="inlineStr">
        <is>
          <t>Sales</t>
        </is>
      </c>
      <c r="C289" s="18" t="inlineStr">
        <is>
          <t>PHS: Day 10-12 — Schedule decision meeting + pre-handle legal/procurement</t>
        </is>
      </c>
      <c r="D289" s="18" t="inlineStr">
        <is>
          <t>Bring SOC 2 status, insurance certs, architecture diagram. Reduce friction.</t>
        </is>
      </c>
      <c r="E289" s="31" t="inlineStr">
        <is>
          <t>P0</t>
        </is>
      </c>
      <c r="F289" s="39" t="inlineStr">
        <is>
          <t>2. CLAUDE DOES IT</t>
        </is>
      </c>
      <c r="G289" s="18" t="inlineStr">
        <is>
          <t>Anand</t>
        </is>
      </c>
      <c r="H289" s="18" t="inlineStr"/>
      <c r="I289" s="45" t="inlineStr">
        <is>
          <t>Claude (prep) + you</t>
        </is>
      </c>
      <c r="J289" s="52" t="inlineStr">
        <is>
          <t>$0</t>
        </is>
      </c>
      <c r="K289" s="83" t="inlineStr">
        <is>
          <t>Post-Resign</t>
        </is>
      </c>
      <c r="L289" s="44" t="inlineStr">
        <is>
          <t>In progress</t>
        </is>
      </c>
      <c r="M289" s="18" t="inlineStr">
        <is>
          <t>2026-06-04: PR #3000 opened for Sales execution proof kit: evidence log schema, founder approval checklist, outreach log, meeting notes template, and PHS / KK-Delta / Surekha-Morgan Street proof paths. Keep In progress until actual founder approval, sent/scheduled outreach, discovery notes, meeting proof, client evidence, SOW/legal progress, or clean no-go evidence exists. 2026-06-04: PR #3000 merged to main at 1a73dc45 with the Sales execution proof kit. Keep In progress until the row-specific founder/customer outreach, working-session, SOW, decision, or evidence artifact is actually completed.</t>
        </is>
      </c>
    </row>
    <row r="290">
      <c r="A290" s="18" t="inlineStr">
        <is>
          <t>T294</t>
        </is>
      </c>
      <c r="B290" s="18" t="inlineStr">
        <is>
          <t>Sales</t>
        </is>
      </c>
      <c r="C290" s="18" t="inlineStr">
        <is>
          <t>KK: Day 3-4 — Pivot or proceed: if no corpus, reposition AbarVa as governance/measurement layer</t>
        </is>
      </c>
      <c r="D290" s="18" t="inlineStr">
        <is>
          <t>Honest reframe: 'Copilot/Cursor own methodology. AbarVa is the layer ABOVE — what to do with it, measure it, govern it.'</t>
        </is>
      </c>
      <c r="E290" s="31" t="inlineStr">
        <is>
          <t>P0</t>
        </is>
      </c>
      <c r="F290" s="39" t="inlineStr">
        <is>
          <t>2. CLAUDE DOES IT</t>
        </is>
      </c>
      <c r="G290" s="18" t="inlineStr">
        <is>
          <t>Anand</t>
        </is>
      </c>
      <c r="H290" s="18" t="inlineStr"/>
      <c r="I290" s="45" t="inlineStr">
        <is>
          <t>Claude (deck) + you</t>
        </is>
      </c>
      <c r="J290" s="52" t="inlineStr">
        <is>
          <t>$0</t>
        </is>
      </c>
      <c r="K290" s="83" t="inlineStr">
        <is>
          <t>Post-Resign</t>
        </is>
      </c>
      <c r="L290" s="44" t="inlineStr">
        <is>
          <t>In progress</t>
        </is>
      </c>
      <c r="M290" s="18" t="inlineStr">
        <is>
          <t>2026-06-04: PR #3000 opened for Sales execution proof kit: evidence log schema, founder approval checklist, outreach log, meeting notes template, and PHS / KK-Delta / Surekha-Morgan Street proof paths. Keep In progress until actual founder approval, sent/scheduled outreach, discovery notes, meeting proof, client evidence, SOW/legal progress, or clean no-go evidence exists. 2026-06-04: PR #3000 merged to main at 1a73dc45 with the Sales execution proof kit. Keep In progress until the row-specific founder/customer outreach, working-session, SOW, decision, or evidence artifact is actually completed.</t>
        </is>
      </c>
    </row>
    <row r="291">
      <c r="A291" s="18" t="inlineStr">
        <is>
          <t>T296</t>
        </is>
      </c>
      <c r="B291" s="18" t="inlineStr">
        <is>
          <t>Sales</t>
        </is>
      </c>
      <c r="C291" s="18" t="inlineStr">
        <is>
          <t>KK: Day 5-7 — If green: draft Lane A + Lane B SOW. If red: define 'what would need to be true'</t>
        </is>
      </c>
      <c r="D291" s="18" t="inlineStr">
        <is>
          <t>Don't drag a non-fit. Clean go/no-go preserves relationship for future.</t>
        </is>
      </c>
      <c r="E291" s="31" t="inlineStr">
        <is>
          <t>P0</t>
        </is>
      </c>
      <c r="F291" s="39" t="inlineStr">
        <is>
          <t>2. CLAUDE DOES IT</t>
        </is>
      </c>
      <c r="G291" s="18" t="inlineStr">
        <is>
          <t>Anand</t>
        </is>
      </c>
      <c r="H291" s="18" t="inlineStr"/>
      <c r="I291" s="45" t="inlineStr">
        <is>
          <t>Claude (draft) + you</t>
        </is>
      </c>
      <c r="J291" s="52" t="inlineStr">
        <is>
          <t>$0</t>
        </is>
      </c>
      <c r="K291" s="82" t="inlineStr">
        <is>
          <t>Pre-Resign</t>
        </is>
      </c>
      <c r="L291" s="44" t="inlineStr">
        <is>
          <t>In progress</t>
        </is>
      </c>
      <c r="M291" s="18" t="inlineStr">
        <is>
          <t>2026-06-04: PR #3000 opened for Sales execution proof kit: evidence log schema, founder approval checklist, outreach log, meeting notes template, and PHS / KK-Delta / Surekha-Morgan Street proof paths. Keep In progress until actual founder approval, sent/scheduled outreach, discovery notes, meeting proof, client evidence, SOW/legal progress, or clean no-go evidence exists. 2026-06-04: PR #3000 merged to main at 1a73dc45 with the Sales execution proof kit. Keep In progress until the row-specific founder/customer outreach, working-session, SOW, decision, or evidence artifact is actually completed.</t>
        </is>
      </c>
    </row>
    <row r="292">
      <c r="A292" s="18" t="inlineStr">
        <is>
          <t>T269</t>
        </is>
      </c>
      <c r="B292" s="18" t="inlineStr">
        <is>
          <t>Sales</t>
        </is>
      </c>
      <c r="C292" s="18" t="inlineStr">
        <is>
          <t>Universal playbook: 'no AI leader ready' play — modernization OS + Source as wedge</t>
        </is>
      </c>
      <c r="D292" s="18" t="inlineStr">
        <is>
          <t>Codify multi-buyer pattern beyond Delta. Many F500 don't have dedicated AI leader.</t>
        </is>
      </c>
      <c r="E292" s="32" t="inlineStr">
        <is>
          <t>P1</t>
        </is>
      </c>
      <c r="F292" s="39" t="inlineStr">
        <is>
          <t>2. CLAUDE DOES IT</t>
        </is>
      </c>
      <c r="G292" s="18" t="inlineStr">
        <is>
          <t>Anand</t>
        </is>
      </c>
      <c r="H292" s="18" t="inlineStr"/>
      <c r="I292" s="45" t="inlineStr">
        <is>
          <t>Claude (draft) + you</t>
        </is>
      </c>
      <c r="J292" s="52" t="inlineStr">
        <is>
          <t>$0</t>
        </is>
      </c>
      <c r="K292" s="83" t="inlineStr">
        <is>
          <t>Post-Resign</t>
        </is>
      </c>
      <c r="L292" s="44" t="inlineStr">
        <is>
          <t>In progress</t>
        </is>
      </c>
      <c r="M292" s="18" t="inlineStr">
        <is>
          <t>2026-06-04: PR #3000 opened for Sales execution proof kit: evidence log schema, founder approval checklist, outreach log, meeting notes template, and PHS / KK-Delta / Surekha-Morgan Street proof paths. Keep In progress until actual founder approval, sent/scheduled outreach, discovery notes, meeting proof, client evidence, SOW/legal progress, or clean no-go evidence exists. 2026-06-04: PR #3000 merged to main at 1a73dc45 with the Sales execution proof kit. Keep In progress until the row-specific founder/customer outreach, working-session, SOW, decision, or evidence artifact is actually completed.</t>
        </is>
      </c>
    </row>
    <row r="293">
      <c r="A293" s="18" t="inlineStr">
        <is>
          <t>T277</t>
        </is>
      </c>
      <c r="B293" s="18" t="inlineStr">
        <is>
          <t>Sales</t>
        </is>
      </c>
      <c r="C293" s="18" t="inlineStr">
        <is>
          <t>Universal: codify 'new leader' play in sales playbook (highest-value archetype)</t>
        </is>
      </c>
      <c r="D293" s="18" t="inlineStr">
        <is>
          <t>Surekha-type prospects are AbarVa's strongest fit. Repeat the play with every new-CXO opportunity.</t>
        </is>
      </c>
      <c r="E293" s="32" t="inlineStr">
        <is>
          <t>P1</t>
        </is>
      </c>
      <c r="F293" s="39" t="inlineStr">
        <is>
          <t>2. CLAUDE DOES IT</t>
        </is>
      </c>
      <c r="G293" s="18" t="inlineStr">
        <is>
          <t>Anand</t>
        </is>
      </c>
      <c r="H293" s="18" t="inlineStr"/>
      <c r="I293" s="45" t="inlineStr">
        <is>
          <t>Claude (draft) + you</t>
        </is>
      </c>
      <c r="J293" s="52" t="inlineStr">
        <is>
          <t>$0</t>
        </is>
      </c>
      <c r="K293" s="83" t="inlineStr">
        <is>
          <t>Post-Resign</t>
        </is>
      </c>
      <c r="L293" s="44" t="inlineStr">
        <is>
          <t>In progress</t>
        </is>
      </c>
      <c r="M293" s="18" t="inlineStr">
        <is>
          <t>2026-06-04: PR #3000 opened for Sales execution proof kit: evidence log schema, founder approval checklist, outreach log, meeting notes template, and PHS / KK-Delta / Surekha-Morgan Street proof paths. Keep In progress until actual founder approval, sent/scheduled outreach, discovery notes, meeting proof, client evidence, SOW/legal progress, or clean no-go evidence exists. 2026-06-04: PR #3000 merged to main at 1a73dc45 with the Sales execution proof kit. Keep In progress until the row-specific founder/customer outreach, working-session, SOW, decision, or evidence artifact is actually completed.</t>
        </is>
      </c>
    </row>
    <row r="294">
      <c r="A294" s="18" t="inlineStr">
        <is>
          <t>T301</t>
        </is>
      </c>
      <c r="B294" s="18" t="inlineStr">
        <is>
          <t>Sales</t>
        </is>
      </c>
      <c r="C294" s="18" t="inlineStr">
        <is>
          <t>Surekha: Week 2-3 — Share 1 thoughtful value piece (industry insight or framework)</t>
        </is>
      </c>
      <c r="D294" s="18" t="inlineStr">
        <is>
          <t>Value, not sales. Builds your credibility before she's empowered to buy.</t>
        </is>
      </c>
      <c r="E294" s="32" t="inlineStr">
        <is>
          <t>P1</t>
        </is>
      </c>
      <c r="F294" s="39" t="inlineStr">
        <is>
          <t>2. CLAUDE DOES IT</t>
        </is>
      </c>
      <c r="G294" s="18" t="inlineStr">
        <is>
          <t>Anand</t>
        </is>
      </c>
      <c r="H294" s="18" t="inlineStr"/>
      <c r="I294" s="45" t="inlineStr">
        <is>
          <t>Claude (content) + you</t>
        </is>
      </c>
      <c r="J294" s="52" t="inlineStr">
        <is>
          <t>$0</t>
        </is>
      </c>
      <c r="K294" s="83" t="inlineStr">
        <is>
          <t>Post-Resign</t>
        </is>
      </c>
      <c r="L294" s="44" t="inlineStr">
        <is>
          <t>In progress</t>
        </is>
      </c>
      <c r="M294" s="18" t="inlineStr">
        <is>
          <t>2026-06-04: PR #3000 opened for Sales execution proof kit: evidence log schema, founder approval checklist, outreach log, meeting notes template, and PHS / KK-Delta / Surekha-Morgan Street proof paths. Keep In progress until actual founder approval, sent/scheduled outreach, discovery notes, meeting proof, client evidence, SOW/legal progress, or clean no-go evidence exists. 2026-06-04: PR #3000 merged to main at 1a73dc45 with the Sales execution proof kit. Keep In progress until the row-specific founder/customer outreach, working-session, SOW, decision, or evidence artifact is actually completed.</t>
        </is>
      </c>
    </row>
    <row r="295">
      <c r="A295" s="18" t="inlineStr">
        <is>
          <t>T302</t>
        </is>
      </c>
      <c r="B295" s="18" t="inlineStr">
        <is>
          <t>Sales</t>
        </is>
      </c>
      <c r="C295" s="18" t="inlineStr">
        <is>
          <t>Surekha: Week 4-5 — Reference a peer success or relevant case</t>
        </is>
      </c>
      <c r="D295" s="18" t="inlineStr">
        <is>
          <t>Keep warm. Don't over-touch.</t>
        </is>
      </c>
      <c r="E295" s="32" t="inlineStr">
        <is>
          <t>P1</t>
        </is>
      </c>
      <c r="F295" s="39" t="inlineStr">
        <is>
          <t>2. CLAUDE DOES IT</t>
        </is>
      </c>
      <c r="G295" s="18" t="inlineStr">
        <is>
          <t>Anand</t>
        </is>
      </c>
      <c r="H295" s="18" t="inlineStr"/>
      <c r="I295" s="45" t="inlineStr">
        <is>
          <t>Claude (content) + you</t>
        </is>
      </c>
      <c r="J295" s="52" t="inlineStr">
        <is>
          <t>$0</t>
        </is>
      </c>
      <c r="K295" s="83" t="inlineStr">
        <is>
          <t>Post-Resign</t>
        </is>
      </c>
      <c r="L295" s="44" t="inlineStr">
        <is>
          <t>In progress</t>
        </is>
      </c>
      <c r="M295" s="18" t="inlineStr">
        <is>
          <t>2026-06-04: PR #3000 opened for Sales execution proof kit: evidence log schema, founder approval checklist, outreach log, meeting notes template, and PHS / KK-Delta / Surekha-Morgan Street proof paths. Keep In progress until actual founder approval, sent/scheduled outreach, discovery notes, meeting proof, client evidence, SOW/legal progress, or clean no-go evidence exists. 2026-06-04: PR #3000 merged to main at 1a73dc45 with the Sales execution proof kit. Keep In progress until the row-specific founder/customer outreach, working-session, SOW, decision, or evidence artifact is actually completed.</t>
        </is>
      </c>
    </row>
    <row r="296">
      <c r="A296" s="18" t="inlineStr">
        <is>
          <t>T252</t>
        </is>
      </c>
      <c r="B296" s="18" t="inlineStr">
        <is>
          <t>Sales</t>
        </is>
      </c>
      <c r="C296" s="18" t="inlineStr">
        <is>
          <t>Build PHS business case (using Business Case sheet template)</t>
        </is>
      </c>
      <c r="D296" s="18" t="inlineStr">
        <is>
          <t>Per-prospect: profile, pain/outcome, ROI math, success criteria, CXO narrative. Use Business Case sheet.</t>
        </is>
      </c>
      <c r="E296" s="31" t="inlineStr">
        <is>
          <t>P0</t>
        </is>
      </c>
      <c r="F296" s="40" t="inlineStr">
        <is>
          <t>3. CLAUDE + YOU</t>
        </is>
      </c>
      <c r="G296" s="18" t="inlineStr">
        <is>
          <t>Anand</t>
        </is>
      </c>
      <c r="H296" s="18" t="inlineStr"/>
      <c r="I296" s="47" t="inlineStr">
        <is>
          <t>Claude + you</t>
        </is>
      </c>
      <c r="J296" s="52" t="inlineStr">
        <is>
          <t>$0</t>
        </is>
      </c>
      <c r="K296" s="82" t="inlineStr">
        <is>
          <t>Pre-Resign</t>
        </is>
      </c>
      <c r="L296" s="44" t="inlineStr">
        <is>
          <t>In progress</t>
        </is>
      </c>
      <c r="M296" s="18" t="inlineStr">
        <is>
          <t>Merged #2992: CXO memo, deck outline, business-case worksheet, joint CDAO+sourcing pitch, data/Move catalog plan, SOW draft, and legal/procurement checklist drafted with evidence caveats; founder/client/source evidence still required before Done.
Merge evidence: #2992 merged 2026-06-04, commit 582a8533d6f19a6fdc5b104866fa50b2f42b0fab.</t>
        </is>
      </c>
    </row>
    <row r="297">
      <c r="A297" s="18" t="inlineStr">
        <is>
          <t>T255</t>
        </is>
      </c>
      <c r="B297" s="18" t="inlineStr">
        <is>
          <t>Sales</t>
        </is>
      </c>
      <c r="C297" s="18" t="inlineStr">
        <is>
          <t>Build customized ROI worksheet for PHS using their actuals</t>
        </is>
      </c>
      <c r="D297" s="18" t="inlineStr">
        <is>
          <t>Take Business Case ROI section, plug in PHS revenue/denial-rate/budget. Defendable numbers, not generic.</t>
        </is>
      </c>
      <c r="E297" s="31" t="inlineStr">
        <is>
          <t>P0</t>
        </is>
      </c>
      <c r="F297" s="40" t="inlineStr">
        <is>
          <t>3. CLAUDE + YOU</t>
        </is>
      </c>
      <c r="G297" s="18" t="inlineStr">
        <is>
          <t>Anand</t>
        </is>
      </c>
      <c r="H297" s="18" t="inlineStr"/>
      <c r="I297" s="47" t="inlineStr">
        <is>
          <t>Claude + you</t>
        </is>
      </c>
      <c r="J297" s="52" t="inlineStr">
        <is>
          <t>$0</t>
        </is>
      </c>
      <c r="K297" s="82" t="inlineStr">
        <is>
          <t>Pre-Resign</t>
        </is>
      </c>
      <c r="L297" s="44" t="inlineStr">
        <is>
          <t>In progress</t>
        </is>
      </c>
      <c r="M297" s="18" t="inlineStr">
        <is>
          <t>Merged #2992: CXO memo, deck outline, business-case worksheet, joint CDAO+sourcing pitch, data/Move catalog plan, SOW draft, and legal/procurement checklist drafted with evidence caveats; founder/client/source evidence still required before Done.
Merge evidence: #2992 merged 2026-06-04, commit 582a8533d6f19a6fdc5b104866fa50b2f42b0fab.</t>
        </is>
      </c>
    </row>
    <row r="298">
      <c r="A298" s="18" t="inlineStr">
        <is>
          <t>T258</t>
        </is>
      </c>
      <c r="B298" s="18" t="inlineStr">
        <is>
          <t>Sales</t>
        </is>
      </c>
      <c r="C298" s="18" t="inlineStr">
        <is>
          <t>Build the same business case for 2 backup prospects (don't bet on one client)</t>
        </is>
      </c>
      <c r="D298" s="18" t="inlineStr">
        <is>
          <t>If PHS slips, you need parallel pipeline. Same template, different prospects.</t>
        </is>
      </c>
      <c r="E298" s="32" t="inlineStr">
        <is>
          <t>P1</t>
        </is>
      </c>
      <c r="F298" s="40" t="inlineStr">
        <is>
          <t>3. CLAUDE + YOU</t>
        </is>
      </c>
      <c r="G298" s="18" t="inlineStr">
        <is>
          <t>Anand</t>
        </is>
      </c>
      <c r="H298" s="18" t="inlineStr"/>
      <c r="I298" s="47" t="inlineStr">
        <is>
          <t>Claude + you</t>
        </is>
      </c>
      <c r="J298" s="52" t="inlineStr">
        <is>
          <t>$0</t>
        </is>
      </c>
      <c r="K298" s="82" t="inlineStr">
        <is>
          <t>Pre-Resign</t>
        </is>
      </c>
      <c r="L298" s="44" t="inlineStr">
        <is>
          <t>In progress</t>
        </is>
      </c>
      <c r="M298" s="18" t="inlineStr">
        <is>
          <t>2026-06-04: PR #3000 opened for Sales execution proof kit: evidence log schema, founder approval checklist, outreach log, meeting notes template, and PHS / KK-Delta / Surekha-Morgan Street proof paths. Keep In progress until actual founder approval, sent/scheduled outreach, discovery notes, meeting proof, client evidence, SOW/legal progress, or clean no-go evidence exists. 2026-06-04: PR #3000 merged to main at 1a73dc45 with the Sales execution proof kit. Keep In progress until the row-specific founder/customer outreach, working-session, SOW, decision, or evidence artifact is actually completed.</t>
        </is>
      </c>
    </row>
    <row r="299">
      <c r="A299" s="18" t="inlineStr">
        <is>
          <t>T264</t>
        </is>
      </c>
      <c r="B299" s="18" t="inlineStr">
        <is>
          <t>Sales</t>
        </is>
      </c>
      <c r="C299" s="18" t="inlineStr">
        <is>
          <t>PHS: design joint pitch (CDAO + IT sourcing colleague) for shared CFO</t>
        </is>
      </c>
      <c r="D299" s="18" t="inlineStr">
        <is>
          <t>Combined budget easier than separate. Both leaders win.</t>
        </is>
      </c>
      <c r="E299" s="32" t="inlineStr">
        <is>
          <t>P1</t>
        </is>
      </c>
      <c r="F299" s="40" t="inlineStr">
        <is>
          <t>3. CLAUDE + YOU</t>
        </is>
      </c>
      <c r="G299" s="18" t="inlineStr">
        <is>
          <t>Anand</t>
        </is>
      </c>
      <c r="H299" s="18" t="inlineStr"/>
      <c r="I299" s="47" t="inlineStr">
        <is>
          <t>Claude + you</t>
        </is>
      </c>
      <c r="J299" s="52" t="inlineStr">
        <is>
          <t>$0</t>
        </is>
      </c>
      <c r="K299" s="83" t="inlineStr">
        <is>
          <t>Post-Resign</t>
        </is>
      </c>
      <c r="L299" s="44" t="inlineStr">
        <is>
          <t>In progress</t>
        </is>
      </c>
      <c r="M299" s="18" t="inlineStr">
        <is>
          <t>2026-06-04: PR #3000 opened for Sales execution proof kit: evidence log schema, founder approval checklist, outreach log, meeting notes template, and PHS / KK-Delta / Surekha-Morgan Street proof paths. Keep In progress until actual founder approval, sent/scheduled outreach, discovery notes, meeting proof, client evidence, SOW/legal progress, or clean no-go evidence exists. 2026-06-04: PR #3000 merged to main at 1a73dc45 with the Sales execution proof kit. Keep In progress until the row-specific founder/customer outreach, working-session, SOW, decision, or evidence artifact is actually completed.</t>
        </is>
      </c>
    </row>
    <row r="300">
      <c r="A300" s="18" t="inlineStr">
        <is>
          <t>T063</t>
        </is>
      </c>
      <c r="B300" s="18" t="inlineStr">
        <is>
          <t>Sales</t>
        </is>
      </c>
      <c r="C300" s="18" t="inlineStr">
        <is>
          <t>Identify and rank top 3 pilot candidates</t>
        </is>
      </c>
      <c r="D300" s="18" t="inlineStr">
        <is>
          <t>Who are you actually talking to? Apex/Meridian/FirstCapital or real F500s?</t>
        </is>
      </c>
      <c r="E300" s="31" t="inlineStr">
        <is>
          <t>P0</t>
        </is>
      </c>
      <c r="F300" s="42" t="inlineStr">
        <is>
          <t>5. EXTERNAL</t>
        </is>
      </c>
      <c r="G300" s="18" t="inlineStr">
        <is>
          <t>Anand</t>
        </is>
      </c>
      <c r="H300" s="18" t="inlineStr"/>
      <c r="I300" s="48" t="inlineStr">
        <is>
          <t>You only</t>
        </is>
      </c>
      <c r="J300" s="52" t="inlineStr">
        <is>
          <t>$0</t>
        </is>
      </c>
      <c r="K300" s="82" t="inlineStr">
        <is>
          <t>Pre-Resign</t>
        </is>
      </c>
      <c r="L300" s="44" t="inlineStr">
        <is>
          <t>In progress</t>
        </is>
      </c>
      <c r="M300" s="18" t="inlineStr">
        <is>
          <t>2026-06-04: PR #3000 opened for Sales execution proof kit: evidence log schema, founder approval checklist, outreach log, meeting notes template, and PHS / KK-Delta / Surekha-Morgan Street proof paths. Keep In progress until actual founder approval, sent/scheduled outreach, discovery notes, meeting proof, client evidence, SOW/legal progress, or clean no-go evidence exists. 2026-06-04: PR #3000 merged to main at 1a73dc45 with the Sales execution proof kit. Keep In progress until the row-specific founder/customer outreach, working-session, SOW, decision, or evidence artifact is actually completed.</t>
        </is>
      </c>
    </row>
    <row r="301">
      <c r="A301" s="18" t="inlineStr">
        <is>
          <t>T254</t>
        </is>
      </c>
      <c r="B301" s="18" t="inlineStr">
        <is>
          <t>Sales</t>
        </is>
      </c>
      <c r="C301" s="18" t="inlineStr">
        <is>
          <t>Discovery call: validate CDAO budget authority + pain priority + AI strategy pressure</t>
        </is>
      </c>
      <c r="D301" s="18" t="inlineStr">
        <is>
          <t>30-min call before any proposal. Confirm: 'Can you authorize $300k?' + 'What's your #1 board pressure on AI?' + 'Top 3 levers you care most about?'</t>
        </is>
      </c>
      <c r="E301" s="31" t="inlineStr">
        <is>
          <t>P0</t>
        </is>
      </c>
      <c r="F301" s="42" t="inlineStr">
        <is>
          <t>5. EXTERNAL</t>
        </is>
      </c>
      <c r="G301" s="18" t="inlineStr">
        <is>
          <t>Anand</t>
        </is>
      </c>
      <c r="H301" s="18" t="inlineStr"/>
      <c r="I301" s="48" t="inlineStr">
        <is>
          <t>You only</t>
        </is>
      </c>
      <c r="J301" s="52" t="inlineStr">
        <is>
          <t>$0</t>
        </is>
      </c>
      <c r="K301" s="83" t="inlineStr">
        <is>
          <t>Post-Resign</t>
        </is>
      </c>
      <c r="L301" s="44" t="inlineStr">
        <is>
          <t>In progress</t>
        </is>
      </c>
      <c r="M301" s="18" t="inlineStr">
        <is>
          <t>2026-06-04: PR #3000 opened for Sales execution proof kit: evidence log schema, founder approval checklist, outreach log, meeting notes template, and PHS / KK-Delta / Surekha-Morgan Street proof paths. Keep In progress until actual founder approval, sent/scheduled outreach, discovery notes, meeting proof, client evidence, SOW/legal progress, or clean no-go evidence exists. 2026-06-04: PR #3000 merged to main at 1a73dc45 with the Sales execution proof kit. Keep In progress until the row-specific founder/customer outreach, working-session, SOW, decision, or evidence artifact is actually completed.</t>
        </is>
      </c>
    </row>
    <row r="302">
      <c r="A302" s="18" t="inlineStr">
        <is>
          <t>T262</t>
        </is>
      </c>
      <c r="B302" s="18" t="inlineStr">
        <is>
          <t>Sales</t>
        </is>
      </c>
      <c r="C302" s="18" t="inlineStr">
        <is>
          <t>PHS: identify IT sourcing colleague + their wave details (what's outsourced, RFP timing)</t>
        </is>
      </c>
      <c r="D302" s="18" t="inlineStr">
        <is>
          <t>Source module wedge depends on this. Get name + current pain.</t>
        </is>
      </c>
      <c r="E302" s="31" t="inlineStr">
        <is>
          <t>P0</t>
        </is>
      </c>
      <c r="F302" s="42" t="inlineStr">
        <is>
          <t>5. EXTERNAL</t>
        </is>
      </c>
      <c r="G302" s="18" t="inlineStr">
        <is>
          <t>Anand</t>
        </is>
      </c>
      <c r="H302" s="18" t="inlineStr"/>
      <c r="I302" s="48" t="inlineStr">
        <is>
          <t>You only (LinkedIn + intro)</t>
        </is>
      </c>
      <c r="J302" s="52" t="inlineStr">
        <is>
          <t>$0</t>
        </is>
      </c>
      <c r="K302" s="82" t="inlineStr">
        <is>
          <t>Pre-Resign</t>
        </is>
      </c>
      <c r="L302" s="44" t="inlineStr">
        <is>
          <t>In progress</t>
        </is>
      </c>
      <c r="M302" s="18" t="inlineStr">
        <is>
          <t>Merged #2992: CXO memo, deck outline, business-case worksheet, joint CDAO+sourcing pitch, data/Move catalog plan, SOW draft, and legal/procurement checklist drafted with evidence caveats; founder/client/source evidence still required before Done.
Merge evidence: #2992 merged 2026-06-04, commit 582a8533d6f19a6fdc5b104866fa50b2f42b0fab.</t>
        </is>
      </c>
    </row>
    <row r="303">
      <c r="A303" s="18" t="inlineStr">
        <is>
          <t>T272</t>
        </is>
      </c>
      <c r="B303" s="18" t="inlineStr">
        <is>
          <t>Sales</t>
        </is>
      </c>
      <c r="C303" s="18" t="inlineStr">
        <is>
          <t>Surekha: NURTURE plan (she joins July 1) — light touches, NOT pitch</t>
        </is>
      </c>
      <c r="D303" s="18" t="inlineStr">
        <is>
          <t>She has demo access + joins July 1. Don't over-engage pre-start. Plan: LinkedIn connect now → 1-2 value-add messages over 5 weeks → activate July 7 sprint.</t>
        </is>
      </c>
      <c r="E303" s="31" t="inlineStr">
        <is>
          <t>P0</t>
        </is>
      </c>
      <c r="F303" s="42" t="inlineStr">
        <is>
          <t>5. EXTERNAL</t>
        </is>
      </c>
      <c r="G303" s="18" t="inlineStr">
        <is>
          <t>Anand</t>
        </is>
      </c>
      <c r="H303" s="18" t="inlineStr"/>
      <c r="I303" s="48" t="inlineStr">
        <is>
          <t>You only (outreach)</t>
        </is>
      </c>
      <c r="J303" s="52" t="inlineStr">
        <is>
          <t>$0</t>
        </is>
      </c>
      <c r="K303" s="83" t="inlineStr">
        <is>
          <t>Post-Resign</t>
        </is>
      </c>
      <c r="L303" s="44" t="inlineStr">
        <is>
          <t>In progress</t>
        </is>
      </c>
      <c r="M303" s="18" t="inlineStr">
        <is>
          <t>Sprint activates first week of July, not now
Merged #2990: ranked candidates, discovery scripts, close-sprint gates, and nurture timing drafted; external action evidence still required before Done.
Merge evidence: #2990 merged 2026-06-04, commit 136ce270b88d0eabae44bbf1052a403db95e7a59.</t>
        </is>
      </c>
    </row>
    <row r="304">
      <c r="A304" s="18" t="inlineStr">
        <is>
          <t>T279</t>
        </is>
      </c>
      <c r="B304" s="18" t="inlineStr">
        <is>
          <t>Sales</t>
        </is>
      </c>
      <c r="C304" s="18" t="inlineStr">
        <is>
          <t>KK: confirm whether 'methodology' or 'governance/measurement' is the primary itch</t>
        </is>
      </c>
      <c r="D304" s="18" t="inlineStr">
        <is>
          <t>Discovery call. Question: 'What's the bigger gap for you — knowing HOW to run AI-led dev, or knowing whether it's working?'</t>
        </is>
      </c>
      <c r="E304" s="31" t="inlineStr">
        <is>
          <t>P0</t>
        </is>
      </c>
      <c r="F304" s="42" t="inlineStr">
        <is>
          <t>5. EXTERNAL</t>
        </is>
      </c>
      <c r="G304" s="18" t="inlineStr">
        <is>
          <t>Anand</t>
        </is>
      </c>
      <c r="H304" s="18" t="inlineStr"/>
      <c r="I304" s="48" t="inlineStr">
        <is>
          <t>You only (discovery call)</t>
        </is>
      </c>
      <c r="J304" s="52" t="inlineStr">
        <is>
          <t>$0</t>
        </is>
      </c>
      <c r="K304" s="83" t="inlineStr">
        <is>
          <t>Post-Resign</t>
        </is>
      </c>
      <c r="L304" s="44" t="inlineStr">
        <is>
          <t>In progress</t>
        </is>
      </c>
      <c r="M304" s="18" t="inlineStr">
        <is>
          <t>Merged #2990: ranked candidates, discovery scripts, close-sprint gates, and nurture timing drafted; external action evidence still required before Done.
Merge evidence: #2990 merged 2026-06-04, commit 136ce270b88d0eabae44bbf1052a403db95e7a59.</t>
        </is>
      </c>
    </row>
    <row r="305">
      <c r="A305" s="18" t="inlineStr">
        <is>
          <t>T284</t>
        </is>
      </c>
      <c r="B305" s="18" t="inlineStr">
        <is>
          <t>Sales</t>
        </is>
      </c>
      <c r="C305" s="18" t="inlineStr">
        <is>
          <t>PHS: Day 1-2 — Usage debrief call with CDAO (what tried, what worked, what's missing)</t>
        </is>
      </c>
      <c r="D305" s="18" t="inlineStr">
        <is>
          <t>Close motion starts with understanding what their product experience has been. Don't re-pitch; build on what they've seen.</t>
        </is>
      </c>
      <c r="E305" s="31" t="inlineStr">
        <is>
          <t>P0</t>
        </is>
      </c>
      <c r="F305" s="42" t="inlineStr">
        <is>
          <t>5. EXTERNAL</t>
        </is>
      </c>
      <c r="G305" s="18" t="inlineStr">
        <is>
          <t>Anand</t>
        </is>
      </c>
      <c r="H305" s="18" t="inlineStr"/>
      <c r="I305" s="48" t="inlineStr">
        <is>
          <t>You only (discovery call)</t>
        </is>
      </c>
      <c r="J305" s="52" t="inlineStr">
        <is>
          <t>$0</t>
        </is>
      </c>
      <c r="K305" s="83" t="inlineStr">
        <is>
          <t>Post-Resign</t>
        </is>
      </c>
      <c r="L305" s="44" t="inlineStr">
        <is>
          <t>In progress</t>
        </is>
      </c>
      <c r="M305" s="18" t="inlineStr">
        <is>
          <t>2026-06-04: PR #3000 opened for Sales execution proof kit: evidence log schema, founder approval checklist, outreach log, meeting notes template, and PHS / KK-Delta / Surekha-Morgan Street proof paths. Keep In progress until actual founder approval, sent/scheduled outreach, discovery notes, meeting proof, client evidence, SOW/legal progress, or clean no-go evidence exists. 2026-06-04: PR #3000 merged to main at 1a73dc45 with the Sales execution proof kit. Keep In progress until the row-specific founder/customer outreach, working-session, SOW, decision, or evidence artifact is actually completed.</t>
        </is>
      </c>
    </row>
    <row r="306">
      <c r="A306" s="18" t="inlineStr">
        <is>
          <t>T286</t>
        </is>
      </c>
      <c r="B306" s="18" t="inlineStr">
        <is>
          <t>Sales</t>
        </is>
      </c>
      <c r="C306" s="18" t="inlineStr">
        <is>
          <t>PHS: Day 3-4 — Map full decision-maker chain (CDAO auth? CIO/CFO joint? Sourcing colleague?)</t>
        </is>
      </c>
      <c r="D306" s="18" t="inlineStr">
        <is>
          <t>Know who signs BEFORE the working session. Avoid surprise blockers.</t>
        </is>
      </c>
      <c r="E306" s="31" t="inlineStr">
        <is>
          <t>P0</t>
        </is>
      </c>
      <c r="F306" s="42" t="inlineStr">
        <is>
          <t>5. EXTERNAL</t>
        </is>
      </c>
      <c r="G306" s="18" t="inlineStr">
        <is>
          <t>Anand</t>
        </is>
      </c>
      <c r="H306" s="18" t="inlineStr"/>
      <c r="I306" s="48" t="inlineStr">
        <is>
          <t>You only (relationship mapping)</t>
        </is>
      </c>
      <c r="J306" s="52" t="inlineStr">
        <is>
          <t>$0</t>
        </is>
      </c>
      <c r="K306" s="82" t="inlineStr">
        <is>
          <t>Pre-Resign</t>
        </is>
      </c>
      <c r="L306" s="44" t="inlineStr">
        <is>
          <t>In progress</t>
        </is>
      </c>
      <c r="M306" s="18" t="inlineStr">
        <is>
          <t>2026-06-04: PR #3000 opened for Sales execution proof kit: evidence log schema, founder approval checklist, outreach log, meeting notes template, and PHS / KK-Delta / Surekha-Morgan Street proof paths. Keep In progress until actual founder approval, sent/scheduled outreach, discovery notes, meeting proof, client evidence, SOW/legal progress, or clean no-go evidence exists. 2026-06-04: PR #3000 merged to main at 1a73dc45 with the Sales execution proof kit. Keep In progress until the row-specific founder/customer outreach, working-session, SOW, decision, or evidence artifact is actually completed.</t>
        </is>
      </c>
    </row>
    <row r="307">
      <c r="A307" s="18" t="inlineStr">
        <is>
          <t>T287</t>
        </is>
      </c>
      <c r="B307" s="18" t="inlineStr">
        <is>
          <t>Sales</t>
        </is>
      </c>
      <c r="C307" s="18" t="inlineStr">
        <is>
          <t>PHS: Day 4-5 — Joint working session (90 min): 3 candidate Moves + value math + Azure+Databricks fit</t>
        </is>
      </c>
      <c r="D307" s="18" t="inlineStr">
        <is>
          <t>Use their data + their decision-makers in the room. Show what their first quarter looks like.</t>
        </is>
      </c>
      <c r="E307" s="31" t="inlineStr">
        <is>
          <t>P0</t>
        </is>
      </c>
      <c r="F307" s="42" t="inlineStr">
        <is>
          <t>5. EXTERNAL</t>
        </is>
      </c>
      <c r="G307" s="18" t="inlineStr">
        <is>
          <t>Anand</t>
        </is>
      </c>
      <c r="H307" s="18" t="inlineStr"/>
      <c r="I307" s="48" t="inlineStr">
        <is>
          <t>You only (working session)</t>
        </is>
      </c>
      <c r="J307" s="52" t="inlineStr">
        <is>
          <t>$0</t>
        </is>
      </c>
      <c r="K307" s="83" t="inlineStr">
        <is>
          <t>Post-Resign</t>
        </is>
      </c>
      <c r="L307" s="44" t="inlineStr">
        <is>
          <t>In progress</t>
        </is>
      </c>
      <c r="M307" s="18" t="inlineStr">
        <is>
          <t>2026-06-04: PR #3000 opened for Sales execution proof kit: evidence log schema, founder approval checklist, outreach log, meeting notes template, and PHS / KK-Delta / Surekha-Morgan Street proof paths. Keep In progress until actual founder approval, sent/scheduled outreach, discovery notes, meeting proof, client evidence, SOW/legal progress, or clean no-go evidence exists. 2026-06-04: PR #3000 merged to main at 1a73dc45 with the Sales execution proof kit. Keep In progress until the row-specific founder/customer outreach, working-session, SOW, decision, or evidence artifact is actually completed.</t>
        </is>
      </c>
    </row>
    <row r="308">
      <c r="A308" s="18" t="inlineStr">
        <is>
          <t>T289</t>
        </is>
      </c>
      <c r="B308" s="18" t="inlineStr">
        <is>
          <t>Sales</t>
        </is>
      </c>
      <c r="C308" s="18" t="inlineStr">
        <is>
          <t>PHS: Day 7-10 — Iterate SOW with CDAO + sourcing colleague + align commercial terms</t>
        </is>
      </c>
      <c r="D308" s="18" t="inlineStr">
        <is>
          <t>$300k pilot + $950k year-1 + Source $35-50k/mo. Founder time 10% at $425/hr.</t>
        </is>
      </c>
      <c r="E308" s="31" t="inlineStr">
        <is>
          <t>P0</t>
        </is>
      </c>
      <c r="F308" s="42" t="inlineStr">
        <is>
          <t>5. EXTERNAL</t>
        </is>
      </c>
      <c r="G308" s="18" t="inlineStr">
        <is>
          <t>Anand</t>
        </is>
      </c>
      <c r="H308" s="18" t="inlineStr"/>
      <c r="I308" s="48" t="inlineStr">
        <is>
          <t>You only (negotiation)</t>
        </is>
      </c>
      <c r="J308" s="52" t="inlineStr">
        <is>
          <t>$0</t>
        </is>
      </c>
      <c r="K308" s="83" t="inlineStr">
        <is>
          <t>Post-Resign</t>
        </is>
      </c>
      <c r="L308" s="44" t="inlineStr">
        <is>
          <t>In progress</t>
        </is>
      </c>
      <c r="M308" s="18" t="inlineStr">
        <is>
          <t>2026-06-04: PR #3000 opened for Sales execution proof kit: evidence log schema, founder approval checklist, outreach log, meeting notes template, and PHS / KK-Delta / Surekha-Morgan Street proof paths. Keep In progress until actual founder approval, sent/scheduled outreach, discovery notes, meeting proof, client evidence, SOW/legal progress, or clean no-go evidence exists. 2026-06-04: PR #3000 merged to main at 1a73dc45 with the Sales execution proof kit. Keep In progress until the row-specific founder/customer outreach, working-session, SOW, decision, or evidence artifact is actually completed.</t>
        </is>
      </c>
    </row>
    <row r="309">
      <c r="A309" s="18" t="inlineStr">
        <is>
          <t>T291</t>
        </is>
      </c>
      <c r="B309" s="18" t="inlineStr">
        <is>
          <t>Sales</t>
        </is>
      </c>
      <c r="C309" s="18" t="inlineStr">
        <is>
          <t>PHS: Day 12-14 — Verbal alignment + pilot SOW agreed in principle + kickoff scheduled</t>
        </is>
      </c>
      <c r="D309" s="18" t="inlineStr">
        <is>
          <t>Target outcome of the 2-week sprint. If not there by day 14, identify the blocker.</t>
        </is>
      </c>
      <c r="E309" s="31" t="inlineStr">
        <is>
          <t>P0</t>
        </is>
      </c>
      <c r="F309" s="42" t="inlineStr">
        <is>
          <t>5. EXTERNAL</t>
        </is>
      </c>
      <c r="G309" s="18" t="inlineStr">
        <is>
          <t>Anand</t>
        </is>
      </c>
      <c r="H309" s="18" t="inlineStr"/>
      <c r="I309" s="48" t="inlineStr">
        <is>
          <t>You only</t>
        </is>
      </c>
      <c r="J309" s="52" t="inlineStr">
        <is>
          <t>$0</t>
        </is>
      </c>
      <c r="K309" s="83" t="inlineStr">
        <is>
          <t>Post-Resign</t>
        </is>
      </c>
      <c r="L309" s="44" t="inlineStr">
        <is>
          <t>In progress</t>
        </is>
      </c>
      <c r="M309" s="18" t="inlineStr">
        <is>
          <t>2026-06-04: PR #3000 opened for Sales execution proof kit: evidence log schema, founder approval checklist, outreach log, meeting notes template, and PHS / KK-Delta / Surekha-Morgan Street proof paths. Keep In progress until actual founder approval, sent/scheduled outreach, discovery notes, meeting proof, client evidence, SOW/legal progress, or clean no-go evidence exists. 2026-06-04: PR #3000 merged to main at 1a73dc45 with the Sales execution proof kit. Keep In progress until the row-specific founder/customer outreach, working-session, SOW, decision, or evidence artifact is actually completed.</t>
        </is>
      </c>
    </row>
    <row r="310">
      <c r="A310" s="18" t="inlineStr">
        <is>
          <t>T292</t>
        </is>
      </c>
      <c r="B310" s="18" t="inlineStr">
        <is>
          <t>Sales</t>
        </is>
      </c>
      <c r="C310" s="18" t="inlineStr">
        <is>
          <t>KK: Day 1-2 — Usage debrief with KK + team (what tried, did it land for AI-led product dev?)</t>
        </is>
      </c>
      <c r="D310" s="18" t="inlineStr">
        <is>
          <t>Critical: did the product fit their intent? Their answer drives the rest of the sprint.</t>
        </is>
      </c>
      <c r="E310" s="31" t="inlineStr">
        <is>
          <t>P0</t>
        </is>
      </c>
      <c r="F310" s="42" t="inlineStr">
        <is>
          <t>5. EXTERNAL</t>
        </is>
      </c>
      <c r="G310" s="18" t="inlineStr">
        <is>
          <t>Anand</t>
        </is>
      </c>
      <c r="H310" s="18" t="inlineStr"/>
      <c r="I310" s="48" t="inlineStr">
        <is>
          <t>You only (discovery call)</t>
        </is>
      </c>
      <c r="J310" s="52" t="inlineStr">
        <is>
          <t>$0</t>
        </is>
      </c>
      <c r="K310" s="83" t="inlineStr">
        <is>
          <t>Post-Resign</t>
        </is>
      </c>
      <c r="L310" s="44" t="inlineStr">
        <is>
          <t>In progress</t>
        </is>
      </c>
      <c r="M310" s="18" t="inlineStr">
        <is>
          <t>2026-06-04: PR #3000 opened for Sales execution proof kit: evidence log schema, founder approval checklist, outreach log, meeting notes template, and PHS / KK-Delta / Surekha-Morgan Street proof paths. Keep In progress until actual founder approval, sent/scheduled outreach, discovery notes, meeting proof, client evidence, SOW/legal progress, or clean no-go evidence exists. 2026-06-04: PR #3000 merged to main at 1a73dc45 with the Sales execution proof kit. Keep In progress until the row-specific founder/customer outreach, working-session, SOW, decision, or evidence artifact is actually completed.</t>
        </is>
      </c>
    </row>
    <row r="311">
      <c r="A311" s="18" t="inlineStr">
        <is>
          <t>T293</t>
        </is>
      </c>
      <c r="B311" s="18" t="inlineStr">
        <is>
          <t>Sales</t>
        </is>
      </c>
      <c r="C311" s="18" t="inlineStr">
        <is>
          <t>KK: Day 2-3 — STRATEGIC DECISION: build Software Delivery corpus wave? (drives positioning)</t>
        </is>
      </c>
      <c r="D311" s="18" t="inlineStr">
        <is>
          <t>MUST decide by day 2-3. Yes = pitch full fit. No = pivot to Play A (governance/measurement) or Play C (Source wedge).</t>
        </is>
      </c>
      <c r="E311" s="31" t="inlineStr">
        <is>
          <t>P0</t>
        </is>
      </c>
      <c r="F311" s="42" t="inlineStr">
        <is>
          <t>5. EXTERNAL</t>
        </is>
      </c>
      <c r="G311" s="18" t="inlineStr">
        <is>
          <t>Anand</t>
        </is>
      </c>
      <c r="H311" s="18" t="inlineStr"/>
      <c r="I311" s="48" t="inlineStr">
        <is>
          <t>You only (strategic call)</t>
        </is>
      </c>
      <c r="J311" s="52" t="inlineStr">
        <is>
          <t>$0</t>
        </is>
      </c>
      <c r="K311" s="82" t="inlineStr">
        <is>
          <t>Pre-Resign</t>
        </is>
      </c>
      <c r="L311" s="44" t="inlineStr">
        <is>
          <t>In progress</t>
        </is>
      </c>
      <c r="M311" s="18" t="inlineStr">
        <is>
          <t>2026-06-04: PR #3000 opened for Sales execution proof kit: evidence log schema, founder approval checklist, outreach log, meeting notes template, and PHS / KK-Delta / Surekha-Morgan Street proof paths. Keep In progress until actual founder approval, sent/scheduled outreach, discovery notes, meeting proof, client evidence, SOW/legal progress, or clean no-go evidence exists. 2026-06-04: PR #3000 merged to main at 1a73dc45 with the Sales execution proof kit. Keep In progress until the row-specific founder/customer outreach, working-session, SOW, decision, or evidence artifact is actually completed.</t>
        </is>
      </c>
    </row>
    <row r="312">
      <c r="A312" s="18" t="inlineStr">
        <is>
          <t>T295</t>
        </is>
      </c>
      <c r="B312" s="18" t="inlineStr">
        <is>
          <t>Sales</t>
        </is>
      </c>
      <c r="C312" s="18" t="inlineStr">
        <is>
          <t>KK: Day 4-5 — Joint working session — pitch Play A; confirm methodology vs measurement itch</t>
        </is>
      </c>
      <c r="D312" s="18" t="inlineStr">
        <is>
          <t>If 'methodology' is primary itch and AbarVa can't scratch it → go/no-go decision becomes clear.</t>
        </is>
      </c>
      <c r="E312" s="31" t="inlineStr">
        <is>
          <t>P0</t>
        </is>
      </c>
      <c r="F312" s="42" t="inlineStr">
        <is>
          <t>5. EXTERNAL</t>
        </is>
      </c>
      <c r="G312" s="18" t="inlineStr">
        <is>
          <t>Anand</t>
        </is>
      </c>
      <c r="H312" s="18" t="inlineStr"/>
      <c r="I312" s="48" t="inlineStr">
        <is>
          <t>You only (working session)</t>
        </is>
      </c>
      <c r="J312" s="52" t="inlineStr">
        <is>
          <t>$0</t>
        </is>
      </c>
      <c r="K312" s="83" t="inlineStr">
        <is>
          <t>Post-Resign</t>
        </is>
      </c>
      <c r="L312" s="44" t="inlineStr">
        <is>
          <t>In progress</t>
        </is>
      </c>
      <c r="M312" s="18" t="inlineStr">
        <is>
          <t>2026-06-04: PR #3000 opened for Sales execution proof kit: evidence log schema, founder approval checklist, outreach log, meeting notes template, and PHS / KK-Delta / Surekha-Morgan Street proof paths. Keep In progress until actual founder approval, sent/scheduled outreach, discovery notes, meeting proof, client evidence, SOW/legal progress, or clean no-go evidence exists. 2026-06-04: PR #3000 merged to main at 1a73dc45 with the Sales execution proof kit. Keep In progress until the row-specific founder/customer outreach, working-session, SOW, decision, or evidence artifact is actually completed.</t>
        </is>
      </c>
    </row>
    <row r="313">
      <c r="A313" s="18" t="inlineStr">
        <is>
          <t>T297</t>
        </is>
      </c>
      <c r="B313" s="18" t="inlineStr">
        <is>
          <t>Sales</t>
        </is>
      </c>
      <c r="C313" s="18" t="inlineStr">
        <is>
          <t>KK: Day 7-10 — Iterate SOW with Delta-specific value levers ($3B IT, $100s of millions app dev)</t>
        </is>
      </c>
      <c r="D313" s="18" t="inlineStr">
        <is>
          <t>Validate value with real Delta numbers. IMS contract data. AWS modernization scope.</t>
        </is>
      </c>
      <c r="E313" s="31" t="inlineStr">
        <is>
          <t>P0</t>
        </is>
      </c>
      <c r="F313" s="42" t="inlineStr">
        <is>
          <t>5. EXTERNAL</t>
        </is>
      </c>
      <c r="G313" s="18" t="inlineStr">
        <is>
          <t>Anand</t>
        </is>
      </c>
      <c r="H313" s="18" t="inlineStr"/>
      <c r="I313" s="48" t="inlineStr">
        <is>
          <t>You only (negotiation)</t>
        </is>
      </c>
      <c r="J313" s="52" t="inlineStr">
        <is>
          <t>$0</t>
        </is>
      </c>
      <c r="K313" s="83" t="inlineStr">
        <is>
          <t>Post-Resign</t>
        </is>
      </c>
      <c r="L313" s="44" t="inlineStr">
        <is>
          <t>In progress</t>
        </is>
      </c>
      <c r="M313" s="18" t="inlineStr">
        <is>
          <t>2026-06-04: PR #3000 opened for Sales execution proof kit: evidence log schema, founder approval checklist, outreach log, meeting notes template, and PHS / KK-Delta / Surekha-Morgan Street proof paths. Keep In progress until actual founder approval, sent/scheduled outreach, discovery notes, meeting proof, client evidence, SOW/legal progress, or clean no-go evidence exists. 2026-06-04: PR #3000 merged to main at 1a73dc45 with the Sales execution proof kit. Keep In progress until the row-specific founder/customer outreach, working-session, SOW, decision, or evidence artifact is actually completed.</t>
        </is>
      </c>
    </row>
    <row r="314">
      <c r="A314" s="18" t="inlineStr">
        <is>
          <t>T298</t>
        </is>
      </c>
      <c r="B314" s="18" t="inlineStr">
        <is>
          <t>Sales</t>
        </is>
      </c>
      <c r="C314" s="18" t="inlineStr">
        <is>
          <t>KK: Day 10-12 — Schedule decision meeting OR document 'what would need to be true'</t>
        </is>
      </c>
      <c r="D314" s="18" t="inlineStr">
        <is>
          <t>Two clean outcomes possible: alignment, or honest no-go with conditions for future revisit.</t>
        </is>
      </c>
      <c r="E314" s="31" t="inlineStr">
        <is>
          <t>P0</t>
        </is>
      </c>
      <c r="F314" s="42" t="inlineStr">
        <is>
          <t>5. EXTERNAL</t>
        </is>
      </c>
      <c r="G314" s="18" t="inlineStr">
        <is>
          <t>Anand</t>
        </is>
      </c>
      <c r="H314" s="18" t="inlineStr"/>
      <c r="I314" s="48" t="inlineStr">
        <is>
          <t>You only</t>
        </is>
      </c>
      <c r="J314" s="52" t="inlineStr">
        <is>
          <t>$0</t>
        </is>
      </c>
      <c r="K314" s="83" t="inlineStr">
        <is>
          <t>Post-Resign</t>
        </is>
      </c>
      <c r="L314" s="44" t="inlineStr">
        <is>
          <t>In progress</t>
        </is>
      </c>
      <c r="M314" s="18" t="inlineStr">
        <is>
          <t>2026-06-04: PR #3000 opened for Sales execution proof kit: evidence log schema, founder approval checklist, outreach log, meeting notes template, and PHS / KK-Delta / Surekha-Morgan Street proof paths. Keep In progress until actual founder approval, sent/scheduled outreach, discovery notes, meeting proof, client evidence, SOW/legal progress, or clean no-go evidence exists. 2026-06-04: PR #3000 merged to main at 1a73dc45 with the Sales execution proof kit. Keep In progress until the row-specific founder/customer outreach, working-session, SOW, decision, or evidence artifact is actually completed.</t>
        </is>
      </c>
    </row>
    <row r="315">
      <c r="A315" s="18" t="inlineStr">
        <is>
          <t>T299</t>
        </is>
      </c>
      <c r="B315" s="18" t="inlineStr">
        <is>
          <t>Sales</t>
        </is>
      </c>
      <c r="C315" s="18" t="inlineStr">
        <is>
          <t>KK: Day 12-14 — Outcome: signed alignment or clean no-go (don't drag if not fit)</t>
        </is>
      </c>
      <c r="D315" s="18" t="inlineStr">
        <is>
          <t>Discipline. KK either closes or moves to nurture. 2 weeks max before reassessing investment.</t>
        </is>
      </c>
      <c r="E315" s="31" t="inlineStr">
        <is>
          <t>P0</t>
        </is>
      </c>
      <c r="F315" s="42" t="inlineStr">
        <is>
          <t>5. EXTERNAL</t>
        </is>
      </c>
      <c r="G315" s="18" t="inlineStr">
        <is>
          <t>Anand</t>
        </is>
      </c>
      <c r="H315" s="18" t="inlineStr"/>
      <c r="I315" s="48" t="inlineStr">
        <is>
          <t>You only</t>
        </is>
      </c>
      <c r="J315" s="52" t="inlineStr">
        <is>
          <t>$0</t>
        </is>
      </c>
      <c r="K315" s="83" t="inlineStr">
        <is>
          <t>Post-Resign</t>
        </is>
      </c>
      <c r="L315" s="44" t="inlineStr">
        <is>
          <t>In progress</t>
        </is>
      </c>
      <c r="M315" s="18" t="inlineStr">
        <is>
          <t>2026-06-04: PR #3000 opened for Sales execution proof kit: evidence log schema, founder approval checklist, outreach log, meeting notes template, and PHS / KK-Delta / Surekha-Morgan Street proof paths. Keep In progress until actual founder approval, sent/scheduled outreach, discovery notes, meeting proof, client evidence, SOW/legal progress, or clean no-go evidence exists. 2026-06-04: PR #3000 merged to main at 1a73dc45 with the Sales execution proof kit. Keep In progress until the row-specific founder/customer outreach, working-session, SOW, decision, or evidence artifact is actually completed.</t>
        </is>
      </c>
    </row>
    <row r="316">
      <c r="A316" s="18" t="inlineStr">
        <is>
          <t>T300</t>
        </is>
      </c>
      <c r="B316" s="18" t="inlineStr">
        <is>
          <t>Sales</t>
        </is>
      </c>
      <c r="C316" s="18" t="inlineStr">
        <is>
          <t>Surekha: Week 1 — LinkedIn connect with thoughtful note about her new role (NOT pitch)</t>
        </is>
      </c>
      <c r="D316" s="18" t="inlineStr">
        <is>
          <t>Light touch. She has access. Don't over-engage pre-start.</t>
        </is>
      </c>
      <c r="E316" s="31" t="inlineStr">
        <is>
          <t>P0</t>
        </is>
      </c>
      <c r="F316" s="42" t="inlineStr">
        <is>
          <t>5. EXTERNAL</t>
        </is>
      </c>
      <c r="G316" s="18" t="inlineStr">
        <is>
          <t>Anand</t>
        </is>
      </c>
      <c r="H316" s="18" t="inlineStr"/>
      <c r="I316" s="48" t="inlineStr">
        <is>
          <t>You only (LinkedIn)</t>
        </is>
      </c>
      <c r="J316" s="52" t="inlineStr">
        <is>
          <t>$0</t>
        </is>
      </c>
      <c r="K316" s="83" t="inlineStr">
        <is>
          <t>Post-Resign</t>
        </is>
      </c>
      <c r="L316" s="44" t="inlineStr">
        <is>
          <t>In progress</t>
        </is>
      </c>
      <c r="M316" s="18" t="inlineStr">
        <is>
          <t>2026-06-04: PR #3000 opened for Sales execution proof kit: evidence log schema, founder approval checklist, outreach log, meeting notes template, and PHS / KK-Delta / Surekha-Morgan Street proof paths. Keep In progress until actual founder approval, sent/scheduled outreach, discovery notes, meeting proof, client evidence, SOW/legal progress, or clean no-go evidence exists. 2026-06-04: PR #3000 merged to main at 1a73dc45 with the Sales execution proof kit. Keep In progress until the row-specific founder/customer outreach, working-session, SOW, decision, or evidence artifact is actually completed.</t>
        </is>
      </c>
    </row>
    <row r="317">
      <c r="A317" s="18" t="inlineStr">
        <is>
          <t>T303</t>
        </is>
      </c>
      <c r="B317" s="18" t="inlineStr">
        <is>
          <t>Sales</t>
        </is>
      </c>
      <c r="C317" s="18" t="inlineStr">
        <is>
          <t>Surekha: ~July 1 — 'Heard you're starting — 30 min in your first week?'</t>
        </is>
      </c>
      <c r="D317" s="18" t="inlineStr">
        <is>
          <t>Time the activation. Not before she's in seat.</t>
        </is>
      </c>
      <c r="E317" s="31" t="inlineStr">
        <is>
          <t>P0</t>
        </is>
      </c>
      <c r="F317" s="42" t="inlineStr">
        <is>
          <t>5. EXTERNAL</t>
        </is>
      </c>
      <c r="G317" s="18" t="inlineStr">
        <is>
          <t>Anand</t>
        </is>
      </c>
      <c r="H317" s="18" t="inlineStr"/>
      <c r="I317" s="48" t="inlineStr">
        <is>
          <t>You only</t>
        </is>
      </c>
      <c r="J317" s="52" t="inlineStr">
        <is>
          <t>$0</t>
        </is>
      </c>
      <c r="K317" s="83" t="inlineStr">
        <is>
          <t>Post-Resign</t>
        </is>
      </c>
      <c r="L317" s="44" t="inlineStr">
        <is>
          <t>In progress</t>
        </is>
      </c>
      <c r="M317" s="18" t="inlineStr">
        <is>
          <t>2026-06-04: PR #3000 opened for Sales execution proof kit: evidence log schema, founder approval checklist, outreach log, meeting notes template, and PHS / KK-Delta / Surekha-Morgan Street proof paths. Keep In progress until actual founder approval, sent/scheduled outreach, discovery notes, meeting proof, client evidence, SOW/legal progress, or clean no-go evidence exists. 2026-06-04: PR #3000 merged to main at 1a73dc45 with the Sales execution proof kit. Keep In progress until the row-specific founder/customer outreach, working-session, SOW, decision, or evidence artifact is actually completed.</t>
        </is>
      </c>
    </row>
    <row r="318">
      <c r="A318" s="18" t="inlineStr">
        <is>
          <t>T304</t>
        </is>
      </c>
      <c r="B318" s="18" t="inlineStr">
        <is>
          <t>Sales</t>
        </is>
      </c>
      <c r="C318" s="18" t="inlineStr">
        <is>
          <t>Surekha: ~July 7 — Discovery call → working session → pilot SOW sprint</t>
        </is>
      </c>
      <c r="D318" s="18" t="inlineStr">
        <is>
          <t>Full close sprint activates only after she's in seat with authority.</t>
        </is>
      </c>
      <c r="E318" s="31" t="inlineStr">
        <is>
          <t>P0</t>
        </is>
      </c>
      <c r="F318" s="42" t="inlineStr">
        <is>
          <t>5. EXTERNAL</t>
        </is>
      </c>
      <c r="G318" s="18" t="inlineStr">
        <is>
          <t>Anand</t>
        </is>
      </c>
      <c r="H318" s="18" t="inlineStr"/>
      <c r="I318" s="48" t="inlineStr">
        <is>
          <t>You only</t>
        </is>
      </c>
      <c r="J318" s="52" t="inlineStr">
        <is>
          <t>$0</t>
        </is>
      </c>
      <c r="K318" s="83" t="inlineStr">
        <is>
          <t>Post-Resign</t>
        </is>
      </c>
      <c r="L318" s="44" t="inlineStr">
        <is>
          <t>In progress</t>
        </is>
      </c>
      <c r="M318" s="18" t="inlineStr">
        <is>
          <t>2026-06-04: PR #3000 opened for Sales execution proof kit: evidence log schema, founder approval checklist, outreach log, meeting notes template, and PHS / KK-Delta / Surekha-Morgan Street proof paths. Keep In progress until actual founder approval, sent/scheduled outreach, discovery notes, meeting proof, client evidence, SOW/legal progress, or clean no-go evidence exists. 2026-06-04: PR #3000 merged to main at 1a73dc45 with the Sales execution proof kit. Keep In progress until the row-specific founder/customer outreach, working-session, SOW, decision, or evidence artifact is actually completed.</t>
        </is>
      </c>
    </row>
    <row r="319">
      <c r="A319" s="18" t="inlineStr">
        <is>
          <t>T065</t>
        </is>
      </c>
      <c r="B319" s="18" t="inlineStr">
        <is>
          <t>Sales</t>
        </is>
      </c>
      <c r="C319" s="18" t="inlineStr">
        <is>
          <t>Health insurance / benefits decision for founder</t>
        </is>
      </c>
      <c r="D319" s="18" t="inlineStr">
        <is>
          <t>Solve before incorporation if company-provided needed.</t>
        </is>
      </c>
      <c r="E319" s="32" t="inlineStr">
        <is>
          <t>P1</t>
        </is>
      </c>
      <c r="F319" s="42" t="inlineStr">
        <is>
          <t>5. EXTERNAL</t>
        </is>
      </c>
      <c r="G319" s="18" t="inlineStr">
        <is>
          <t>Anand</t>
        </is>
      </c>
      <c r="H319" s="18" t="inlineStr">
        <is>
          <t>T001</t>
        </is>
      </c>
      <c r="I319" s="48" t="inlineStr">
        <is>
          <t>3rd party + you</t>
        </is>
      </c>
      <c r="J319" s="51" t="inlineStr">
        <is>
          <t>$500-800/mo (founder)</t>
        </is>
      </c>
      <c r="K319" s="83" t="inlineStr">
        <is>
          <t>Post-Resign</t>
        </is>
      </c>
      <c r="L319" s="44" t="inlineStr">
        <is>
          <t>In progress</t>
        </is>
      </c>
      <c r="M319" s="18" t="inlineStr">
        <is>
          <t>2026-06-04: Merged #2994 (a296cab): founder health coverage decision packet drafted from official HealthCare.gov/DOL sources; remains open until actual coverage choice, carrier, effective date, cost, and advisor/broker input are recorded.</t>
        </is>
      </c>
    </row>
    <row r="320">
      <c r="A320" s="18" t="inlineStr">
        <is>
          <t>T268</t>
        </is>
      </c>
      <c r="B320" s="18" t="inlineStr">
        <is>
          <t>Sales</t>
        </is>
      </c>
      <c r="C320" s="18" t="inlineStr">
        <is>
          <t>Delta: scout IMS contract landscape — which renewals coming up? Source entry?</t>
        </is>
      </c>
      <c r="D320" s="18" t="inlineStr">
        <is>
          <t>Source wedge depends on renewals. Vendor names + dates.</t>
        </is>
      </c>
      <c r="E320" s="32" t="inlineStr">
        <is>
          <t>P1</t>
        </is>
      </c>
      <c r="F320" s="42" t="inlineStr">
        <is>
          <t>5. EXTERNAL</t>
        </is>
      </c>
      <c r="G320" s="18" t="inlineStr">
        <is>
          <t>Anand</t>
        </is>
      </c>
      <c r="H320" s="18" t="inlineStr"/>
      <c r="I320" s="48" t="inlineStr">
        <is>
          <t>You only (industry research)</t>
        </is>
      </c>
      <c r="J320" s="52" t="inlineStr">
        <is>
          <t>$0</t>
        </is>
      </c>
      <c r="K320" s="82" t="inlineStr">
        <is>
          <t>Pre-Resign</t>
        </is>
      </c>
      <c r="L320" s="44" t="inlineStr">
        <is>
          <t>In progress</t>
        </is>
      </c>
      <c r="M320" s="18" t="inlineStr">
        <is>
          <t>2026-06-04: Merged #2994 (a296cab): Delta IMS/Source public scout drafted with official Delta/SEC evidence and no unsupported renewal claims; remains open until real event, owner, timing, and evidence path are confirmed.</t>
        </is>
      </c>
    </row>
    <row r="321">
      <c r="A321" s="18" t="inlineStr">
        <is>
          <t>T124</t>
        </is>
      </c>
      <c r="B321" s="18" t="inlineStr">
        <is>
          <t>Startup Credits</t>
        </is>
      </c>
      <c r="C321" s="18" t="inlineStr">
        <is>
          <t>Apply: Microsoft for Startups Founders Hub</t>
        </is>
      </c>
      <c r="D321" s="18" t="inlineStr">
        <is>
          <t>Up to $150k Azure credits over 2yr + free GitHub Enterprise + Copilot + M365. Self-serve, ~30min.</t>
        </is>
      </c>
      <c r="E321" s="31" t="inlineStr">
        <is>
          <t>P0</t>
        </is>
      </c>
      <c r="F321" s="38" t="inlineStr">
        <is>
          <t>1. QUICK WIN</t>
        </is>
      </c>
      <c r="G321" s="18" t="inlineStr">
        <is>
          <t>Anand</t>
        </is>
      </c>
      <c r="H321" s="18" t="inlineStr">
        <is>
          <t>T001</t>
        </is>
      </c>
      <c r="I321" s="43" t="inlineStr">
        <is>
          <t>Self-serve</t>
        </is>
      </c>
      <c r="J321" s="52" t="inlineStr">
        <is>
          <t>$0 (saves ~$150k value)</t>
        </is>
      </c>
      <c r="K321" s="82" t="inlineStr">
        <is>
          <t>Pre-Resign</t>
        </is>
      </c>
      <c r="L321" s="44" t="inlineStr">
        <is>
          <t>In progress</t>
        </is>
      </c>
      <c r="M321" s="18" t="inlineStr">
        <is>
          <t>In progress - official path/dependencies captured in /Users/anand/Downloads/abarva-startup-credits/STARTUP_CREDITS_APPLICATION_TRACKER_2026-06-04.xlsx; blocked on incorporation/EIN/business email and founder submission. Evidence index: /Users/anand/Downloads/abarva-startup-credits/STARTUP_CREDITS_READINESS_INDEX_2026-06-04.md.</t>
        </is>
      </c>
    </row>
    <row r="322">
      <c r="A322" s="18" t="inlineStr">
        <is>
          <t>T125</t>
        </is>
      </c>
      <c r="B322" s="18" t="inlineStr">
        <is>
          <t>Startup Credits</t>
        </is>
      </c>
      <c r="C322" s="18" t="inlineStr">
        <is>
          <t>Apply: Anthropic Startup Program (direct)</t>
        </is>
      </c>
      <c r="D322" s="18" t="inlineStr">
        <is>
          <t>API credits + co-marketing path. Apply via anthropic.com/startup. Mention F500 pilot landing.</t>
        </is>
      </c>
      <c r="E322" s="31" t="inlineStr">
        <is>
          <t>P0</t>
        </is>
      </c>
      <c r="F322" s="38" t="inlineStr">
        <is>
          <t>1. QUICK WIN</t>
        </is>
      </c>
      <c r="G322" s="18" t="inlineStr">
        <is>
          <t>Anand</t>
        </is>
      </c>
      <c r="H322" s="18" t="inlineStr">
        <is>
          <t>T001</t>
        </is>
      </c>
      <c r="I322" s="43" t="inlineStr">
        <is>
          <t>Self-serve + Claude (app)</t>
        </is>
      </c>
      <c r="J322" s="52" t="inlineStr">
        <is>
          <t>$0 (saves $10-25k)</t>
        </is>
      </c>
      <c r="K322" s="82" t="inlineStr">
        <is>
          <t>Pre-Resign</t>
        </is>
      </c>
      <c r="L322" s="44" t="inlineStr">
        <is>
          <t>In progress</t>
        </is>
      </c>
      <c r="M322" s="18" t="inlineStr">
        <is>
          <t>In progress - startup-program terms/application path captured in /Users/anand/Downloads/abarva-startup-credits/STARTUP_CREDITS_APPLICATION_TRACKER_2026-06-04.xlsx; approval/submission evidence still external. Evidence index: /Users/anand/Downloads/abarva-startup-credits/STARTUP_CREDITS_READINESS_INDEX_2026-06-04.md.</t>
        </is>
      </c>
    </row>
    <row r="323">
      <c r="A323" s="18" t="inlineStr">
        <is>
          <t>T126</t>
        </is>
      </c>
      <c r="B323" s="18" t="inlineStr">
        <is>
          <t>Startup Credits</t>
        </is>
      </c>
      <c r="C323" s="18" t="inlineStr">
        <is>
          <t>Enable Claude via Azure AI Foundry (stacks Azure credits with Anthropic)</t>
        </is>
      </c>
      <c r="D323" s="18" t="inlineStr">
        <is>
          <t>Claude inference billed against Azure credits = doubles effective LLM headroom.</t>
        </is>
      </c>
      <c r="E323" s="31" t="inlineStr">
        <is>
          <t>P0</t>
        </is>
      </c>
      <c r="F323" s="38" t="inlineStr">
        <is>
          <t>1. QUICK WIN</t>
        </is>
      </c>
      <c r="G323" s="18" t="inlineStr">
        <is>
          <t>Anand</t>
        </is>
      </c>
      <c r="H323" s="18" t="inlineStr">
        <is>
          <t>T124</t>
        </is>
      </c>
      <c r="I323" s="43" t="inlineStr">
        <is>
          <t>Self-serve (Azure portal)</t>
        </is>
      </c>
      <c r="J323" s="52" t="inlineStr">
        <is>
          <t>$0 (consumes Azure credits)</t>
        </is>
      </c>
      <c r="K323" s="82" t="inlineStr">
        <is>
          <t>Pre-Resign</t>
        </is>
      </c>
      <c r="L323" s="44" t="inlineStr">
        <is>
          <t>In progress</t>
        </is>
      </c>
      <c r="M323" s="18" t="inlineStr">
        <is>
          <t>In progress - Azure AI Foundry/Founders Hub dependency captured in /Users/anand/Downloads/abarva-startup-credits/STARTUP_CREDITS_APPLICATION_TRACKER_2026-06-04.xlsx; enablement depends on Azure sponsorship, model-region availability, and pricing review. Evidence index: /Users/anand/Downloads/abarva-startup-credits/STARTUP_CREDITS_READINESS_INDEX_2026-06-04.md.</t>
        </is>
      </c>
    </row>
    <row r="324">
      <c r="A324" s="18" t="inlineStr">
        <is>
          <t>T127</t>
        </is>
      </c>
      <c r="B324" s="18" t="inlineStr">
        <is>
          <t>Startup Credits</t>
        </is>
      </c>
      <c r="C324" s="18" t="inlineStr">
        <is>
          <t>Apply: Vercel for Startups</t>
        </is>
      </c>
      <c r="D324" s="18" t="inlineStr">
        <is>
          <t>Discounted Pro plan + sometimes credits + dedicated support. vercel.com/startups</t>
        </is>
      </c>
      <c r="E324" s="31" t="inlineStr">
        <is>
          <t>P0</t>
        </is>
      </c>
      <c r="F324" s="38" t="inlineStr">
        <is>
          <t>1. QUICK WIN</t>
        </is>
      </c>
      <c r="G324" s="18" t="inlineStr">
        <is>
          <t>Anand</t>
        </is>
      </c>
      <c r="H324" s="18" t="inlineStr">
        <is>
          <t>T001</t>
        </is>
      </c>
      <c r="I324" s="43" t="inlineStr">
        <is>
          <t>Self-serve</t>
        </is>
      </c>
      <c r="J324" s="52" t="inlineStr">
        <is>
          <t>$0 (saves ~$5k)</t>
        </is>
      </c>
      <c r="K324" s="82" t="inlineStr">
        <is>
          <t>Pre-Resign</t>
        </is>
      </c>
      <c r="L324" s="44" t="inlineStr">
        <is>
          <t>In progress</t>
        </is>
      </c>
      <c r="M324" s="18" t="inlineStr">
        <is>
          <t>In progress - application path captured in /Users/anand/Downloads/abarva-startup-credits/STARTUP_CREDITS_APPLICATION_TRACKER_2026-06-04.xlsx; approval remains external. Evidence index: /Users/anand/Downloads/abarva-startup-credits/STARTUP_CREDITS_READINESS_INDEX_2026-06-04.md.</t>
        </is>
      </c>
    </row>
    <row r="325">
      <c r="A325" s="18" t="inlineStr">
        <is>
          <t>T128</t>
        </is>
      </c>
      <c r="B325" s="18" t="inlineStr">
        <is>
          <t>Startup Credits</t>
        </is>
      </c>
      <c r="C325" s="18" t="inlineStr">
        <is>
          <t>Apply: Clerk for Startups (discounted Enterprise)</t>
        </is>
      </c>
      <c r="D325" s="18" t="inlineStr">
        <is>
          <t>SSO/SAML/SCIM is on Pro+. Startup discount = material. Email startups@clerk.com.</t>
        </is>
      </c>
      <c r="E325" s="31" t="inlineStr">
        <is>
          <t>P0</t>
        </is>
      </c>
      <c r="F325" s="38" t="inlineStr">
        <is>
          <t>1. QUICK WIN</t>
        </is>
      </c>
      <c r="G325" s="18" t="inlineStr">
        <is>
          <t>Anand</t>
        </is>
      </c>
      <c r="H325" s="18" t="inlineStr">
        <is>
          <t>T001</t>
        </is>
      </c>
      <c r="I325" s="43" t="inlineStr">
        <is>
          <t>Self-serve</t>
        </is>
      </c>
      <c r="J325" s="52" t="inlineStr">
        <is>
          <t>$0 (saves $5-15k SSO premium)</t>
        </is>
      </c>
      <c r="K325" s="82" t="inlineStr">
        <is>
          <t>Pre-Resign</t>
        </is>
      </c>
      <c r="L325" s="44" t="inlineStr">
        <is>
          <t>In progress</t>
        </is>
      </c>
      <c r="M325" s="18" t="inlineStr">
        <is>
          <t>In progress - Clerk sales/enterprise-discount path captured in /Users/anand/Downloads/abarva-startup-credits/STARTUP_CREDITS_APPLICATION_TRACKER_2026-06-04.xlsx; SSO/SAML/SCIM pricing confirmation remains vendor action. Evidence index: /Users/anand/Downloads/abarva-startup-credits/STARTUP_CREDITS_READINESS_INDEX_2026-06-04.md.</t>
        </is>
      </c>
    </row>
    <row r="326">
      <c r="A326" s="18" t="inlineStr">
        <is>
          <t>T132</t>
        </is>
      </c>
      <c r="B326" s="18" t="inlineStr">
        <is>
          <t>Startup Credits</t>
        </is>
      </c>
      <c r="C326" s="18" t="inlineStr">
        <is>
          <t>Apply: Vanta or Drata startup discount</t>
        </is>
      </c>
      <c r="D326" s="18" t="inlineStr">
        <is>
          <t>Ask at sign-up — many SOC 2 platforms have startup pricing.</t>
        </is>
      </c>
      <c r="E326" s="31" t="inlineStr">
        <is>
          <t>P0</t>
        </is>
      </c>
      <c r="F326" s="38" t="inlineStr">
        <is>
          <t>1. QUICK WIN</t>
        </is>
      </c>
      <c r="G326" s="18" t="inlineStr">
        <is>
          <t>Anand</t>
        </is>
      </c>
      <c r="H326" s="18" t="inlineStr">
        <is>
          <t>T013</t>
        </is>
      </c>
      <c r="I326" s="43" t="inlineStr">
        <is>
          <t>Self-serve (ask at signup)</t>
        </is>
      </c>
      <c r="J326" s="51" t="inlineStr">
        <is>
          <t>Reduces SOC 2 by 20-40%</t>
        </is>
      </c>
      <c r="K326" s="82" t="inlineStr">
        <is>
          <t>Pre-Resign</t>
        </is>
      </c>
      <c r="L326" s="44" t="inlineStr">
        <is>
          <t>In progress</t>
        </is>
      </c>
      <c r="M326" s="18" t="inlineStr">
        <is>
          <t>In progress - SOC 2 platform discount outreach captured in /Users/anand/Downloads/abarva-startup-credits/STARTUP_CREDITS_APPLICATION_TRACKER_2026-06-04.xlsx; vendor response and selected platform still external. Evidence index: /Users/anand/Downloads/abarva-startup-credits/STARTUP_CREDITS_READINESS_INDEX_2026-06-04.md.</t>
        </is>
      </c>
    </row>
    <row r="327">
      <c r="A327" s="18" t="inlineStr">
        <is>
          <t>T129</t>
        </is>
      </c>
      <c r="B327" s="18" t="inlineStr">
        <is>
          <t>Startup Credits</t>
        </is>
      </c>
      <c r="C327" s="18" t="inlineStr">
        <is>
          <t>Apply: OpenAI for Startups</t>
        </is>
      </c>
      <c r="D327" s="18" t="inlineStr">
        <is>
          <t>API credits — even if Anthropic primary, useful for embeddings/eval/fallback.</t>
        </is>
      </c>
      <c r="E327" s="32" t="inlineStr">
        <is>
          <t>P1</t>
        </is>
      </c>
      <c r="F327" s="38" t="inlineStr">
        <is>
          <t>1. QUICK WIN</t>
        </is>
      </c>
      <c r="G327" s="18" t="inlineStr">
        <is>
          <t>Anand</t>
        </is>
      </c>
      <c r="H327" s="18" t="inlineStr">
        <is>
          <t>T001</t>
        </is>
      </c>
      <c r="I327" s="43" t="inlineStr">
        <is>
          <t>Self-serve</t>
        </is>
      </c>
      <c r="J327" s="52" t="inlineStr">
        <is>
          <t>$0</t>
        </is>
      </c>
      <c r="K327" s="82" t="inlineStr">
        <is>
          <t>Pre-Resign</t>
        </is>
      </c>
      <c r="L327" s="44" t="inlineStr">
        <is>
          <t>In progress</t>
        </is>
      </c>
      <c r="M327" s="18" t="inlineStr">
        <is>
          <t>In progress - application path captured in /Users/anand/Downloads/abarva-startup-credits/STARTUP_CREDITS_APPLICATION_TRACKER_2026-06-04.xlsx; approval remains external. Evidence index: /Users/anand/Downloads/abarva-startup-credits/STARTUP_CREDITS_READINESS_INDEX_2026-06-04.md.</t>
        </is>
      </c>
    </row>
    <row r="328">
      <c r="A328" s="18" t="inlineStr">
        <is>
          <t>T130</t>
        </is>
      </c>
      <c r="B328" s="18" t="inlineStr">
        <is>
          <t>Startup Credits</t>
        </is>
      </c>
      <c r="C328" s="18" t="inlineStr">
        <is>
          <t>Apply: Notion for Startups</t>
        </is>
      </c>
      <c r="D328" s="18" t="inlineStr">
        <is>
          <t>Free team plan up to N users + $1k credit. Internal wiki + customer docs.</t>
        </is>
      </c>
      <c r="E328" s="32" t="inlineStr">
        <is>
          <t>P1</t>
        </is>
      </c>
      <c r="F328" s="38" t="inlineStr">
        <is>
          <t>1. QUICK WIN</t>
        </is>
      </c>
      <c r="G328" s="18" t="inlineStr">
        <is>
          <t>Anand</t>
        </is>
      </c>
      <c r="H328" s="18" t="inlineStr">
        <is>
          <t>T001</t>
        </is>
      </c>
      <c r="I328" s="43" t="inlineStr">
        <is>
          <t>Self-serve</t>
        </is>
      </c>
      <c r="J328" s="52" t="inlineStr">
        <is>
          <t>$0</t>
        </is>
      </c>
      <c r="K328" s="82" t="inlineStr">
        <is>
          <t>Pre-Resign</t>
        </is>
      </c>
      <c r="L328" s="44" t="inlineStr">
        <is>
          <t>In progress</t>
        </is>
      </c>
      <c r="M328" s="18" t="inlineStr">
        <is>
          <t>In progress - application path captured in /Users/anand/Downloads/abarva-startup-credits/STARTUP_CREDITS_APPLICATION_TRACKER_2026-06-04.xlsx; approval remains external. Evidence index: /Users/anand/Downloads/abarva-startup-credits/STARTUP_CREDITS_READINESS_INDEX_2026-06-04.md.</t>
        </is>
      </c>
    </row>
    <row r="329">
      <c r="A329" s="18" t="inlineStr">
        <is>
          <t>T131</t>
        </is>
      </c>
      <c r="B329" s="18" t="inlineStr">
        <is>
          <t>Startup Credits</t>
        </is>
      </c>
      <c r="C329" s="18" t="inlineStr">
        <is>
          <t>Apply: HubSpot for Startups (90% off year 1)</t>
        </is>
      </c>
      <c r="D329" s="18" t="inlineStr">
        <is>
          <t>When you need CRM — post-pilot signature, before scale.</t>
        </is>
      </c>
      <c r="E329" s="49" t="inlineStr">
        <is>
          <t>P2</t>
        </is>
      </c>
      <c r="F329" s="38" t="inlineStr">
        <is>
          <t>1. QUICK WIN</t>
        </is>
      </c>
      <c r="G329" s="18" t="inlineStr">
        <is>
          <t>Anand</t>
        </is>
      </c>
      <c r="H329" s="18" t="inlineStr">
        <is>
          <t>T001</t>
        </is>
      </c>
      <c r="I329" s="43" t="inlineStr">
        <is>
          <t>Self-serve</t>
        </is>
      </c>
      <c r="J329" s="52" t="inlineStr">
        <is>
          <t>$0 year 1; ~$600/mo yr 2</t>
        </is>
      </c>
      <c r="K329" s="82" t="inlineStr">
        <is>
          <t>Pre-Resign</t>
        </is>
      </c>
      <c r="L329" s="44" t="inlineStr">
        <is>
          <t>In progress</t>
        </is>
      </c>
      <c r="M329" s="18" t="inlineStr">
        <is>
          <t>In progress - startup/CRM discount path captured in /Users/anand/Downloads/abarva-startup-credits/STARTUP_CREDITS_APPLICATION_TRACKER_2026-06-04.xlsx; approval remains external. Evidence index: /Users/anand/Downloads/abarva-startup-credits/STARTUP_CREDITS_READINESS_INDEX_2026-06-04.md.</t>
        </is>
      </c>
    </row>
    <row r="330">
      <c r="A330" s="18" t="inlineStr">
        <is>
          <t>T135</t>
        </is>
      </c>
      <c r="B330" s="18" t="inlineStr">
        <is>
          <t>Startup Credits</t>
        </is>
      </c>
      <c r="C330" s="18" t="inlineStr">
        <is>
          <t>Join Microsoft Cloud Partner Program (MCPP) post first customer</t>
        </is>
      </c>
      <c r="D330" s="18" t="inlineStr">
        <is>
          <t>Co-sell motion with Microsoft sellers into F500 accounts. Biggest single channel multiplier for Azure-native B2B.</t>
        </is>
      </c>
      <c r="E330" s="49" t="inlineStr">
        <is>
          <t>P2</t>
        </is>
      </c>
      <c r="F330" s="38" t="inlineStr">
        <is>
          <t>1. QUICK WIN</t>
        </is>
      </c>
      <c r="G330" s="18" t="inlineStr">
        <is>
          <t>Anand</t>
        </is>
      </c>
      <c r="H330" s="18" t="inlineStr">
        <is>
          <t>T124</t>
        </is>
      </c>
      <c r="I330" s="43" t="inlineStr">
        <is>
          <t>Self-serve (later)</t>
        </is>
      </c>
      <c r="J330" s="52" t="inlineStr">
        <is>
          <t>$0</t>
        </is>
      </c>
      <c r="K330" s="83" t="inlineStr">
        <is>
          <t>Post-Resign</t>
        </is>
      </c>
      <c r="L330" s="44" t="inlineStr">
        <is>
          <t>In progress</t>
        </is>
      </c>
      <c r="M330" s="18" t="inlineStr">
        <is>
          <t>In progress - partner-program path captured in /Users/anand/Downloads/abarva-startup-credits/STARTUP_CREDITS_APPLICATION_TRACKER_2026-06-04.xlsx; best completed after first paying customer/reference evidence. Evidence index: /Users/anand/Downloads/abarva-startup-credits/STARTUP_CREDITS_READINESS_INDEX_2026-06-04.md.</t>
        </is>
      </c>
    </row>
    <row r="331">
      <c r="A331" s="18" t="inlineStr">
        <is>
          <t>T133</t>
        </is>
      </c>
      <c r="B331" s="18" t="inlineStr">
        <is>
          <t>Startup Credits</t>
        </is>
      </c>
      <c r="C331" s="18" t="inlineStr">
        <is>
          <t>Apply: Linear for Startups (6 months free)</t>
        </is>
      </c>
      <c r="D331" s="18" t="inlineStr">
        <is>
          <t>If you migrate off GitHub Issues.</t>
        </is>
      </c>
      <c r="E331" s="46" t="inlineStr">
        <is>
          <t>P3</t>
        </is>
      </c>
      <c r="F331" s="38" t="inlineStr">
        <is>
          <t>1. QUICK WIN</t>
        </is>
      </c>
      <c r="G331" s="18" t="inlineStr">
        <is>
          <t>Anand</t>
        </is>
      </c>
      <c r="H331" s="18" t="inlineStr">
        <is>
          <t>T001</t>
        </is>
      </c>
      <c r="I331" s="43" t="inlineStr">
        <is>
          <t>Self-serve</t>
        </is>
      </c>
      <c r="J331" s="52" t="inlineStr">
        <is>
          <t>$0</t>
        </is>
      </c>
      <c r="K331" s="82" t="inlineStr">
        <is>
          <t>Pre-Resign</t>
        </is>
      </c>
      <c r="L331" s="44" t="inlineStr">
        <is>
          <t>In progress</t>
        </is>
      </c>
      <c r="M331" s="18" t="inlineStr">
        <is>
          <t>In progress - startup path captured in /Users/anand/Downloads/abarva-startup-credits/STARTUP_CREDITS_APPLICATION_TRACKER_2026-06-04.xlsx; partner/eligibility confirmation remains external. Evidence index: /Users/anand/Downloads/abarva-startup-credits/STARTUP_CREDITS_READINESS_INDEX_2026-06-04.md.</t>
        </is>
      </c>
    </row>
    <row r="332">
      <c r="A332" s="18" t="inlineStr">
        <is>
          <t>T136</t>
        </is>
      </c>
      <c r="B332" s="18" t="inlineStr">
        <is>
          <t>Startup Credits</t>
        </is>
      </c>
      <c r="C332" s="18" t="inlineStr">
        <is>
          <t>Capture all credits/perks in vendor tracker</t>
        </is>
      </c>
      <c r="D332" s="18" t="inlineStr">
        <is>
          <t>Single sheet listing each program, value, renewal date, expiry — so credits don't lapse unused.</t>
        </is>
      </c>
      <c r="E332" s="32" t="inlineStr">
        <is>
          <t>P1</t>
        </is>
      </c>
      <c r="F332" s="39" t="inlineStr">
        <is>
          <t>2. CLAUDE DOES IT</t>
        </is>
      </c>
      <c r="G332" s="18" t="inlineStr">
        <is>
          <t>Anand</t>
        </is>
      </c>
      <c r="H332" s="18" t="inlineStr">
        <is>
          <t>T124</t>
        </is>
      </c>
      <c r="I332" s="45" t="inlineStr">
        <is>
          <t>Claude (sheet)</t>
        </is>
      </c>
      <c r="J332" s="52" t="inlineStr">
        <is>
          <t>$0</t>
        </is>
      </c>
      <c r="K332" s="83" t="inlineStr">
        <is>
          <t>Post-Resign</t>
        </is>
      </c>
      <c r="L332" s="44" t="inlineStr">
        <is>
          <t>Done</t>
        </is>
      </c>
      <c r="M332" s="18" t="inlineStr">
        <is>
          <t>Done - credits/perks captured in /Users/anand/Downloads/abarva-startup-credits/STARTUP_CREDITS_APPLICATION_TRACKER_2026-06-04.xlsx and added to vendor register sheet in /Users/anand/Downloads/abarva-operational-readiness/VENDOR_REGISTER_2026-06-04.xlsx; evidence index: /Users/anand/Downloads/abarva-startup-credits/STARTUP_CREDITS_READINESS_INDEX_2026-06-04.md.</t>
        </is>
      </c>
    </row>
    <row r="333">
      <c r="A333" s="18" t="inlineStr">
        <is>
          <t>T134</t>
        </is>
      </c>
      <c r="B333" s="18" t="inlineStr">
        <is>
          <t>Startup Credits</t>
        </is>
      </c>
      <c r="C333" s="18" t="inlineStr">
        <is>
          <t>Publish AbarVa listing on Azure Marketplace</t>
        </is>
      </c>
      <c r="D333" s="18" t="inlineStr">
        <is>
          <t>F500 procurement preference — counts toward customer's Azure commitment. Unlocks higher Founders Hub credit tier.</t>
        </is>
      </c>
      <c r="E333" s="32" t="inlineStr">
        <is>
          <t>P1</t>
        </is>
      </c>
      <c r="F333" s="41" t="inlineStr">
        <is>
          <t>4. CLAUDE + PRO</t>
        </is>
      </c>
      <c r="G333" s="18" t="inlineStr">
        <is>
          <t>Anand</t>
        </is>
      </c>
      <c r="H333" s="18" t="inlineStr">
        <is>
          <t>T124</t>
        </is>
      </c>
      <c r="I333" s="50" t="inlineStr">
        <is>
          <t>Claude + Microsoft partner</t>
        </is>
      </c>
      <c r="J333" s="52" t="inlineStr">
        <is>
          <t>$0 (founder time + Microsoft partner)</t>
        </is>
      </c>
      <c r="K333" s="83" t="inlineStr">
        <is>
          <t>Post-Resign</t>
        </is>
      </c>
      <c r="L333" s="44" t="inlineStr">
        <is>
          <t>In progress</t>
        </is>
      </c>
      <c r="M333" s="18" t="inlineStr">
        <is>
          <t>In progress - listing/partner-center path captured in /Users/anand/Downloads/abarva-startup-credits/STARTUP_CREDITS_APPLICATION_TRACKER_2026-06-04.xlsx; offer packaging and marketplace onboarding remain external. Evidence index: /Users/anand/Downloads/abarva-startup-credits/STARTUP_CREDITS_READINESS_INDEX_2026-06-04.md.</t>
        </is>
      </c>
    </row>
    <row r="334">
      <c r="A334" t="inlineStr">
        <is>
          <t>T330</t>
        </is>
      </c>
      <c r="B334" t="inlineStr">
        <is>
          <t>AI Liability Defense</t>
        </is>
      </c>
      <c r="C334" t="inlineStr">
        <is>
          <t>Decision-owner field required on every material AI recommendation</t>
        </is>
      </c>
      <c r="D334" s="96" t="inlineStr">
        <is>
          <t>Every consequential recommendation must name the client-side human decision owner before it can be exported, approved, or converted into action. Captures name, title, tenant, timestamp, and decision context.</t>
        </is>
      </c>
      <c r="E334" t="inlineStr">
        <is>
          <t>P0</t>
        </is>
      </c>
      <c r="F334" t="inlineStr">
        <is>
          <t>2. CLAUDE DOES IT</t>
        </is>
      </c>
      <c r="G334" t="inlineStr">
        <is>
          <t>Anand</t>
        </is>
      </c>
      <c r="H334" t="inlineStr">
        <is>
          <t>T206,T216</t>
        </is>
      </c>
      <c r="I334" s="96" t="inlineStr">
        <is>
          <t>Claude (code)</t>
        </is>
      </c>
      <c r="J334" t="inlineStr">
        <is>
          <t>$0</t>
        </is>
      </c>
      <c r="K334" t="inlineStr">
        <is>
          <t>Anytime</t>
        </is>
      </c>
      <c r="L334" t="inlineStr">
        <is>
          <t>Done</t>
        </is>
      </c>
      <c r="M334" s="96" t="inlineStr">
        <is>
          <t>Executed in branch codex/ai-liability-controls: decision owner evidence-packet contract and validation harness implemented.</t>
        </is>
      </c>
    </row>
    <row r="335">
      <c r="A335" t="inlineStr">
        <is>
          <t>T331</t>
        </is>
      </c>
      <c r="B335" t="inlineStr">
        <is>
          <t>AI Liability Defense</t>
        </is>
      </c>
      <c r="C335" t="inlineStr">
        <is>
          <t>Human decision attestation text added to board packs, exports, and approval modals</t>
        </is>
      </c>
      <c r="D335" s="96" t="inlineStr">
        <is>
          <t>Standard attestation: user reviewed cited evidence, assumptions, missing data, and alternatives; final decision belongs to client, not AbarVa. Text version stored with each approval/export.</t>
        </is>
      </c>
      <c r="E335" t="inlineStr">
        <is>
          <t>P0</t>
        </is>
      </c>
      <c r="F335" t="inlineStr">
        <is>
          <t>2. CLAUDE DOES IT</t>
        </is>
      </c>
      <c r="G335" t="inlineStr">
        <is>
          <t>Anand</t>
        </is>
      </c>
      <c r="H335" t="inlineStr">
        <is>
          <t>T206,T217</t>
        </is>
      </c>
      <c r="I335" s="96" t="inlineStr">
        <is>
          <t>Claude (code+content)</t>
        </is>
      </c>
      <c r="J335" t="inlineStr">
        <is>
          <t>$0</t>
        </is>
      </c>
      <c r="K335" t="inlineStr">
        <is>
          <t>Anytime</t>
        </is>
      </c>
      <c r="L335" t="inlineStr">
        <is>
          <t>Done</t>
        </is>
      </c>
      <c r="M335" s="96" t="inlineStr">
        <is>
          <t>Executed: human decision attestation text wired into shared controls and export/board-pack language.</t>
        </is>
      </c>
    </row>
    <row r="336">
      <c r="A336" t="inlineStr">
        <is>
          <t>T332</t>
        </is>
      </c>
      <c r="B336" t="inlineStr">
        <is>
          <t>AI Liability Defense</t>
        </is>
      </c>
      <c r="C336" t="inlineStr">
        <is>
          <t>Missing-data and assumptions banner on every recommendation</t>
        </is>
      </c>
      <c r="D336" s="96" t="inlineStr">
        <is>
          <t>Every recommendation displays explicit missing inputs, assumptions used, and 'what would change this recommendation.' Low/missing evidence triggers warning styling and extra approval friction.</t>
        </is>
      </c>
      <c r="E336" t="inlineStr">
        <is>
          <t>P0</t>
        </is>
      </c>
      <c r="F336" t="inlineStr">
        <is>
          <t>2. CLAUDE DOES IT</t>
        </is>
      </c>
      <c r="G336" t="inlineStr">
        <is>
          <t>Anand</t>
        </is>
      </c>
      <c r="H336" t="inlineStr">
        <is>
          <t>T208,T209,T216</t>
        </is>
      </c>
      <c r="I336" s="96" t="inlineStr">
        <is>
          <t>Claude (code)</t>
        </is>
      </c>
      <c r="J336" t="inlineStr">
        <is>
          <t>$0</t>
        </is>
      </c>
      <c r="K336" t="inlineStr">
        <is>
          <t>Anytime</t>
        </is>
      </c>
      <c r="L336" t="inlineStr">
        <is>
          <t>Done</t>
        </is>
      </c>
      <c r="M336" s="96" t="inlineStr">
        <is>
          <t>Executed: missing-data/assumptions banner builder plus prompt requirements implemented.</t>
        </is>
      </c>
    </row>
    <row r="337">
      <c r="A337" t="inlineStr">
        <is>
          <t>T333</t>
        </is>
      </c>
      <c r="B337" t="inlineStr">
        <is>
          <t>AI Liability Defense</t>
        </is>
      </c>
      <c r="C337" t="inlineStr">
        <is>
          <t>Output-language sanitizer: advisor wording, never autonomous decision wording</t>
        </is>
      </c>
      <c r="D337" s="96" t="inlineStr">
        <is>
          <t>Systematically block or rewrite phrasing like 'AbarVa decided', 'the tool approves', 'must select', or 'automatic recommendation.' Prefer 'decision support', 'candidate for review', and 'human approval required.'</t>
        </is>
      </c>
      <c r="E337" t="inlineStr">
        <is>
          <t>P0</t>
        </is>
      </c>
      <c r="F337" t="inlineStr">
        <is>
          <t>2. CLAUDE DOES IT</t>
        </is>
      </c>
      <c r="G337" t="inlineStr">
        <is>
          <t>Anand</t>
        </is>
      </c>
      <c r="H337" t="inlineStr">
        <is>
          <t>T203,T205</t>
        </is>
      </c>
      <c r="I337" s="96" t="inlineStr">
        <is>
          <t>Claude (code+tests)</t>
        </is>
      </c>
      <c r="J337" t="inlineStr">
        <is>
          <t>$0</t>
        </is>
      </c>
      <c r="K337" t="inlineStr">
        <is>
          <t>Anytime</t>
        </is>
      </c>
      <c r="L337" t="inlineStr">
        <is>
          <t>Done</t>
        </is>
      </c>
      <c r="M337" s="96" t="inlineStr">
        <is>
          <t>Executed: autonomous-decision language sanitizer wired into universal agent chat, Atlas, and Sentinel.</t>
        </is>
      </c>
    </row>
    <row r="338">
      <c r="A338" t="inlineStr">
        <is>
          <t>T334</t>
        </is>
      </c>
      <c r="B338" t="inlineStr">
        <is>
          <t>AI Liability Defense</t>
        </is>
      </c>
      <c r="C338" t="inlineStr">
        <is>
          <t>Export watermark and cover note: AI-assisted decision support, human approval required</t>
        </is>
      </c>
      <c r="D338" s="96" t="inlineStr">
        <is>
          <t>All DOCX/PDF/XLSX/board-pack exports include visible AI-assisted decision-support language plus decision-owner and attestation metadata where applicable.</t>
        </is>
      </c>
      <c r="E338" t="inlineStr">
        <is>
          <t>P0</t>
        </is>
      </c>
      <c r="F338" t="inlineStr">
        <is>
          <t>2. CLAUDE DOES IT</t>
        </is>
      </c>
      <c r="G338" t="inlineStr">
        <is>
          <t>Anand</t>
        </is>
      </c>
      <c r="H338" t="inlineStr">
        <is>
          <t>T205,T331</t>
        </is>
      </c>
      <c r="I338" s="96" t="inlineStr">
        <is>
          <t>Claude (code)</t>
        </is>
      </c>
      <c r="J338" t="inlineStr">
        <is>
          <t>$0</t>
        </is>
      </c>
      <c r="K338" t="inlineStr">
        <is>
          <t>Anytime</t>
        </is>
      </c>
      <c r="L338" t="inlineStr">
        <is>
          <t>Done</t>
        </is>
      </c>
      <c r="M338" s="96" t="inlineStr">
        <is>
          <t>Executed: export watermark added to Source narrative/xlsx exports, board pack HTML/PDF, and Moves financial model workbook.</t>
        </is>
      </c>
    </row>
    <row r="339">
      <c r="A339" t="inlineStr">
        <is>
          <t>T335</t>
        </is>
      </c>
      <c r="B339" t="inlineStr">
        <is>
          <t>AI Liability Defense</t>
        </is>
      </c>
      <c r="C339" t="inlineStr">
        <is>
          <t>High-risk use classifier and escalation gate</t>
        </is>
      </c>
      <c r="D339" s="96" t="inlineStr">
        <is>
          <t>Detect employment, healthcare treatment, credit/insurance eligibility, legal determinations, regulated consumer decisions, and individual-rights impacts. Block or require legal/admin review before output/action.</t>
        </is>
      </c>
      <c r="E339" t="inlineStr">
        <is>
          <t>P0</t>
        </is>
      </c>
      <c r="F339" t="inlineStr">
        <is>
          <t>2. CLAUDE DOES IT</t>
        </is>
      </c>
      <c r="G339" t="inlineStr">
        <is>
          <t>Anand</t>
        </is>
      </c>
      <c r="H339" t="inlineStr">
        <is>
          <t>T203,T219</t>
        </is>
      </c>
      <c r="I339" s="96" t="inlineStr">
        <is>
          <t>Claude (code+policy)</t>
        </is>
      </c>
      <c r="J339" t="inlineStr">
        <is>
          <t>$0</t>
        </is>
      </c>
      <c r="K339" t="inlineStr">
        <is>
          <t>Anytime</t>
        </is>
      </c>
      <c r="L339" t="inlineStr">
        <is>
          <t>Done</t>
        </is>
      </c>
      <c r="M339" s="96" t="inlineStr">
        <is>
          <t>Executed: high-risk classifier and escalation policy contract implemented with tests.</t>
        </is>
      </c>
    </row>
    <row r="340">
      <c r="A340" t="inlineStr">
        <is>
          <t>T336</t>
        </is>
      </c>
      <c r="B340" t="inlineStr">
        <is>
          <t>AI Liability Defense</t>
        </is>
      </c>
      <c r="C340" t="inlineStr">
        <is>
          <t>Client admin policy settings for approval roles and extra gates</t>
        </is>
      </c>
      <c r="D340" s="96" t="inlineStr">
        <is>
          <t>Tenant admins can require CFO, legal, procurement, security, or executive approval by module/action type. Policy chosen by client is captured in audit evidence.</t>
        </is>
      </c>
      <c r="E340" t="inlineStr">
        <is>
          <t>P1</t>
        </is>
      </c>
      <c r="F340" t="inlineStr">
        <is>
          <t>2. CLAUDE DOES IT</t>
        </is>
      </c>
      <c r="G340" t="inlineStr">
        <is>
          <t>Anand</t>
        </is>
      </c>
      <c r="H340" t="inlineStr">
        <is>
          <t>T206,T217</t>
        </is>
      </c>
      <c r="I340" s="96" t="inlineStr">
        <is>
          <t>Claude (code)</t>
        </is>
      </c>
      <c r="J340" t="inlineStr">
        <is>
          <t>$0</t>
        </is>
      </c>
      <c r="K340" t="inlineStr">
        <is>
          <t>Post-Resign</t>
        </is>
      </c>
      <c r="L340" t="inlineStr">
        <is>
          <t>In progress</t>
        </is>
      </c>
      <c r="M340" s="96" t="inlineStr">
        <is>
          <t>Default client policy settings implemented in code; live per-tenant admin UI/persistence remains a follow-on DB/UI slice. 2026-06-04: PR #3006 opened for AI Liability live-evidence matrix/verifier/release record. It separates remaining open rows into live product E2E proof, durable evidence/export proof, source-binding proof, and counsel/insurance proof, making explicit which work Codex can advance versus what requires Anand/counsel/broker/carrier/client-side evidence. Keep In progress until row-specific proof exists. 2026-06-04: PR #3006 merged to main at cc52e53f with the AI Liability live-evidence matrix, verifier, and release record. Keep In progress until row-specific live UI, legal, policy, insurance, counsel, or approval evidence is captured and attached.</t>
        </is>
      </c>
    </row>
    <row r="341">
      <c r="A341" t="inlineStr">
        <is>
          <t>T337</t>
        </is>
      </c>
      <c r="B341" t="inlineStr">
        <is>
          <t>AI Liability Defense</t>
        </is>
      </c>
      <c r="C341" t="inlineStr">
        <is>
          <t>Human override / rejection capture for every AI recommendation</t>
        </is>
      </c>
      <c r="D341" s="96" t="inlineStr">
        <is>
          <t>Users can accept, modify, reject, or request more evidence. Rejections and edits are stored to prove human discretion and improve later QA.</t>
        </is>
      </c>
      <c r="E341" t="inlineStr">
        <is>
          <t>P0</t>
        </is>
      </c>
      <c r="F341" t="inlineStr">
        <is>
          <t>2. CLAUDE DOES IT</t>
        </is>
      </c>
      <c r="G341" t="inlineStr">
        <is>
          <t>Anand</t>
        </is>
      </c>
      <c r="H341" t="inlineStr">
        <is>
          <t>T210,T216</t>
        </is>
      </c>
      <c r="I341" s="96" t="inlineStr">
        <is>
          <t>Claude (code)</t>
        </is>
      </c>
      <c r="J341" t="inlineStr">
        <is>
          <t>$0</t>
        </is>
      </c>
      <c r="K341" t="inlineStr">
        <is>
          <t>Anytime</t>
        </is>
      </c>
      <c r="L341" t="inlineStr">
        <is>
          <t>In progress</t>
        </is>
      </c>
      <c r="M341" s="96" t="inlineStr">
        <is>
          <t>Evidence packet supports accept/modify/reject/more-evidence disposition; live capture/persistence remains follow-on. 2026-06-04: PR #3006 opened for AI Liability live-evidence matrix/verifier/release record. It separates remaining open rows into live product E2E proof, durable evidence/export proof, source-binding proof, and counsel/insurance proof, making explicit which work Codex can advance versus what requires Anand/counsel/broker/carrier/client-side evidence. Keep In progress until row-specific proof exists. 2026-06-04: PR #3006 merged to main at cc52e53f with the AI Liability live-evidence matrix, verifier, and release record. Keep In progress until row-specific live UI, legal, policy, insurance, counsel, or approval evidence is captured and attached.</t>
        </is>
      </c>
    </row>
    <row r="342">
      <c r="A342" t="inlineStr">
        <is>
          <t>T338</t>
        </is>
      </c>
      <c r="B342" t="inlineStr">
        <is>
          <t>AI Liability Defense</t>
        </is>
      </c>
      <c r="C342" t="inlineStr">
        <is>
          <t>Model risk register mapped to NIST AI RMF controls</t>
        </is>
      </c>
      <c r="D342" s="96" t="inlineStr">
        <is>
          <t>Maintain a living register of AI surfaces, model/provider, intended use, risk level, human oversight, monitoring, evals, known limitations, owner, and review cadence.</t>
        </is>
      </c>
      <c r="E342" t="inlineStr">
        <is>
          <t>P1</t>
        </is>
      </c>
      <c r="F342" t="inlineStr">
        <is>
          <t>2. CLAUDE DOES IT</t>
        </is>
      </c>
      <c r="G342" t="inlineStr">
        <is>
          <t>Anand</t>
        </is>
      </c>
      <c r="H342" t="inlineStr">
        <is>
          <t>T224,T230</t>
        </is>
      </c>
      <c r="I342" s="96" t="inlineStr">
        <is>
          <t>Claude (draft+tracker)</t>
        </is>
      </c>
      <c r="J342" t="inlineStr">
        <is>
          <t>$0</t>
        </is>
      </c>
      <c r="K342" t="inlineStr">
        <is>
          <t>Post-Resign</t>
        </is>
      </c>
      <c r="L342" t="inlineStr">
        <is>
          <t>Done</t>
        </is>
      </c>
      <c r="M342" s="96" t="inlineStr">
        <is>
          <t>Executed: model risk register mapped to NIST AI RMF functions in shared controls.</t>
        </is>
      </c>
    </row>
    <row r="343">
      <c r="A343" t="inlineStr">
        <is>
          <t>T339</t>
        </is>
      </c>
      <c r="B343" t="inlineStr">
        <is>
          <t>AI Liability Defense</t>
        </is>
      </c>
      <c r="C343" t="inlineStr">
        <is>
          <t>MSA/SOW counsel review: decision-support allocation of responsibility</t>
        </is>
      </c>
      <c r="D343" s="96" t="inlineStr">
        <is>
          <t>Have counsel review advisory-only positioning, validation duty, client decision ownership, prohibited high-risk uses, warranty disclaimer, indemnity, and liability cap language.</t>
        </is>
      </c>
      <c r="E343" t="inlineStr">
        <is>
          <t>P0</t>
        </is>
      </c>
      <c r="F343" t="inlineStr">
        <is>
          <t>4. CLAUDE + PRO</t>
        </is>
      </c>
      <c r="G343" t="inlineStr">
        <is>
          <t>Anand</t>
        </is>
      </c>
      <c r="H343" t="inlineStr">
        <is>
          <t>T219,T220,T221,T222</t>
        </is>
      </c>
      <c r="I343" s="96" t="inlineStr">
        <is>
          <t>Claude draft + lawyer review</t>
        </is>
      </c>
      <c r="J343" t="inlineStr">
        <is>
          <t>$1-3k</t>
        </is>
      </c>
      <c r="K343" t="inlineStr">
        <is>
          <t>Pre-Resign</t>
        </is>
      </c>
      <c r="L343" t="inlineStr">
        <is>
          <t>In progress</t>
        </is>
      </c>
      <c r="M343" s="96" t="inlineStr">
        <is>
          <t>Codex drafted counsel checklist/control doc; external lawyer review and sign-off remain required before pilot signature. 2026-06-04: PR #3006 opened for AI Liability live-evidence matrix/verifier/release record. It separates remaining open rows into live product E2E proof, durable evidence/export proof, source-binding proof, and counsel/insurance proof, making explicit which work Codex can advance versus what requires Anand/counsel/broker/carrier/client-side evidence. Keep In progress until row-specific proof exists. 2026-06-04: PR #3006 merged to main at cc52e53f with the AI Liability live-evidence matrix, verifier, and release record. Keep In progress until row-specific live UI, legal, policy, insurance, counsel, or approval evidence is captured and attached.</t>
        </is>
      </c>
    </row>
    <row r="344">
      <c r="A344" t="inlineStr">
        <is>
          <t>T340</t>
        </is>
      </c>
      <c r="B344" t="inlineStr">
        <is>
          <t>AI Liability Defense</t>
        </is>
      </c>
      <c r="C344" t="inlineStr">
        <is>
          <t>Decision evidence packet QA harness</t>
        </is>
      </c>
      <c r="D344" s="96" t="inlineStr">
        <is>
          <t>Automated tests assert every consequential flow produces decision owner, attestation, sources, missing data, assumptions, human rationale, timestamp, and export watermark where applicable.</t>
        </is>
      </c>
      <c r="E344" t="inlineStr">
        <is>
          <t>P0</t>
        </is>
      </c>
      <c r="F344" t="inlineStr">
        <is>
          <t>2. CLAUDE DOES IT</t>
        </is>
      </c>
      <c r="G344" t="inlineStr">
        <is>
          <t>Anand</t>
        </is>
      </c>
      <c r="H344" t="inlineStr">
        <is>
          <t>T216,T330,T331,T332,T334</t>
        </is>
      </c>
      <c r="I344" s="96" t="inlineStr">
        <is>
          <t>Claude (tests)</t>
        </is>
      </c>
      <c r="J344" t="inlineStr">
        <is>
          <t>$0</t>
        </is>
      </c>
      <c r="K344" t="inlineStr">
        <is>
          <t>Anytime</t>
        </is>
      </c>
      <c r="L344" t="inlineStr">
        <is>
          <t>Done</t>
        </is>
      </c>
      <c r="M344" s="96" t="inlineStr">
        <is>
          <t>Executed: QA harness added and passed for packet validation, sanitizer, Source standards, dispatch, TypeScript, release gate, and PR #2756 Source L6 governance follow-up. PR #2756 CI passed and production crawl verified CXO/deal-pack exports plus 409 governance blocks.</t>
        </is>
      </c>
    </row>
    <row r="345">
      <c r="A345" t="inlineStr">
        <is>
          <t>T341</t>
        </is>
      </c>
      <c r="B345" t="inlineStr">
        <is>
          <t>Private Data Plane</t>
        </is>
      </c>
      <c r="C345" t="inlineStr">
        <is>
          <t>Pilot private data-plane test environment: SSO to data loads</t>
        </is>
      </c>
      <c r="D345" t="inlineStr">
        <is>
          <t>Stand up a pilot-like private data-plane rehearsal environment that mimics the real enterprise path: SSO, client-scoped Azure storage, Postgres/data-plane isolation, ingestion queue, audit log, and role-gated admin access.</t>
        </is>
      </c>
      <c r="E345" t="inlineStr">
        <is>
          <t>P0</t>
        </is>
      </c>
      <c r="F345" t="inlineStr">
        <is>
          <t>3. CLAUDE + YOU</t>
        </is>
      </c>
      <c r="G345" t="inlineStr">
        <is>
          <t>Anand</t>
        </is>
      </c>
      <c r="H345" t="inlineStr">
        <is>
          <t>T128</t>
        </is>
      </c>
      <c r="I345" t="inlineStr">
        <is>
          <t>Claude + Azure setup</t>
        </is>
      </c>
      <c r="J345" t="inlineStr">
        <is>
          <t>$0-credits / Azure lab spend</t>
        </is>
      </c>
      <c r="K345" t="inlineStr">
        <is>
          <t>Pre-Resign</t>
        </is>
      </c>
      <c r="L345" t="inlineStr">
        <is>
          <t>In progress</t>
        </is>
      </c>
      <c r="M345" t="inlineStr">
        <is>
          <t>New pilot-critical architecture gate. Should execute before live client data onboarding. PL-0 started: PR #2815 adds the executable pilot data-plane verifier and names-only env manifest; current env reports stub-fail-closed until Azure/Clerk/Postgres/Search/Resend keys and live decisions are configured. Not Done until live/stub harness validates SSO -&gt; storage -&gt; queue -&gt; audit -&gt; admin access end to end. PR #2815 merged: verifier/manifest are on main; row remains In progress until live/stub path validates every hop end to end.</t>
        </is>
      </c>
    </row>
    <row r="346">
      <c r="A346" t="inlineStr">
        <is>
          <t>T342</t>
        </is>
      </c>
      <c r="B346" t="inlineStr">
        <is>
          <t>Private Data Plane</t>
        </is>
      </c>
      <c r="C346" t="inlineStr">
        <is>
          <t>Setup Data Load Center shell in admin/setup</t>
        </is>
      </c>
      <c r="D346" t="inlineStr">
        <is>
          <t>Create the admin workflow hub for data onboarding: upload, template explorer, consent, quarantine, processing runs, clarification queue, and completed-load history.</t>
        </is>
      </c>
      <c r="E346" t="inlineStr">
        <is>
          <t>P0</t>
        </is>
      </c>
      <c r="F346" t="inlineStr">
        <is>
          <t>2. CLAUDE DOES IT</t>
        </is>
      </c>
      <c r="G346" t="inlineStr">
        <is>
          <t>Anand</t>
        </is>
      </c>
      <c r="H346" t="inlineStr">
        <is>
          <t>T341</t>
        </is>
      </c>
      <c r="I346" t="inlineStr">
        <is>
          <t>Claude (code)</t>
        </is>
      </c>
      <c r="J346" t="inlineStr">
        <is>
          <t>$0</t>
        </is>
      </c>
      <c r="K346" t="inlineStr">
        <is>
          <t>Anytime</t>
        </is>
      </c>
      <c r="L346" s="103" t="inlineStr">
        <is>
          <t>Done</t>
        </is>
      </c>
      <c r="M346" s="103" t="inlineStr">
        <is>
          <t>PR #2855 merged 2026-06-02 (merge c40668e1). /admin/setup Data Load Center now exposes active-client-only reload command plan, Azure/system handoffs, checks, approvals, notifications, and exception intake; no live Azure mutation in this slice. PR #2971 merged 2026-06-04 at 0de011b4bc42b289e1b37e52f1a3c817b34940f8 to route stale Data Loads aliases (/home/data-loads, /setup/data-loads, /admin/data-loads, /admin/data-load) into canonical /admin/setup with route-registry and Home/Admin boundary tests.</t>
        </is>
      </c>
    </row>
    <row r="347">
      <c r="A347" t="inlineStr">
        <is>
          <t>T343</t>
        </is>
      </c>
      <c r="B347" t="inlineStr">
        <is>
          <t>Private Data Plane</t>
        </is>
      </c>
      <c r="C347" t="inlineStr">
        <is>
          <t>Dimension/template explorer for all onboarding templates</t>
        </is>
      </c>
      <c r="D347" t="inlineStr">
        <is>
          <t>Admins can view every required template by dimension, accepted file types, required fields, optional fields, owner role, refresh cadence, and what product surfaces the data unlocks.</t>
        </is>
      </c>
      <c r="E347" t="inlineStr">
        <is>
          <t>P0</t>
        </is>
      </c>
      <c r="F347" t="inlineStr">
        <is>
          <t>2. CLAUDE DOES IT</t>
        </is>
      </c>
      <c r="G347" t="inlineStr">
        <is>
          <t>Anand</t>
        </is>
      </c>
      <c r="H347" t="inlineStr">
        <is>
          <t>T342</t>
        </is>
      </c>
      <c r="I347" t="inlineStr">
        <is>
          <t>Claude (code)</t>
        </is>
      </c>
      <c r="J347" t="inlineStr">
        <is>
          <t>$0</t>
        </is>
      </c>
      <c r="K347" t="inlineStr">
        <is>
          <t>Anytime</t>
        </is>
      </c>
      <c r="L347" s="103" t="inlineStr">
        <is>
          <t>Done</t>
        </is>
      </c>
      <c r="M347" s="103" t="inlineStr">
        <is>
          <t>PR #2855 merged 2026-06-02. Template explorer/read model covers context registry + Day One workbooks and major formats: CSV, XLSX, JSON/JSONL, PDF, DOCX, PPTX, Markdown, ZIP, with controlled-exception metadata requirements.</t>
        </is>
      </c>
    </row>
    <row r="348">
      <c r="A348" t="inlineStr">
        <is>
          <t>T344</t>
        </is>
      </c>
      <c r="B348" t="inlineStr">
        <is>
          <t>Private Data Plane</t>
        </is>
      </c>
      <c r="C348" t="inlineStr">
        <is>
          <t>Upload documents by dimension into Azure Blob storage</t>
        </is>
      </c>
      <c r="D348" t="inlineStr">
        <is>
          <t>Admin uploads are pinned to client, dimension/template, uploader, classification, source system, sha/hash, and storage path. Files land in client-scoped Azure containers before processing.</t>
        </is>
      </c>
      <c r="E348" t="inlineStr">
        <is>
          <t>P0</t>
        </is>
      </c>
      <c r="F348" t="inlineStr">
        <is>
          <t>2. CLAUDE DOES IT</t>
        </is>
      </c>
      <c r="G348" t="inlineStr">
        <is>
          <t>Anand</t>
        </is>
      </c>
      <c r="H348" t="inlineStr">
        <is>
          <t>T341,T343</t>
        </is>
      </c>
      <c r="I348" t="inlineStr">
        <is>
          <t>Claude (code)</t>
        </is>
      </c>
      <c r="J348" t="inlineStr">
        <is>
          <t>$0</t>
        </is>
      </c>
      <c r="K348" t="inlineStr">
        <is>
          <t>Anytime</t>
        </is>
      </c>
      <c r="L348" t="inlineStr">
        <is>
          <t>In progress</t>
        </is>
      </c>
      <c r="M348" t="inlineStr">
        <is>
          <t>In progress - private data-plane execution register defines dimension-scoped Azure Blob/ADLS upload path, manifest, scan/quarantine handoff, active-client guard, and audit evidence. Done requires implemented upload proof. Evidence: /Users/anand/Downloads/abarva-private-data-plane-execution/PRIVATE_DATA_PLANE_EXECUTION_REGISTER_2026-06-04.xlsx; index: /Users/anand/Downloads/abarva-private-data-plane-execution/PRIVATE_DATA_PLANE_EXECUTION_INDEX_2026-06-04.md.</t>
        </is>
      </c>
    </row>
    <row r="349">
      <c r="A349" t="inlineStr">
        <is>
          <t>T345</t>
        </is>
      </c>
      <c r="B349" t="inlineStr">
        <is>
          <t>Private Data Plane</t>
        </is>
      </c>
      <c r="C349" t="inlineStr">
        <is>
          <t>PHI/PII quarantine and reviewer workflow</t>
        </is>
      </c>
      <c r="D349" t="inlineStr">
        <is>
          <t>Suspected PHI, PII, payment, routing, account, MRN, DOB, or other regulated identifiers are stopped before indexing/loading and routed to quarantine with reason codes and reviewer disposition.</t>
        </is>
      </c>
      <c r="E349" t="inlineStr">
        <is>
          <t>P0</t>
        </is>
      </c>
      <c r="F349" t="inlineStr">
        <is>
          <t>2. CLAUDE DOES IT</t>
        </is>
      </c>
      <c r="G349" t="inlineStr">
        <is>
          <t>Anand</t>
        </is>
      </c>
      <c r="H349" t="inlineStr">
        <is>
          <t>T344</t>
        </is>
      </c>
      <c r="I349" t="inlineStr">
        <is>
          <t>Claude (code+tests)</t>
        </is>
      </c>
      <c r="J349" t="inlineStr">
        <is>
          <t>$0</t>
        </is>
      </c>
      <c r="K349" t="inlineStr">
        <is>
          <t>Anytime</t>
        </is>
      </c>
      <c r="L349" t="inlineStr">
        <is>
          <t>In progress</t>
        </is>
      </c>
      <c r="M349" t="inlineStr">
        <is>
          <t>Extend existing sensitive-upload guard into durable quarantine state, not just API rejection. PR #2816 opened: audit-only landing-zone ledger hook now creates typed quarantine-case write plans when the sensitive-data guard quarantines a file. Still In progress because durable Postgres quarantine persistence, reviewer workflow, notification/email/audit fan-out, and UI review states are not shipped yet. PR #2816 merged: audit-only ledger hook is on main; row remains In progress until durable persistence and fan-out/retry workflow ship.</t>
        </is>
      </c>
    </row>
    <row r="350">
      <c r="A350" t="inlineStr">
        <is>
          <t>T346</t>
        </is>
      </c>
      <c r="B350" t="inlineStr">
        <is>
          <t>Private Data Plane</t>
        </is>
      </c>
      <c r="C350" t="inlineStr">
        <is>
          <t>Data-load permission and disclaimer attestation gate</t>
        </is>
      </c>
      <c r="D350" t="inlineStr">
        <is>
          <t>Before upload/load, admin confirms authority to load the data, classification, permitted use, client responsibility, and that restricted data must not be submitted unless private-data policy allows it.</t>
        </is>
      </c>
      <c r="E350" t="inlineStr">
        <is>
          <t>P0</t>
        </is>
      </c>
      <c r="F350" t="inlineStr">
        <is>
          <t>2. CLAUDE DOES IT</t>
        </is>
      </c>
      <c r="G350" t="inlineStr">
        <is>
          <t>Anand</t>
        </is>
      </c>
      <c r="H350" t="inlineStr">
        <is>
          <t>T345,T331</t>
        </is>
      </c>
      <c r="I350" t="inlineStr">
        <is>
          <t>Claude (code+content)</t>
        </is>
      </c>
      <c r="J350" t="inlineStr">
        <is>
          <t>$0</t>
        </is>
      </c>
      <c r="K350" t="inlineStr">
        <is>
          <t>Anytime</t>
        </is>
      </c>
      <c r="L350" s="103" t="inlineStr">
        <is>
          <t>In progress</t>
        </is>
      </c>
      <c r="M350" s="103" t="inlineStr">
        <is>
          <t>PR #2819 merged 2026-06-02: admin CSV uploads now require a pilot data-load attestation gate in UI/API and carry accepted attestation metadata into ingestion summaries/provenance. Still In progress until legal/counsel-approved attestation copy and/or a standalone durable attestation ledger is approved.</t>
        </is>
      </c>
    </row>
    <row r="351">
      <c r="A351" t="inlineStr">
        <is>
          <t>T347</t>
        </is>
      </c>
      <c r="B351" t="inlineStr">
        <is>
          <t>Private Data Plane</t>
        </is>
      </c>
      <c r="C351" t="inlineStr">
        <is>
          <t>Click-to-initiate Azure processing run</t>
        </is>
      </c>
      <c r="D351" t="inlineStr">
        <is>
          <t>Admin can start a processing run from the UI. The run emits an Azure landing-zone message and uses Azure-native parsing/orchestration for documents, spreadsheets, and structured files.</t>
        </is>
      </c>
      <c r="E351" t="inlineStr">
        <is>
          <t>P0</t>
        </is>
      </c>
      <c r="F351" t="inlineStr">
        <is>
          <t>3. CLAUDE + YOU</t>
        </is>
      </c>
      <c r="G351" t="inlineStr">
        <is>
          <t>Anand</t>
        </is>
      </c>
      <c r="H351" t="inlineStr">
        <is>
          <t>T344,T346</t>
        </is>
      </c>
      <c r="I351" t="inlineStr">
        <is>
          <t>Claude + Azure function/worker</t>
        </is>
      </c>
      <c r="J351" t="inlineStr">
        <is>
          <t>$0-credits / Azure lab spend</t>
        </is>
      </c>
      <c r="K351" t="inlineStr">
        <is>
          <t>Anytime</t>
        </is>
      </c>
      <c r="L351" t="inlineStr">
        <is>
          <t>In progress</t>
        </is>
      </c>
      <c r="M351" t="inlineStr">
        <is>
          <t>In progress - execution register defines click-to-start Azure processing run with human trigger, job/run ID, idempotency, retry/replay metadata, ledger, and notification state. Done requires implemented trigger proof. Evidence: /Users/anand/Downloads/abarva-private-data-plane-execution/PRIVATE_DATA_PLANE_EXECUTION_REGISTER_2026-06-04.xlsx; index: /Users/anand/Downloads/abarva-private-data-plane-execution/PRIVATE_DATA_PLANE_EXECUTION_INDEX_2026-06-04.md.</t>
        </is>
      </c>
    </row>
    <row r="352">
      <c r="A352" t="inlineStr">
        <is>
          <t>T348</t>
        </is>
      </c>
      <c r="B352" t="inlineStr">
        <is>
          <t>Private Data Plane</t>
        </is>
      </c>
      <c r="C352" t="inlineStr">
        <is>
          <t>Schema anomaly detection and clarification queue</t>
        </is>
      </c>
      <c r="D352" t="inlineStr">
        <is>
          <t>If parsed files contain unknown columns, missing required fields, ambiguous entities, invalid enums, or non-template data, the run pauses and asks admins to clarify mapping/metadata/context before commit.</t>
        </is>
      </c>
      <c r="E352" t="inlineStr">
        <is>
          <t>P0</t>
        </is>
      </c>
      <c r="F352" t="inlineStr">
        <is>
          <t>2. CLAUDE DOES IT</t>
        </is>
      </c>
      <c r="G352" t="inlineStr">
        <is>
          <t>Anand</t>
        </is>
      </c>
      <c r="H352" t="inlineStr">
        <is>
          <t>T343,T347</t>
        </is>
      </c>
      <c r="I352" t="inlineStr">
        <is>
          <t>Claude (code+tests)</t>
        </is>
      </c>
      <c r="J352" t="inlineStr">
        <is>
          <t>$0</t>
        </is>
      </c>
      <c r="K352" t="inlineStr">
        <is>
          <t>Anytime</t>
        </is>
      </c>
      <c r="L352" s="103" t="inlineStr">
        <is>
          <t>In progress</t>
        </is>
      </c>
      <c r="M352" s="103" t="inlineStr">
        <is>
          <t>PR #2855 exposes schema anomaly / nonmatching-template clarification path in Admin and links to approval queue; live runtime detection, pause/resume, and commit blocking remain open.</t>
        </is>
      </c>
    </row>
    <row r="353">
      <c r="A353" t="inlineStr">
        <is>
          <t>T349</t>
        </is>
      </c>
      <c r="B353" t="inlineStr">
        <is>
          <t>Private Data Plane</t>
        </is>
      </c>
      <c r="C353" t="inlineStr">
        <is>
          <t>Processing run ledger, retry/replay, and notifications</t>
        </is>
      </c>
      <c r="D353" t="inlineStr">
        <is>
          <t>Every upload/run has status, stage, started/completed timestamps, actor, error details, retry/replay action, and completion notification by email/in-app message.</t>
        </is>
      </c>
      <c r="E353" t="inlineStr">
        <is>
          <t>P0</t>
        </is>
      </c>
      <c r="F353" t="inlineStr">
        <is>
          <t>2. CLAUDE DOES IT</t>
        </is>
      </c>
      <c r="G353" t="inlineStr">
        <is>
          <t>Anand</t>
        </is>
      </c>
      <c r="H353" t="inlineStr">
        <is>
          <t>T347,T348</t>
        </is>
      </c>
      <c r="I353" t="inlineStr">
        <is>
          <t>Claude (code)</t>
        </is>
      </c>
      <c r="J353" t="inlineStr">
        <is>
          <t>$0</t>
        </is>
      </c>
      <c r="K353" t="inlineStr">
        <is>
          <t>Anytime</t>
        </is>
      </c>
      <c r="L353" s="103" t="inlineStr">
        <is>
          <t>In progress</t>
        </is>
      </c>
      <c r="M353" s="103" t="inlineStr">
        <is>
          <t>PR #2816 merged 2026-06-02 added audit-only ingestion ledger planning/hook. PR #2822 merged 2026-06-02 adds a durable writer for upload-run/file-manifest/quarantine-case ledger rows with green CI. Still In progress until the writer is wired into the live landing-zone consumer plus notification/audit fan-out.</t>
        </is>
      </c>
    </row>
    <row r="354">
      <c r="A354" t="inlineStr">
        <is>
          <t>T350</t>
        </is>
      </c>
      <c r="B354" t="inlineStr">
        <is>
          <t>Private Data Plane</t>
        </is>
      </c>
      <c r="C354" t="inlineStr">
        <is>
          <t>Approved parsed data commit into relevant databases/search indexes</t>
        </is>
      </c>
      <c r="D354" t="inlineStr">
        <is>
          <t>After validation and attestation, approved facts/records load into the correct client-scoped Postgres/context/search targets with provenance, source locator, template id, and run id.</t>
        </is>
      </c>
      <c r="E354" t="inlineStr">
        <is>
          <t>P0</t>
        </is>
      </c>
      <c r="F354" t="inlineStr">
        <is>
          <t>3. CLAUDE + YOU</t>
        </is>
      </c>
      <c r="G354" t="inlineStr">
        <is>
          <t>Anand</t>
        </is>
      </c>
      <c r="H354" t="inlineStr">
        <is>
          <t>T348,T349</t>
        </is>
      </c>
      <c r="I354" t="inlineStr">
        <is>
          <t>Claude (code+DB)</t>
        </is>
      </c>
      <c r="J354" t="inlineStr">
        <is>
          <t>$0</t>
        </is>
      </c>
      <c r="K354" t="inlineStr">
        <is>
          <t>Anytime</t>
        </is>
      </c>
      <c r="L354" t="inlineStr">
        <is>
          <t>In progress</t>
        </is>
      </c>
      <c r="M354" t="inlineStr">
        <is>
          <t>In progress - execution register defines approved commit into Postgres/search with provenance, approval bundle, RLS/client scope, and rollback/replay reference. Done requires implemented approved-commit proof. Evidence: /Users/anand/Downloads/abarva-private-data-plane-execution/PRIVATE_DATA_PLANE_EXECUTION_REGISTER_2026-06-04.xlsx; index: /Users/anand/Downloads/abarva-private-data-plane-execution/PRIVATE_DATA_PLANE_EXECUTION_INDEX_2026-06-04.md.</t>
        </is>
      </c>
    </row>
    <row r="355">
      <c r="A355" t="inlineStr">
        <is>
          <t>T351</t>
        </is>
      </c>
      <c r="B355" t="inlineStr">
        <is>
          <t>Private Data Plane</t>
        </is>
      </c>
      <c r="C355" t="inlineStr">
        <is>
          <t>Admin outputs and deliverables explorer by Moves and Source events</t>
        </is>
      </c>
      <c r="D355" t="inlineStr">
        <is>
          <t>Admins can view all generated outputs/deliverables across Moves and Source events in one place with status, owner, module, event/program, generated/exported timestamps, evidence coverage, and approval state.</t>
        </is>
      </c>
      <c r="E355" t="inlineStr">
        <is>
          <t>P0</t>
        </is>
      </c>
      <c r="F355" t="inlineStr">
        <is>
          <t>2. CLAUDE DOES IT</t>
        </is>
      </c>
      <c r="G355" t="inlineStr">
        <is>
          <t>Anand</t>
        </is>
      </c>
      <c r="H355" t="inlineStr">
        <is>
          <t>T217,T340</t>
        </is>
      </c>
      <c r="I355" t="inlineStr">
        <is>
          <t>Claude (code)</t>
        </is>
      </c>
      <c r="J355" t="inlineStr">
        <is>
          <t>$0</t>
        </is>
      </c>
      <c r="K355" t="inlineStr">
        <is>
          <t>Anytime</t>
        </is>
      </c>
      <c r="L355" s="103" t="inlineStr">
        <is>
          <t>In progress</t>
        </is>
      </c>
      <c r="M355" s="103" t="inlineStr">
        <is>
          <t>PR #2821 merged 2026-06-02: admin outputs/deliverables explorer added across Moves and Source read models with green CI and Vercel preview contexts. Still In progress until auth-gated browser smoke or production preview validation confirms the live admin experience.</t>
        </is>
      </c>
    </row>
    <row r="356">
      <c r="A356" t="inlineStr">
        <is>
          <t>T352</t>
        </is>
      </c>
      <c r="B356" t="inlineStr">
        <is>
          <t>Private Data Plane</t>
        </is>
      </c>
      <c r="C356" t="inlineStr">
        <is>
          <t>End-to-end pilot data-plane smoke: SSO -&gt; upload -&gt; quarantine/parse -&gt; clarify -&gt; load -&gt; output</t>
        </is>
      </c>
      <c r="D356" t="inlineStr">
        <is>
          <t>Automated and manual smoke proves a pilot admin can sign in, upload a file by dimension, trigger processing, handle quarantine or schema clarification, commit approved data, and see outputs/deliverables grounded in that data.</t>
        </is>
      </c>
      <c r="E356" t="inlineStr">
        <is>
          <t>P0</t>
        </is>
      </c>
      <c r="F356" t="inlineStr">
        <is>
          <t>3. CLAUDE + YOU</t>
        </is>
      </c>
      <c r="G356" t="inlineStr">
        <is>
          <t>Anand</t>
        </is>
      </c>
      <c r="H356" t="inlineStr">
        <is>
          <t>T341,T342,T343,T344,T345,T346,T347,T348,T349,T350,T351</t>
        </is>
      </c>
      <c r="I356" t="inlineStr">
        <is>
          <t>Claude + you QA</t>
        </is>
      </c>
      <c r="J356" t="inlineStr">
        <is>
          <t>$0</t>
        </is>
      </c>
      <c r="K356" t="inlineStr">
        <is>
          <t>Pre-Resign</t>
        </is>
      </c>
      <c r="L356" t="inlineStr">
        <is>
          <t>In progress</t>
        </is>
      </c>
      <c r="M356" t="inlineStr">
        <is>
          <t>In progress - E2E smoke checklist defines SSO -&gt; active client -&gt; upload -&gt; quarantine/parse -&gt; clarify -&gt; approved commit -&gt; outputs/notification/audit proof. PR #2997 is related but review-blocked; Done requires actual smoke evidence. Evidence: /Users/anand/Downloads/abarva-private-data-plane-execution/PRIVATE_DATA_PLANE_EXECUTION_REGISTER_2026-06-04.xlsx; index: /Users/anand/Downloads/abarva-private-data-plane-execution/PRIVATE_DATA_PLANE_EXECUTION_INDEX_2026-06-04.md. 2026-06-04: PR #2997 merged to main at 88bfc35c with the governed load rehearsal. Keep In progress until the live end-to-end pilot data-plane smoke evidence is captured.</t>
        </is>
      </c>
    </row>
    <row r="357">
      <c r="A357" s="98" t="inlineStr">
        <is>
          <t>T353</t>
        </is>
      </c>
      <c r="B357" s="98" t="inlineStr">
        <is>
          <t>Pilot Ops</t>
        </is>
      </c>
      <c r="C357" s="98" t="inlineStr">
        <is>
          <t>Source: SkyHarbor L6 UI hardening from production audit</t>
        </is>
      </c>
      <c r="D357" s="98" t="inlineStr">
        <is>
          <t>Fix the buyer-facing issues validated in the SkyHarbor L6 audit: blocked-evidence CTA should open renewal intake, empty portfolio preview must not show APX/MER/SKY tenant codes, source queue copy should be buyer-readable, and empty-trigger intake should give visible feedback.</t>
        </is>
      </c>
      <c r="E357" s="98" t="inlineStr">
        <is>
          <t>P0</t>
        </is>
      </c>
      <c r="F357" s="98" t="inlineStr">
        <is>
          <t>2. CLAUDE DOES IT</t>
        </is>
      </c>
      <c r="G357" s="98" t="inlineStr">
        <is>
          <t>Anand</t>
        </is>
      </c>
      <c r="H357" s="98" t="inlineStr"/>
      <c r="I357" s="98" t="inlineStr">
        <is>
          <t>Codex (code+browser crawl)</t>
        </is>
      </c>
      <c r="J357" s="98" t="inlineStr">
        <is>
          <t>$0</t>
        </is>
      </c>
      <c r="K357" s="98" t="inlineStr">
        <is>
          <t>Anytime</t>
        </is>
      </c>
      <c r="L357" s="98" t="inlineStr">
        <is>
          <t>Done</t>
        </is>
      </c>
      <c r="M357" s="98" t="inlineStr">
        <is>
          <t>PR #2760 merged and production deployed on 2026-06-01. Live app.abarva.ai SkyHarbor crawl verified /source/portfolio generic SRC-DEMO preview, /source/new trigger helper, and /source/queue Open decision -&gt; /source/new?intent=renewal.</t>
        </is>
      </c>
    </row>
    <row r="358">
      <c r="A358" s="98" t="inlineStr">
        <is>
          <t>T354</t>
        </is>
      </c>
      <c r="B358" s="98" t="inlineStr">
        <is>
          <t>Pilot Ops</t>
        </is>
      </c>
      <c r="C358" s="98" t="inlineStr">
        <is>
          <t>Source: create a SkyHarbor end-to-end sourcing event for BAFO/pricing proof</t>
        </is>
      </c>
      <c r="D358" s="98" t="inlineStr">
        <is>
          <t>A VP Sourcing demo cannot prove BAFO/pricing value while SkyHarbor has zero active Source events. Seed or ingest one realistic event with vendor_contracts, it_financials, baseline pricing, BAFO rounds, evidence citations, and decision owner so the full Strategy -&gt; Value lifecycle can be audited.</t>
        </is>
      </c>
      <c r="E358" s="98" t="inlineStr">
        <is>
          <t>P0</t>
        </is>
      </c>
      <c r="F358" s="98" t="inlineStr">
        <is>
          <t>2. CLAUDE DOES IT</t>
        </is>
      </c>
      <c r="G358" s="98" t="inlineStr">
        <is>
          <t>Anand</t>
        </is>
      </c>
      <c r="H358" s="98" t="inlineStr">
        <is>
          <t>T341,T350,T352</t>
        </is>
      </c>
      <c r="I358" s="98" t="inlineStr">
        <is>
          <t>Codex (seed/data+E2E QA)</t>
        </is>
      </c>
      <c r="J358" s="98" t="inlineStr">
        <is>
          <t>$0</t>
        </is>
      </c>
      <c r="K358" s="98" t="inlineStr">
        <is>
          <t>Anytime</t>
        </is>
      </c>
      <c r="L358" s="98" t="inlineStr">
        <is>
          <t>In progress</t>
        </is>
      </c>
      <c r="M358" s="98" t="inlineStr">
        <is>
          <t>In progress - SkyHarbor proof-event path captured with event/evidence/BAFO/crawl gates. Done requires actual event ID, evidence manifest, BAFO/pricing outputs, and QA proof. Evidence: /Users/anand/Downloads/abarva-pilot-source-ops-readiness/PILOT_SOURCE_OPS_ACTION_REGISTER_2026-06-04.xlsx; index: /Users/anand/Downloads/abarva-pilot-source-ops-readiness/PILOT_SOURCE_OPS_READINESS_INDEX_2026-06-04.md.</t>
        </is>
      </c>
    </row>
    <row r="359">
      <c r="A359" s="98" t="inlineStr">
        <is>
          <t>T355</t>
        </is>
      </c>
      <c r="B359" s="98" t="inlineStr">
        <is>
          <t>Pilot Ops</t>
        </is>
      </c>
      <c r="C359" s="98" t="inlineStr">
        <is>
          <t>Tower/Source: fix live DOCX/XLSX outcome export behavior and retest downloads</t>
        </is>
      </c>
      <c r="D359" s="98" t="inlineStr">
        <is>
          <t>SkyHarbor audit observed Tower Outcome Report DOCX/XLSX click redirecting back to Tower instead of downloading an artifact. Executive evidence delivery must produce a downloadable, watermarked artifact with human decision support language and evidence references.</t>
        </is>
      </c>
      <c r="E359" s="98" t="inlineStr">
        <is>
          <t>P0</t>
        </is>
      </c>
      <c r="F359" s="98" t="inlineStr">
        <is>
          <t>2. CLAUDE DOES IT</t>
        </is>
      </c>
      <c r="G359" s="98" t="inlineStr">
        <is>
          <t>Anand</t>
        </is>
      </c>
      <c r="H359" s="98" t="inlineStr">
        <is>
          <t>T334,T340</t>
        </is>
      </c>
      <c r="I359" s="98" t="inlineStr">
        <is>
          <t>Codex (API+browser download QA)</t>
        </is>
      </c>
      <c r="J359" s="98" t="inlineStr">
        <is>
          <t>$0</t>
        </is>
      </c>
      <c r="K359" s="98" t="inlineStr">
        <is>
          <t>Anytime</t>
        </is>
      </c>
      <c r="L359" s="98" t="inlineStr">
        <is>
          <t>In progress</t>
        </is>
      </c>
      <c r="M359" s="98" t="inlineStr">
        <is>
          <t>2026-06-03: PR #2952 merged via protected path, merge commit 931a30a32667513988237eba0cc9b906ad290934. Local QA passed before merge: focused Tower outcome route/export Jest (22 tests), eslint route/test, tsc --noEmit, release:check, diff check. Still In progress until deployed UI/browser download retest proves DOCX/XLSX download behavior in target environment.</t>
        </is>
      </c>
    </row>
    <row r="360">
      <c r="A360" s="98" t="inlineStr">
        <is>
          <t>T356</t>
        </is>
      </c>
      <c r="B360" s="98" t="inlineStr">
        <is>
          <t>Pressure Test</t>
        </is>
      </c>
      <c r="C360" s="98" t="inlineStr">
        <is>
          <t>Resolve RSC prefetch 503s on Source/Tower routes</t>
        </is>
      </c>
      <c r="D360" s="98" t="inlineStr">
        <is>
          <t>L6 crawls repeatedly saw RSC prefetch 503s on Source and Tower routes. Even when direct navigation renders, these failures degrade navigation reliability and can hide server-component/data-plane instability under real user browsing.</t>
        </is>
      </c>
      <c r="E360" s="98" t="inlineStr">
        <is>
          <t>P0</t>
        </is>
      </c>
      <c r="F360" s="98" t="inlineStr">
        <is>
          <t>2. CLAUDE DOES IT</t>
        </is>
      </c>
      <c r="G360" s="98" t="inlineStr">
        <is>
          <t>Anand</t>
        </is>
      </c>
      <c r="H360" s="98" t="inlineStr">
        <is>
          <t>T149,T150</t>
        </is>
      </c>
      <c r="I360" s="98" t="inlineStr">
        <is>
          <t>Codex (logs+route tests+browser crawl)</t>
        </is>
      </c>
      <c r="J360" s="98" t="inlineStr">
        <is>
          <t>$0</t>
        </is>
      </c>
      <c r="K360" s="98" t="inlineStr">
        <is>
          <t>Anytime</t>
        </is>
      </c>
      <c r="L360" s="98" t="inlineStr">
        <is>
          <t>In progress</t>
        </is>
      </c>
      <c r="M360" s="107" t="inlineStr">
        <is>
          <t>Still open after PR #2829. CI and production deploy checks passed on the ship-now bundle, and latest post-deploy crawl reported 0 P0 / 112 P1 / 0 P2, but repeated Source/Tower RSC prefetch 503s were not root-caused in this slice. Needs separate log/route investigation before marking done.</t>
        </is>
      </c>
    </row>
    <row r="361">
      <c r="A361" s="98" t="inlineStr">
        <is>
          <t>T357</t>
        </is>
      </c>
      <c r="B361" s="98" t="inlineStr">
        <is>
          <t>Pilot Ops</t>
        </is>
      </c>
      <c r="C361" s="98" t="inlineStr">
        <is>
          <t>Source: Apex L6 event-canvas hardening from production audit</t>
        </is>
      </c>
      <c r="D361" s="98" t="inlineStr">
        <is>
          <t>Fix the buyer-facing Apex L6 failures from the production audit: remove developer db:backfill copy from Source canvases, recover legacy event canvas scaffolds safely, render scorecard governance visibly, mask raw value-route UUID errors, and support case-insensitive event-code links. Does not claim BAFO savings proof, export completion, Clerk production keys, or broad RSC root-cause closure.</t>
        </is>
      </c>
      <c r="E361" s="98" t="inlineStr">
        <is>
          <t>P0</t>
        </is>
      </c>
      <c r="F361" s="98" t="inlineStr">
        <is>
          <t>2. CLAUDE DOES IT</t>
        </is>
      </c>
      <c r="G361" s="98" t="inlineStr">
        <is>
          <t>Anand</t>
        </is>
      </c>
      <c r="H361" s="98" t="inlineStr">
        <is>
          <t>T238,T240,T340</t>
        </is>
      </c>
      <c r="I361" s="98" t="inlineStr">
        <is>
          <t>Codex (code+CI+production browser crawl)</t>
        </is>
      </c>
      <c r="J361" s="98" t="inlineStr">
        <is>
          <t>$0</t>
        </is>
      </c>
      <c r="K361" s="98" t="inlineStr">
        <is>
          <t>Anytime</t>
        </is>
      </c>
      <c r="L361" s="98" t="inlineStr">
        <is>
          <t>In progress</t>
        </is>
      </c>
      <c r="M361" s="107" t="inlineStr">
        <is>
          <t>PR #2829 merged 2026-06-02 as Source L6 ship-now controls and is included in latest production main deploy dpl_HPRHeFJxCfmTmMyfisSCPGeYouWB. Prod/data ops completed: duplicate Source event cleanup, unique event constraint migration, activity-log migration, and canonical CXO persona provisioning. Latest post-deploy authenticated crawl on app.abarva.ai passed on run 26833719283: 0 P0, 112 P1, 0 P2, artifact post-deploy-crawl uploaded. Still In progress: BAFO/pricing proof, export completion, Clerk production-key migration, and broad RSC 503 root-cause remain separate open items.</t>
        </is>
      </c>
    </row>
    <row r="362">
      <c r="A362" t="inlineStr">
        <is>
          <t>T358</t>
        </is>
      </c>
      <c r="B362" t="inlineStr">
        <is>
          <t>Source</t>
        </is>
      </c>
      <c r="C362" t="inlineStr">
        <is>
          <t>Source corpus uplift audit and target manifest</t>
        </is>
      </c>
      <c r="D362" t="inlineStr">
        <is>
          <t>Define the Source-1 and Retail-1 knowledge layers needed to make Apex AMS pricing, BAFO, RFP, and savings-proof tests sourcing-grade instead of generic.</t>
        </is>
      </c>
      <c r="E362" t="inlineStr">
        <is>
          <t>P0</t>
        </is>
      </c>
      <c r="F362" t="inlineStr">
        <is>
          <t>3. CLAUDE + YOU</t>
        </is>
      </c>
      <c r="G362" t="inlineStr">
        <is>
          <t>Anand</t>
        </is>
      </c>
      <c r="H362" t="inlineStr">
        <is>
          <t>T357</t>
        </is>
      </c>
      <c r="I362" t="inlineStr">
        <is>
          <t>Codex + sourcing SME</t>
        </is>
      </c>
      <c r="J362" t="inlineStr">
        <is>
          <t>$0</t>
        </is>
      </c>
      <c r="K362" t="inlineStr">
        <is>
          <t>Anytime</t>
        </is>
      </c>
      <c r="L362" t="inlineStr">
        <is>
          <t>In progress</t>
        </is>
      </c>
      <c r="M362" t="inlineStr">
        <is>
          <t>PR #2835 merged 2026-06-02 at merge commit 9cd83f193c79: Source corpus backlog expansion shipped as a code-seed/read-model wave. Adds/extends 204-pattern Source knowledge pack coverage for pricing normalization, vendor gaming, sourcing archetypes, failure modes, BAFO levers, contract value protection, commercial lever controls, retail IT overlays, vendor-profile evidence requirements, benchmark governance, corpus visibility controls, CFO value-proof doctrine, RFP/evaluation criteria, and Source artifact quality gates. CI green: browser matrix, typecheck + reasoning tests, ESLint, release control, hygiene, accessibility, Lighthouse, Vercel abarva/nexus, and related guards passed. Remote branch codex/source-corpus-backlog-expansion deleted. Still In progress because SME approval/pruning, licensed benchmark/rate-card data, vendor-specific public knowledge graph, Azure/Postgres corpus loading, and CFO-auditable savings claims remain separate future waves.</t>
        </is>
      </c>
    </row>
    <row r="363">
      <c r="A363" t="inlineStr">
        <is>
          <t>T359</t>
        </is>
      </c>
      <c r="B363" t="inlineStr">
        <is>
          <t>Source</t>
        </is>
      </c>
      <c r="C363" t="inlineStr">
        <is>
          <t>Author Source-1 pricing/gaming and Retail-1 corpus patterns with provenance</t>
        </is>
      </c>
      <c r="D363" t="inlineStr">
        <is>
          <t>Create pattern entries for transition cost burial, run-rate vs realized savings, scope leakage, offshore transition quality, automation commitments, volume-band gaming, retail Q4 peak, omnichannel scope, BAFO envelopes, change control, benchmarking/exit, and PCI/channel compliance.</t>
        </is>
      </c>
      <c r="E363" t="inlineStr">
        <is>
          <t>P0</t>
        </is>
      </c>
      <c r="F363" t="inlineStr">
        <is>
          <t>3. CLAUDE + YOU</t>
        </is>
      </c>
      <c r="G363" t="inlineStr">
        <is>
          <t>Anand</t>
        </is>
      </c>
      <c r="H363" t="inlineStr">
        <is>
          <t>T358</t>
        </is>
      </c>
      <c r="I363" t="inlineStr">
        <is>
          <t>Codex drafts + SME curation</t>
        </is>
      </c>
      <c r="J363" t="inlineStr">
        <is>
          <t>$0</t>
        </is>
      </c>
      <c r="K363" t="inlineStr">
        <is>
          <t>Anytime</t>
        </is>
      </c>
      <c r="L363" t="inlineStr">
        <is>
          <t>In progress</t>
        </is>
      </c>
      <c r="M363" t="inlineStr">
        <is>
          <t>Pilot pack is in code with source documents and tests: 12 pricing/gaming/retail patterns, 12 BAFO/contract-lever patterns, 18 commercial lever/clause-control patterns, 20 retail IT overlay patterns, 20 sourcing archetype/failure-mode patterns, 20 source-basis-required vendor profile shells, 16 benchmark/rate-card evidence guardrails, 16 corpus visibility/source-basis governance patterns, 20 CFO-auditable value-proof patterns, 24 RFP/evaluation patterns, and 26 Source artifact quality-gate patterns. SME or licensed source review is still needed before numeric benchmarks or vendor-specific posture claims can be shown.</t>
        </is>
      </c>
    </row>
    <row r="364">
      <c r="A364" t="inlineStr">
        <is>
          <t>T360</t>
        </is>
      </c>
      <c r="B364" t="inlineStr">
        <is>
          <t>Source</t>
        </is>
      </c>
      <c r="C364" t="inlineStr">
        <is>
          <t>Load and pin Source corpus to Azure/Postgres retrieval substrate</t>
        </is>
      </c>
      <c r="D364" t="inlineStr">
        <is>
          <t>Move approved sourcing patterns from code seed/pilot pack into the production retrieval substrate with IDs, provenance, tenant-scope rules, and refresh ownership.</t>
        </is>
      </c>
      <c r="E364" t="inlineStr">
        <is>
          <t>P0</t>
        </is>
      </c>
      <c r="F364" t="inlineStr">
        <is>
          <t>2. CLAUDE DOES IT</t>
        </is>
      </c>
      <c r="G364" t="inlineStr">
        <is>
          <t>Anand</t>
        </is>
      </c>
      <c r="H364" t="inlineStr">
        <is>
          <t>T359</t>
        </is>
      </c>
      <c r="I364" t="inlineStr">
        <is>
          <t>Codex + data-plane deploy after approval</t>
        </is>
      </c>
      <c r="J364" t="inlineStr">
        <is>
          <t>$0</t>
        </is>
      </c>
      <c r="K364" t="inlineStr">
        <is>
          <t>Anytime</t>
        </is>
      </c>
      <c r="L364" t="inlineStr">
        <is>
          <t>In progress</t>
        </is>
      </c>
      <c r="M364" t="inlineStr">
        <is>
          <t>In progress - PR #2998 is green but review-blocked and adds corpus activation planning/assets; Done still requires merge, approved Azure/Postgres substrate load, version pin, and retrieval smoke. Evidence: /Users/anand/Downloads/abarva-pilot-source-ops-readiness/PILOT_SOURCE_OPS_ACTION_REGISTER_2026-06-04.xlsx; index: /Users/anand/Downloads/abarva-pilot-source-ops-readiness/PILOT_SOURCE_OPS_READINESS_INDEX_2026-06-04.md. 2026-06-04: PR #2998 merged to main at 0137765b with the Lakeshore CXO corpus activation. Keep In progress until row-specific live Azure/Postgres retrieval, tenant-grounded proof pack, and production QA/release evidence are captured.</t>
        </is>
      </c>
    </row>
    <row r="365">
      <c r="A365" t="inlineStr">
        <is>
          <t>T361</t>
        </is>
      </c>
      <c r="B365" t="inlineStr">
        <is>
          <t>Source</t>
        </is>
      </c>
      <c r="C365" t="inlineStr">
        <is>
          <t>Wire corpus retrieval into Source canvas, agent answers, Pricing, and BAFO surfaces</t>
        </is>
      </c>
      <c r="D365" t="inlineStr">
        <is>
          <t>Ensure the Apex AMS event surfaces corpus-backed pattern sections, commercial traps, BAFO asks, assumption locks, and evidence-gated language without claiming savings absent tenant evidence.</t>
        </is>
      </c>
      <c r="E365" t="inlineStr">
        <is>
          <t>P0</t>
        </is>
      </c>
      <c r="F365" t="inlineStr">
        <is>
          <t>2. CLAUDE DOES IT</t>
        </is>
      </c>
      <c r="G365" t="inlineStr">
        <is>
          <t>Anand</t>
        </is>
      </c>
      <c r="H365" t="inlineStr">
        <is>
          <t>T358,T359</t>
        </is>
      </c>
      <c r="I365" t="inlineStr">
        <is>
          <t>Codex code + focused tests</t>
        </is>
      </c>
      <c r="J365" t="inlineStr">
        <is>
          <t>$0</t>
        </is>
      </c>
      <c r="K365" t="inlineStr">
        <is>
          <t>Anytime</t>
        </is>
      </c>
      <c r="L365" t="inlineStr">
        <is>
          <t>Done</t>
        </is>
      </c>
      <c r="M365" t="inlineStr">
        <is>
          <t>2026-06-02: Source corpus retrieval wiring implemented in code. Apex AMS Source answer engine now ranks the 204-pattern Source corpus and surfaces corpus doctrine through expert lens, risk traps, missing data, and limits; includes No Evidence, No Number savings-proof caveat. Focused Jest 51/51, TypeScript clean, release gate passed. Azure/Postgres corpus persistence remains T360, BAFO/pricing proof pack remains T362.</t>
        </is>
      </c>
    </row>
    <row r="366">
      <c r="A366" t="inlineStr">
        <is>
          <t>T362</t>
        </is>
      </c>
      <c r="B366" t="inlineStr">
        <is>
          <t>Source</t>
        </is>
      </c>
      <c r="C366" t="inlineStr">
        <is>
          <t>BAFO/pricing proof pack grounded in corpus plus tenant data</t>
        </is>
      </c>
      <c r="D366" t="inlineStr">
        <is>
          <t>Build the CFO-auditable proof chain: baseline, normalized vendor bids, transition-inclusive TCO, BAFO deltas, excluded-scope pricing, contract clauses, and realized value ledger linkage.</t>
        </is>
      </c>
      <c r="E366" t="inlineStr">
        <is>
          <t>P0</t>
        </is>
      </c>
      <c r="F366" t="inlineStr">
        <is>
          <t>3. CLAUDE + YOU</t>
        </is>
      </c>
      <c r="G366" t="inlineStr">
        <is>
          <t>Anand</t>
        </is>
      </c>
      <c r="H366" t="inlineStr">
        <is>
          <t>T354,T355,T359,T360,T361</t>
        </is>
      </c>
      <c r="I366" t="inlineStr">
        <is>
          <t>Codex + SME + tenant evidence</t>
        </is>
      </c>
      <c r="J366" t="inlineStr">
        <is>
          <t>$0</t>
        </is>
      </c>
      <c r="K366" t="inlineStr">
        <is>
          <t>Anytime</t>
        </is>
      </c>
      <c r="L366" t="inlineStr">
        <is>
          <t>In progress</t>
        </is>
      </c>
      <c r="M366" t="inlineStr">
        <is>
          <t>In progress - PR #2998 adds activation/grounding assets, but proof pack still requires SkyHarbor event plus tenant/vendor evidence and value-ledger grounding. Evidence: /Users/anand/Downloads/abarva-pilot-source-ops-readiness/PILOT_SOURCE_OPS_ACTION_REGISTER_2026-06-04.xlsx; index: /Users/anand/Downloads/abarva-pilot-source-ops-readiness/PILOT_SOURCE_OPS_READINESS_INDEX_2026-06-04.md. 2026-06-04: PR #2998 merged to main at 0137765b with the Lakeshore CXO corpus activation. Keep In progress until row-specific live Azure/Postgres retrieval, tenant-grounded proof pack, and production QA/release evidence are captured.</t>
        </is>
      </c>
    </row>
    <row r="367">
      <c r="A367" t="inlineStr">
        <is>
          <t>T363</t>
        </is>
      </c>
      <c r="B367" t="inlineStr">
        <is>
          <t>Source</t>
        </is>
      </c>
      <c r="C367" t="inlineStr">
        <is>
          <t>Corpus uplift production QA and release evidence</t>
        </is>
      </c>
      <c r="D367" t="inlineStr">
        <is>
          <t>Run Apex and SkyHarbor L6 crawls after corpus wiring, capture screenshots/network/evidence, and verify RFP criteria, pricing normalization, BAFO negotiation, legal disclaimers, approvals, and no fake savings claims.</t>
        </is>
      </c>
      <c r="E367" t="inlineStr">
        <is>
          <t>P0</t>
        </is>
      </c>
      <c r="F367" t="inlineStr">
        <is>
          <t>2. CLAUDE DOES IT</t>
        </is>
      </c>
      <c r="G367" t="inlineStr">
        <is>
          <t>Anand</t>
        </is>
      </c>
      <c r="H367" t="inlineStr">
        <is>
          <t>T361,T362</t>
        </is>
      </c>
      <c r="I367" t="inlineStr">
        <is>
          <t>Codex E2E + Claude extension crawl</t>
        </is>
      </c>
      <c r="J367" t="inlineStr">
        <is>
          <t>$0</t>
        </is>
      </c>
      <c r="K367" t="inlineStr">
        <is>
          <t>Anytime</t>
        </is>
      </c>
      <c r="L367" t="inlineStr">
        <is>
          <t>In progress</t>
        </is>
      </c>
      <c r="M367" t="inlineStr">
        <is>
          <t>In progress - PR #2998 is green but review-blocked; Done requires merge/deploy plus production QA/crawl/prompt transcript evidence. Evidence: /Users/anand/Downloads/abarva-pilot-source-ops-readiness/PILOT_SOURCE_OPS_ACTION_REGISTER_2026-06-04.xlsx; index: /Users/anand/Downloads/abarva-pilot-source-ops-readiness/PILOT_SOURCE_OPS_READINESS_INDEX_2026-06-04.md. 2026-06-04: PR #2998 merged to main at 0137765b with the Lakeshore CXO corpus activation. Keep In progress until row-specific live Azure/Postgres retrieval, tenant-grounded proof pack, and production QA/release evidence are captured.</t>
        </is>
      </c>
    </row>
    <row r="368">
      <c r="A368" s="18" t="inlineStr">
        <is>
          <t>T364</t>
        </is>
      </c>
      <c r="B368" s="18" t="inlineStr">
        <is>
          <t>Business Setup</t>
        </is>
      </c>
      <c r="C368" s="18" t="inlineStr">
        <is>
          <t>Decide corporate supplier-diversity / MBE strategy</t>
        </is>
      </c>
      <c r="D368" s="18" t="inlineStr">
        <is>
          <t>Use Anand's Asian American ownership/control as the clean corporate MBE path. Focus on NMSDC/corporate supplier-diversity acceptance, enterprise vendor onboarding, and buyer-ready procurement artifacts.</t>
        </is>
      </c>
      <c r="E368" s="32" t="inlineStr">
        <is>
          <t>P1</t>
        </is>
      </c>
      <c r="F368" s="42" t="inlineStr">
        <is>
          <t>1. QUICK WIN</t>
        </is>
      </c>
      <c r="G368" s="18" t="inlineStr">
        <is>
          <t>Anand</t>
        </is>
      </c>
      <c r="H368" s="18" t="inlineStr">
        <is>
          <t>T001,T003</t>
        </is>
      </c>
      <c r="I368" s="48" t="inlineStr">
        <is>
          <t>Claude + counsel/CPA sanity check; confirm ownership/control and target corporate supplier-diversity sequence.</t>
        </is>
      </c>
      <c r="J368" s="51" t="inlineStr">
        <is>
          <t>$0</t>
        </is>
      </c>
      <c r="K368" s="82" t="inlineStr">
        <is>
          <t>Pre-Resign</t>
        </is>
      </c>
      <c r="L368" s="44" t="inlineStr">
        <is>
          <t>In progress</t>
        </is>
      </c>
      <c r="M368" s="18" t="inlineStr">
        <is>
          <t>[2026-06-10] DECISION: MBE path via Anand (Asian-American, 60% owner + CEO/controlling/day-to-day operator). WBE ruled out — Abarna non-operating (would not meet WBENC control test; no governance distortion for optics). First targets: PHS New Mexico (healthcare non-profit) + Morgan Street Holdings (Chicago).  ||  Rebalanced 2026-06-04: corporate supplier-diversity and enterprise vendor onboarding are primary. Public-sector paths removed for now.</t>
        </is>
      </c>
    </row>
    <row r="369">
      <c r="A369" s="18" t="inlineStr">
        <is>
          <t>T365</t>
        </is>
      </c>
      <c r="B369" s="18" t="inlineStr">
        <is>
          <t>Business Setup</t>
        </is>
      </c>
      <c r="C369" s="18" t="inlineStr">
        <is>
          <t>Preserve 51%+ minority ownership/control evidence for MBE</t>
        </is>
      </c>
      <c r="D369" s="18" t="inlineStr">
        <is>
          <t>NMSDC MBE requires the company be at least 51% owned, operated, and controlled by qualifying U.S. citizen minority owner(s). AbarVa formation docs, cap table, officer authority, voting rights, and day-to-day-control evidence must match the founder reality.</t>
        </is>
      </c>
      <c r="E369" s="32" t="inlineStr">
        <is>
          <t>P1</t>
        </is>
      </c>
      <c r="F369" s="42" t="inlineStr">
        <is>
          <t>3. CLAUDE + YOU</t>
        </is>
      </c>
      <c r="G369" s="18" t="inlineStr">
        <is>
          <t>Anand</t>
        </is>
      </c>
      <c r="H369" s="18" t="inlineStr">
        <is>
          <t>T001,T005</t>
        </is>
      </c>
      <c r="I369" s="48" t="inlineStr">
        <is>
          <t>Lawyer/CPA to ensure formation docs, stock ledger, board consents, officer titles, and IP assignment support MBE application.</t>
        </is>
      </c>
      <c r="J369" s="51" t="inlineStr">
        <is>
          <t>$500-1k counsel review if bundled</t>
        </is>
      </c>
      <c r="K369" s="82" t="inlineStr">
        <is>
          <t>Pre-Resign</t>
        </is>
      </c>
      <c r="L369" s="44" t="inlineStr">
        <is>
          <t>In progress</t>
        </is>
      </c>
      <c r="M369" s="18" t="inlineStr">
        <is>
          <t>[2026-06-10] Cap table set to Anand 60% / Abarna 40%; Anand = CEO + controlling director + voting control to satisfy NMSDC ownership+control test. Preserve formation docs/board consents/officer titles accordingly.  ||  Do not distort governance for certification optics. Cleanest path is MBE through Anand if he owns/controls 51%+. Wife/WBE path should only be considered if she is a real controlling operator.</t>
        </is>
      </c>
    </row>
    <row r="370">
      <c r="A370" s="18" t="inlineStr">
        <is>
          <t>T366</t>
        </is>
      </c>
      <c r="B370" s="18" t="inlineStr">
        <is>
          <t>Business Setup</t>
        </is>
      </c>
      <c r="C370" s="18" t="inlineStr">
        <is>
          <t>Prepare NMSDC MBE application packet</t>
        </is>
      </c>
      <c r="D370" s="18" t="inlineStr">
        <is>
          <t>Collect proof of citizenship/eligible Asian-American ethnicity, EIN, formation documents, cap table/stock ledger, founder resume, initial capital contribution proof, licenses if any, tax filings when available, invoices/proof of payment when available, and operating-control narrative.</t>
        </is>
      </c>
      <c r="E370" s="32" t="inlineStr">
        <is>
          <t>P1</t>
        </is>
      </c>
      <c r="F370" s="42" t="inlineStr">
        <is>
          <t>3. CLAUDE + YOU</t>
        </is>
      </c>
      <c r="G370" s="18" t="inlineStr">
        <is>
          <t>Anand</t>
        </is>
      </c>
      <c r="H370" s="18" t="inlineStr">
        <is>
          <t>T001,T003,T365</t>
        </is>
      </c>
      <c r="I370" s="48" t="inlineStr">
        <is>
          <t>Create document checklist and secure folder; map missing evidence by incorporation stage.</t>
        </is>
      </c>
      <c r="J370" s="51" t="inlineStr">
        <is>
          <t>$0 plus NMSDC fee TBD</t>
        </is>
      </c>
      <c r="K370" s="82" t="inlineStr">
        <is>
          <t>Pre-Resign</t>
        </is>
      </c>
      <c r="L370" s="44" t="inlineStr">
        <is>
          <t>Not started</t>
        </is>
      </c>
      <c r="M370" s="18" t="inlineStr">
        <is>
          <t>NMSDC requires documentation sufficient to verify ownership, control, and day-to-day operational authority; recertification is annual. Early-stage gaps should be documented honestly.</t>
        </is>
      </c>
    </row>
    <row r="371">
      <c r="A371" s="18" t="inlineStr">
        <is>
          <t>T367</t>
        </is>
      </c>
      <c r="B371" s="18" t="inlineStr">
        <is>
          <t>Business Setup</t>
        </is>
      </c>
      <c r="C371" s="18" t="inlineStr">
        <is>
          <t>Submit NMSDC MBE certification for corporate supplier-diversity use</t>
        </is>
      </c>
      <c r="D371" s="18" t="inlineStr">
        <is>
          <t>Apply through NMSDC after formation, EIN, ownership/control docs, and operating evidence are ready. Primary use case is corporate supplier-diversity/vendor onboarding for healthcare, financial services, retail, and enterprise buyers.</t>
        </is>
      </c>
      <c r="E371" s="32" t="inlineStr">
        <is>
          <t>P1</t>
        </is>
      </c>
      <c r="F371" s="42" t="inlineStr">
        <is>
          <t>5. EXTERNAL</t>
        </is>
      </c>
      <c r="G371" s="18" t="inlineStr">
        <is>
          <t>Anand</t>
        </is>
      </c>
      <c r="H371" s="18" t="inlineStr">
        <is>
          <t>T001,T003,T366</t>
        </is>
      </c>
      <c r="I371" s="48" t="inlineStr">
        <is>
          <t>Submit application; respond to document review/interview/site-visit requests.</t>
        </is>
      </c>
      <c r="J371" s="51" t="inlineStr">
        <is>
          <t>Fee TBD by business size</t>
        </is>
      </c>
      <c r="K371" s="82" t="inlineStr">
        <is>
          <t>Post-Resign</t>
        </is>
      </c>
      <c r="L371" s="44" t="inlineStr">
        <is>
          <t>Not started</t>
        </is>
      </c>
      <c r="M371" s="18" t="inlineStr">
        <is>
          <t>Certification helps corporate supplier-diversity positioning and vendor onboarding; it does not guarantee contracts. Treat as procurement accelerator, not core value proposition.</t>
        </is>
      </c>
    </row>
    <row r="372">
      <c r="A372" s="18" t="inlineStr">
        <is>
          <t>T370</t>
        </is>
      </c>
      <c r="B372" s="18" t="inlineStr">
        <is>
          <t>Business Setup</t>
        </is>
      </c>
      <c r="C372" s="18" t="inlineStr">
        <is>
          <t>Build corporate supplier-readiness packet</t>
        </is>
      </c>
      <c r="D372" s="18" t="inlineStr">
        <is>
          <t>Create a concise packet for PHS, Morgan Street, Delta, and other corporate buyers: AbarVa one-pager, MBE/NMSDC status or pending status, W-9/EIN, insurance/SOC2 posture, security packet, standard MSA/SOW, data protection posture, launch-partner language, NAICS/service categories, and references when available.</t>
        </is>
      </c>
      <c r="E372" s="32" t="inlineStr">
        <is>
          <t>P1</t>
        </is>
      </c>
      <c r="F372" s="42" t="inlineStr">
        <is>
          <t>2. CLAUDE DOES IT</t>
        </is>
      </c>
      <c r="G372" s="18" t="inlineStr">
        <is>
          <t>Anand</t>
        </is>
      </c>
      <c r="H372" s="18" t="inlineStr">
        <is>
          <t>T366,T367,T006,T007,T013</t>
        </is>
      </c>
      <c r="I372" s="48" t="inlineStr">
        <is>
          <t>Codex drafts packet; Anand maps buyer/vendor-onboarding contacts and supplier-diversity portals.</t>
        </is>
      </c>
      <c r="J372" s="51" t="inlineStr">
        <is>
          <t>$0</t>
        </is>
      </c>
      <c r="K372" s="82" t="inlineStr">
        <is>
          <t>Post-Resign</t>
        </is>
      </c>
      <c r="L372" s="44" t="inlineStr">
        <is>
          <t>Not started</t>
        </is>
      </c>
      <c r="M372" s="18" t="inlineStr">
        <is>
          <t>Corporate-first packet for enterprise vendor onboarding and supplier-diversity conversations.</t>
        </is>
      </c>
    </row>
    <row r="373">
      <c r="A373" s="18" t="inlineStr">
        <is>
          <t>T371</t>
        </is>
      </c>
      <c r="B373" s="18" t="inlineStr">
        <is>
          <t>Business Setup</t>
        </is>
      </c>
      <c r="C373" s="18" t="inlineStr">
        <is>
          <t>Map and register in target corporate supplier portals</t>
        </is>
      </c>
      <c r="D373" s="18" t="inlineStr">
        <is>
          <t>Identify supplier-diversity/vendor-registration portals for PHS, Morgan Street, Delta, and top 10 target accounts. Prepare profiles in Workday/Ariba/Oracle/GHX or buyer-specific portals as needed after entity/EIN/insurance/security materials are ready.</t>
        </is>
      </c>
      <c r="E373" s="32" t="inlineStr">
        <is>
          <t>P1</t>
        </is>
      </c>
      <c r="F373" s="42" t="inlineStr">
        <is>
          <t>2. CLAUDE DOES IT</t>
        </is>
      </c>
      <c r="G373" s="18" t="inlineStr">
        <is>
          <t>Anand</t>
        </is>
      </c>
      <c r="H373" s="18" t="inlineStr">
        <is>
          <t>T003,T366,T370</t>
        </is>
      </c>
      <c r="I373" s="48" t="inlineStr">
        <is>
          <t>Codex creates target-account portal map and checklist; Anand submits buyer-specific registrations as conversations mature.</t>
        </is>
      </c>
      <c r="J373" s="51" t="inlineStr">
        <is>
          <t>$0</t>
        </is>
      </c>
      <c r="K373" s="82" t="inlineStr">
        <is>
          <t>Post-Resign</t>
        </is>
      </c>
      <c r="L373" s="44" t="inlineStr">
        <is>
          <t>Not started</t>
        </is>
      </c>
      <c r="M373" s="18" t="inlineStr">
        <is>
          <t>Corporate-first supplier-diversity execution lane added 2026-06-04. Target PHS/Morgan/Delta and other enterprise buyer portals.</t>
        </is>
      </c>
    </row>
    <row r="374">
      <c r="A374" s="18" t="inlineStr">
        <is>
          <t>T372</t>
        </is>
      </c>
      <c r="B374" s="18" t="inlineStr">
        <is>
          <t>Business Setup</t>
        </is>
      </c>
      <c r="C374" s="18" t="inlineStr">
        <is>
          <t>Prepare corporate procurement compliance packet</t>
        </is>
      </c>
      <c r="D374" s="18" t="inlineStr">
        <is>
          <t>Bundle W-9/EIN, COI/insurance certificates, security overview, privacy/DPA posture, SOC 2 roadmap, MBE/NMSDC status, standard liability positions, payment terms, banking/remittance info, and launch-partner commercial language into a buyer-ready procurement folder.</t>
        </is>
      </c>
      <c r="E374" s="32" t="inlineStr">
        <is>
          <t>P1</t>
        </is>
      </c>
      <c r="F374" s="42" t="inlineStr">
        <is>
          <t>2. CLAUDE DOES IT</t>
        </is>
      </c>
      <c r="G374" s="18" t="inlineStr">
        <is>
          <t>Anand</t>
        </is>
      </c>
      <c r="H374" s="18" t="inlineStr">
        <is>
          <t>T003,T006,T007,T010,T013,T367</t>
        </is>
      </c>
      <c r="I374" s="48" t="inlineStr">
        <is>
          <t>Codex drafts packet index; Anand adds executed/legal artifacts when available.</t>
        </is>
      </c>
      <c r="J374" s="51" t="inlineStr">
        <is>
          <t>$0</t>
        </is>
      </c>
      <c r="K374" s="82" t="inlineStr">
        <is>
          <t>Pre-Resign</t>
        </is>
      </c>
      <c r="L374" s="44" t="inlineStr">
        <is>
          <t>Not started</t>
        </is>
      </c>
      <c r="M374" s="18" t="inlineStr">
        <is>
          <t>This is the main practical unlock for PHS/Morgan/corporate onboarding. MBE is helpful, but vendor-readiness packet is what procurement will actually need.</t>
        </is>
      </c>
    </row>
    <row r="375">
      <c r="A375" s="18" t="inlineStr">
        <is>
          <t>T373</t>
        </is>
      </c>
      <c r="B375" s="18" t="inlineStr">
        <is>
          <t>Private Client Deployment</t>
        </is>
      </c>
      <c r="C375" s="18" t="inlineStr">
        <is>
          <t>Create private-client deployment north-star architecture</t>
        </is>
      </c>
      <c r="D375" s="18" t="inlineStr">
        <is>
          <t>Codify the founder decision: no paid client starts in the shared environment; each signed client gets its own private subscription/application/data plane. Includes diagrams, environment model, release flow, ingestion standard, backlog, and 30/60/90 plan.</t>
        </is>
      </c>
      <c r="E375" s="32" t="inlineStr">
        <is>
          <t>P0</t>
        </is>
      </c>
      <c r="F375" s="42" t="inlineStr">
        <is>
          <t>2. CLAUDE DOES IT</t>
        </is>
      </c>
      <c r="G375" s="18" t="inlineStr">
        <is>
          <t>Anand</t>
        </is>
      </c>
      <c r="H375" s="18" t="n"/>
      <c r="I375" s="48" t="inlineStr">
        <is>
          <t>Codex/Cursor docs</t>
        </is>
      </c>
      <c r="J375" s="51" t="inlineStr">
        <is>
          <t>$0</t>
        </is>
      </c>
      <c r="K375" s="82" t="inlineStr">
        <is>
          <t>Anytime</t>
        </is>
      </c>
      <c r="L375" s="44" t="inlineStr">
        <is>
          <t>Done</t>
        </is>
      </c>
      <c r="M375" s="18" t="inlineStr">
        <is>
          <t>Created docs/build/private-client-deployment-platform/ABARVA_PRIVATE_CLIENT_DEPLOYMENT_NORTHSTAR_2026-06-06.md. Treat as the current north-star until replaced by formal architecture approval.</t>
        </is>
      </c>
    </row>
    <row r="376">
      <c r="A376" s="18" t="inlineStr">
        <is>
          <t>T374</t>
        </is>
      </c>
      <c r="B376" s="18" t="inlineStr">
        <is>
          <t>Private Client Deployment</t>
        </is>
      </c>
      <c r="C376" s="18" t="inlineStr">
        <is>
          <t>Create master execution prompt for private-client environment agents</t>
        </is>
      </c>
      <c r="D376" s="18" t="inlineStr">
        <is>
          <t>One prompt usable by Cursor/Codex/Claude to execute one client at a time only after contract signature or explicit founder-approved dry run. Defines hard gates, outputs, PHS/Meridian and Morgan Street starters, and acceptance criteria.</t>
        </is>
      </c>
      <c r="E376" s="32" t="inlineStr">
        <is>
          <t>P0</t>
        </is>
      </c>
      <c r="F376" s="42" t="inlineStr">
        <is>
          <t>2. CLAUDE DOES IT</t>
        </is>
      </c>
      <c r="G376" s="18" t="inlineStr">
        <is>
          <t>Anand</t>
        </is>
      </c>
      <c r="H376" s="18" t="n"/>
      <c r="I376" s="48" t="inlineStr">
        <is>
          <t>Codex/Cursor prompt</t>
        </is>
      </c>
      <c r="J376" s="51" t="inlineStr">
        <is>
          <t>$0</t>
        </is>
      </c>
      <c r="K376" s="82" t="inlineStr">
        <is>
          <t>Anytime</t>
        </is>
      </c>
      <c r="L376" s="44" t="inlineStr">
        <is>
          <t>Done</t>
        </is>
      </c>
      <c r="M376" s="18" t="inlineStr">
        <is>
          <t>Created docs/build/private-client-deployment-platform/MASTER_AGENT_PROMPT_PRIVATE_CLIENT_ENVIRONMENT_EXECUTION_2026-06-06.md. Cursor context also points to docs/build/cursor/CURSOR_ABARVA_BACKLOG_CONTINUATION_PROMPT_2026-06-06.md.</t>
        </is>
      </c>
    </row>
    <row r="377">
      <c r="A377" s="18" t="inlineStr">
        <is>
          <t>T375</t>
        </is>
      </c>
      <c r="B377" s="18" t="inlineStr">
        <is>
          <t>Private Client Deployment</t>
        </is>
      </c>
      <c r="C377" s="18" t="inlineStr">
        <is>
          <t>Add signed-contract / founder-approved dry-run gate to client provisioning</t>
        </is>
      </c>
      <c r="D377" s="18" t="inlineStr">
        <is>
          <t>Prevent agents from provisioning real paid-client infrastructure until signed SOW/MSA or explicit founder dry-run approval exists. Gate must appear in runbooks, prompts, and release records.</t>
        </is>
      </c>
      <c r="E377" s="32" t="inlineStr">
        <is>
          <t>P0</t>
        </is>
      </c>
      <c r="F377" s="42" t="inlineStr">
        <is>
          <t>2. CLAUDE DOES IT</t>
        </is>
      </c>
      <c r="G377" s="18" t="inlineStr">
        <is>
          <t>Anand</t>
        </is>
      </c>
      <c r="H377" s="18" t="inlineStr">
        <is>
          <t>T373,T374</t>
        </is>
      </c>
      <c r="I377" s="48" t="inlineStr">
        <is>
          <t>Codex/Cursor docs + governance</t>
        </is>
      </c>
      <c r="J377" s="51" t="inlineStr">
        <is>
          <t>$0</t>
        </is>
      </c>
      <c r="K377" s="82" t="inlineStr">
        <is>
          <t>Anytime</t>
        </is>
      </c>
      <c r="L377" s="44" t="inlineStr">
        <is>
          <t>In progress</t>
        </is>
      </c>
      <c r="M377" s="18" t="inlineStr">
        <is>
          <t>Policy captured in prompt/docs. Still needs repo-native checklist, release-control guard, and agent instruction sync for enforcement.</t>
        </is>
      </c>
    </row>
    <row r="378">
      <c r="A378" s="18" t="inlineStr">
        <is>
          <t>T376</t>
        </is>
      </c>
      <c r="B378" s="18" t="inlineStr">
        <is>
          <t>Private Client Deployment</t>
        </is>
      </c>
      <c r="C378" s="18" t="inlineStr">
        <is>
          <t>Decide standard private subscription topology</t>
        </is>
      </c>
      <c r="D378" s="18" t="inlineStr">
        <is>
          <t>Define the standard Azure subscription/resource group model per client, including AbarVa lab, client nonprod, client prod, networking, identity, and data residency assumptions.</t>
        </is>
      </c>
      <c r="E378" s="32" t="inlineStr">
        <is>
          <t>P0</t>
        </is>
      </c>
      <c r="F378" s="42" t="inlineStr">
        <is>
          <t>3. CLAUDE + YOU</t>
        </is>
      </c>
      <c r="G378" s="18" t="inlineStr">
        <is>
          <t>Anand</t>
        </is>
      </c>
      <c r="H378" s="18" t="inlineStr">
        <is>
          <t>T373</t>
        </is>
      </c>
      <c r="I378" s="48" t="inlineStr">
        <is>
          <t>Architecture decision + finance/security review</t>
        </is>
      </c>
      <c r="J378" s="51" t="inlineStr">
        <is>
          <t>$0</t>
        </is>
      </c>
      <c r="K378" s="82" t="inlineStr">
        <is>
          <t>Pre-Resign</t>
        </is>
      </c>
      <c r="L378" s="44" t="inlineStr">
        <is>
          <t>In progress</t>
        </is>
      </c>
      <c r="M378" s="18" t="inlineStr">
        <is>
          <t>North-star is client-private subscription. Need final architecture decision record and cost model before first paid client.</t>
        </is>
      </c>
    </row>
    <row r="379">
      <c r="A379" s="18" t="inlineStr">
        <is>
          <t>T377</t>
        </is>
      </c>
      <c r="B379" s="18" t="inlineStr">
        <is>
          <t>Private Client Deployment</t>
        </is>
      </c>
      <c r="C379" s="18" t="inlineStr">
        <is>
          <t>Define lab-to-client release and product-change model</t>
        </is>
      </c>
      <c r="D379" s="18" t="inlineStr">
        <is>
          <t>Clarify where product enhancements are built: AbarVa lab/dev first, then promoted to each client environment. Define what stays core product versus what becomes client-specific extension/configuration.</t>
        </is>
      </c>
      <c r="E379" s="32" t="inlineStr">
        <is>
          <t>P0</t>
        </is>
      </c>
      <c r="F379" s="42" t="inlineStr">
        <is>
          <t>3. CLAUDE + YOU</t>
        </is>
      </c>
      <c r="G379" s="18" t="inlineStr">
        <is>
          <t>Anand</t>
        </is>
      </c>
      <c r="H379" s="18" t="inlineStr">
        <is>
          <t>T373</t>
        </is>
      </c>
      <c r="I379" s="48" t="inlineStr">
        <is>
          <t>ADR + release playbook</t>
        </is>
      </c>
      <c r="J379" s="51" t="inlineStr">
        <is>
          <t>$0</t>
        </is>
      </c>
      <c r="K379" s="82" t="inlineStr">
        <is>
          <t>Anytime</t>
        </is>
      </c>
      <c r="L379" s="44" t="inlineStr">
        <is>
          <t>In progress</t>
        </is>
      </c>
      <c r="M379" s="18" t="inlineStr">
        <is>
          <t>Critical for services attach without fragmenting the product. Needs ADR covering core, extension, client override, and backward compatibility rules.</t>
        </is>
      </c>
    </row>
    <row r="380">
      <c r="A380" s="18" t="inlineStr">
        <is>
          <t>T378</t>
        </is>
      </c>
      <c r="B380" s="18" t="inlineStr">
        <is>
          <t>Private Client Deployment</t>
        </is>
      </c>
      <c r="C380" s="18" t="inlineStr">
        <is>
          <t>Create client environment readiness checklist template</t>
        </is>
      </c>
      <c r="D380" s="18" t="inlineStr">
        <is>
          <t>Template checklist for one client at a time: contract gate, subscription access, identity, DNS, secrets, app deployment, database, Blob, Search, queues, observability, loader, signed-in QA, and evidence receipt.</t>
        </is>
      </c>
      <c r="E380" s="32" t="inlineStr">
        <is>
          <t>P0</t>
        </is>
      </c>
      <c r="F380" s="42" t="inlineStr">
        <is>
          <t>2. CLAUDE DOES IT</t>
        </is>
      </c>
      <c r="G380" s="18" t="inlineStr">
        <is>
          <t>Anand</t>
        </is>
      </c>
      <c r="H380" s="18" t="inlineStr">
        <is>
          <t>T373,T374</t>
        </is>
      </c>
      <c r="I380" s="48" t="inlineStr">
        <is>
          <t>Cursor/Codex docs</t>
        </is>
      </c>
      <c r="J380" s="51" t="inlineStr">
        <is>
          <t>$0</t>
        </is>
      </c>
      <c r="K380" s="82" t="inlineStr">
        <is>
          <t>Anytime</t>
        </is>
      </c>
      <c r="L380" s="44" t="inlineStr">
        <is>
          <t>Not started</t>
        </is>
      </c>
      <c r="M380" s="18" t="inlineStr">
        <is>
          <t>Should become the first artifact generated before PHS/Meridian or Morgan Street private environment work begins.</t>
        </is>
      </c>
    </row>
    <row r="381">
      <c r="A381" s="18" t="inlineStr">
        <is>
          <t>T379</t>
        </is>
      </c>
      <c r="B381" s="18" t="inlineStr">
        <is>
          <t>Private Client Deployment</t>
        </is>
      </c>
      <c r="C381" s="18" t="inlineStr">
        <is>
          <t>Create Azure private-client IaC blueprint</t>
        </is>
      </c>
      <c r="D381" s="18" t="inlineStr">
        <is>
          <t>Build Terraform/Bicep skeleton for repeatable client environment creation: resource groups, tags, private networking, Postgres, Blob, AI Search, queue/worker, Key Vault, managed identity, monitoring, and app deployment targets.</t>
        </is>
      </c>
      <c r="E381" s="32" t="inlineStr">
        <is>
          <t>P0</t>
        </is>
      </c>
      <c r="F381" s="42" t="inlineStr">
        <is>
          <t>2. CLAUDE DOES IT</t>
        </is>
      </c>
      <c r="G381" s="18" t="inlineStr">
        <is>
          <t>Anand</t>
        </is>
      </c>
      <c r="H381" s="18" t="inlineStr">
        <is>
          <t>T376,T378</t>
        </is>
      </c>
      <c r="I381" s="48" t="inlineStr">
        <is>
          <t>Codex/Cursor IaC</t>
        </is>
      </c>
      <c r="J381" s="51" t="inlineStr">
        <is>
          <t>$0 initially; Azure costs per env</t>
        </is>
      </c>
      <c r="K381" s="82" t="inlineStr">
        <is>
          <t>Anytime</t>
        </is>
      </c>
      <c r="L381" s="44" t="inlineStr">
        <is>
          <t>Not started</t>
        </is>
      </c>
      <c r="M381" s="18" t="inlineStr">
        <is>
          <t>Do not run against a real client until signed-client/founder-approved gate is satisfied.</t>
        </is>
      </c>
    </row>
    <row r="382">
      <c r="A382" s="18" t="inlineStr">
        <is>
          <t>T380</t>
        </is>
      </c>
      <c r="B382" s="18" t="inlineStr">
        <is>
          <t>Private Client Deployment</t>
        </is>
      </c>
      <c r="C382" s="18" t="inlineStr">
        <is>
          <t>Define naming, tagging, RBAC, and identity baseline</t>
        </is>
      </c>
      <c r="D382" s="18" t="inlineStr">
        <is>
          <t>Standardize resource names, tags, owners, client IDs, cost-center labels, least-privilege roles, break-glass process, and audit evidence for every client subscription.</t>
        </is>
      </c>
      <c r="E382" s="32" t="inlineStr">
        <is>
          <t>P0</t>
        </is>
      </c>
      <c r="F382" s="42" t="inlineStr">
        <is>
          <t>2. CLAUDE DOES IT</t>
        </is>
      </c>
      <c r="G382" s="18" t="inlineStr">
        <is>
          <t>Anand</t>
        </is>
      </c>
      <c r="H382" s="18" t="inlineStr">
        <is>
          <t>T379</t>
        </is>
      </c>
      <c r="I382" s="48" t="inlineStr">
        <is>
          <t>Architecture/runbook</t>
        </is>
      </c>
      <c r="J382" s="51" t="inlineStr">
        <is>
          <t>$0</t>
        </is>
      </c>
      <c r="K382" s="82" t="inlineStr">
        <is>
          <t>Anytime</t>
        </is>
      </c>
      <c r="L382" s="44" t="inlineStr">
        <is>
          <t>Not started</t>
        </is>
      </c>
      <c r="M382" s="18" t="inlineStr">
        <is>
          <t>Needed for repeatability, cost attribution, and future SOC/security questionnaires.</t>
        </is>
      </c>
    </row>
    <row r="383">
      <c r="A383" s="18" t="inlineStr">
        <is>
          <t>T381</t>
        </is>
      </c>
      <c r="B383" s="18" t="inlineStr">
        <is>
          <t>Private Client Deployment</t>
        </is>
      </c>
      <c r="C383" s="18" t="inlineStr">
        <is>
          <t>Create private application-plane blueprint</t>
        </is>
      </c>
      <c r="D383" s="18" t="inlineStr">
        <is>
          <t>Define how each client gets its own app deployment: domain, environment variables, Clerk/SSO strategy, feature flags, release channel, secrets, logs, and client-specific branding/configuration without code forks.</t>
        </is>
      </c>
      <c r="E383" s="32" t="inlineStr">
        <is>
          <t>P0</t>
        </is>
      </c>
      <c r="F383" s="42" t="inlineStr">
        <is>
          <t>2. CLAUDE DOES IT</t>
        </is>
      </c>
      <c r="G383" s="18" t="inlineStr">
        <is>
          <t>Anand</t>
        </is>
      </c>
      <c r="H383" s="18" t="inlineStr">
        <is>
          <t>T377,T380</t>
        </is>
      </c>
      <c r="I383" s="48" t="inlineStr">
        <is>
          <t>Vercel/Azure app runbook</t>
        </is>
      </c>
      <c r="J383" s="51" t="inlineStr">
        <is>
          <t>$0 initially</t>
        </is>
      </c>
      <c r="K383" s="82" t="inlineStr">
        <is>
          <t>Anytime</t>
        </is>
      </c>
      <c r="L383" s="44" t="inlineStr">
        <is>
          <t>Not started</t>
        </is>
      </c>
      <c r="M383" s="18" t="inlineStr">
        <is>
          <t>Should explicitly avoid shared app plane for paid clients while preserving product release velocity.</t>
        </is>
      </c>
    </row>
    <row r="384">
      <c r="A384" s="18" t="inlineStr">
        <is>
          <t>T382</t>
        </is>
      </c>
      <c r="B384" s="18" t="inlineStr">
        <is>
          <t>Private Client Deployment</t>
        </is>
      </c>
      <c r="C384" s="18" t="inlineStr">
        <is>
          <t>Create private data-plane blueprint</t>
        </is>
      </c>
      <c r="D384" s="18" t="inlineStr">
        <is>
          <t>Define private Postgres, Blob, AI Search/vector, queues/workers, evidence ledger, ingestion receipts, backup/restore, encryption, and data deletion for each client.</t>
        </is>
      </c>
      <c r="E384" s="32" t="inlineStr">
        <is>
          <t>P0</t>
        </is>
      </c>
      <c r="F384" s="42" t="inlineStr">
        <is>
          <t>2. CLAUDE DOES IT</t>
        </is>
      </c>
      <c r="G384" s="18" t="inlineStr">
        <is>
          <t>Anand</t>
        </is>
      </c>
      <c r="H384" s="18" t="inlineStr">
        <is>
          <t>T379,T380</t>
        </is>
      </c>
      <c r="I384" s="48" t="inlineStr">
        <is>
          <t>Data-plane runbook + diagrams</t>
        </is>
      </c>
      <c r="J384" s="51" t="inlineStr">
        <is>
          <t>$0 initially; Azure costs per env</t>
        </is>
      </c>
      <c r="K384" s="82" t="inlineStr">
        <is>
          <t>Anytime</t>
        </is>
      </c>
      <c r="L384" s="44" t="inlineStr">
        <is>
          <t>Not started</t>
        </is>
      </c>
      <c r="M384" s="18" t="inlineStr">
        <is>
          <t>Must incorporate Azure-only write rule: no fallback Supabase/non-Azure data service for paid-client context loads.</t>
        </is>
      </c>
    </row>
    <row r="385">
      <c r="A385" s="18" t="inlineStr">
        <is>
          <t>T383</t>
        </is>
      </c>
      <c r="B385" s="18" t="inlineStr">
        <is>
          <t>Private Client Deployment</t>
        </is>
      </c>
      <c r="C385" s="18" t="inlineStr">
        <is>
          <t>Define client nonprod/prod environment standard</t>
        </is>
      </c>
      <c r="D385" s="18" t="inlineStr">
        <is>
          <t>Decide whether each signed client gets nonprod + prod from day one, what can be tested in AbarVa lab, and what requires client nonprod before prod promotion.</t>
        </is>
      </c>
      <c r="E385" s="32" t="inlineStr">
        <is>
          <t>P0</t>
        </is>
      </c>
      <c r="F385" s="42" t="inlineStr">
        <is>
          <t>3. CLAUDE + YOU</t>
        </is>
      </c>
      <c r="G385" s="18" t="inlineStr">
        <is>
          <t>Anand</t>
        </is>
      </c>
      <c r="H385" s="18" t="inlineStr">
        <is>
          <t>T376,T377</t>
        </is>
      </c>
      <c r="I385" s="48" t="inlineStr">
        <is>
          <t>Architecture decision + cost model</t>
        </is>
      </c>
      <c r="J385" s="51" t="inlineStr">
        <is>
          <t>$0</t>
        </is>
      </c>
      <c r="K385" s="82" t="inlineStr">
        <is>
          <t>Pre-Resign</t>
        </is>
      </c>
      <c r="L385" s="44" t="inlineStr">
        <is>
          <t>In progress</t>
        </is>
      </c>
      <c r="M385" s="18" t="inlineStr">
        <is>
          <t>Current direction: AbarVa lab for product development; client nonprod for client-config/data rehearsal; client prod for signed production use.</t>
        </is>
      </c>
    </row>
    <row r="386">
      <c r="A386" s="18" t="inlineStr">
        <is>
          <t>T384</t>
        </is>
      </c>
      <c r="B386" s="18" t="inlineStr">
        <is>
          <t>Private Client Deployment</t>
        </is>
      </c>
      <c r="C386" s="18" t="inlineStr">
        <is>
          <t>Build VNet/private endpoint/security landing-zone runbook</t>
        </is>
      </c>
      <c r="D386" s="18" t="inlineStr">
        <is>
          <t>Document the private networking pattern for Postgres, storage, Search, worker, app ingress/egress, private DNS, Key Vault, logging, allowed outbound, and admin access.</t>
        </is>
      </c>
      <c r="E386" s="32" t="inlineStr">
        <is>
          <t>P0</t>
        </is>
      </c>
      <c r="F386" s="42" t="inlineStr">
        <is>
          <t>2. CLAUDE DOES IT</t>
        </is>
      </c>
      <c r="G386" s="18" t="inlineStr">
        <is>
          <t>Anand</t>
        </is>
      </c>
      <c r="H386" s="18" t="inlineStr">
        <is>
          <t>T379,T381,T382</t>
        </is>
      </c>
      <c r="I386" s="48" t="inlineStr">
        <is>
          <t>Architecture diagrams + runbook</t>
        </is>
      </c>
      <c r="J386" s="51" t="inlineStr">
        <is>
          <t>$0</t>
        </is>
      </c>
      <c r="K386" s="82" t="inlineStr">
        <is>
          <t>Anytime</t>
        </is>
      </c>
      <c r="L386" s="44" t="inlineStr">
        <is>
          <t>Not started</t>
        </is>
      </c>
      <c r="M386" s="18" t="inlineStr">
        <is>
          <t>This is the missing depth needed before claiming true private data plane readiness.</t>
        </is>
      </c>
    </row>
    <row r="387">
      <c r="A387" s="18" t="inlineStr">
        <is>
          <t>T385</t>
        </is>
      </c>
      <c r="B387" s="18" t="inlineStr">
        <is>
          <t>Private Client Deployment</t>
        </is>
      </c>
      <c r="C387" s="18" t="inlineStr">
        <is>
          <t>Build client SSO / Clerk / identity runbook</t>
        </is>
      </c>
      <c r="D387" s="18" t="inlineStr">
        <is>
          <t>Define first-client identity path: launch-partner login, user provisioning, one-client-only access enforcement, test personas, SSO upgrade path, and deprovisioning.</t>
        </is>
      </c>
      <c r="E387" s="32" t="inlineStr">
        <is>
          <t>P0</t>
        </is>
      </c>
      <c r="F387" s="42" t="inlineStr">
        <is>
          <t>2. CLAUDE DOES IT</t>
        </is>
      </c>
      <c r="G387" s="18" t="inlineStr">
        <is>
          <t>Anand</t>
        </is>
      </c>
      <c r="H387" s="18" t="inlineStr">
        <is>
          <t>T381</t>
        </is>
      </c>
      <c r="I387" s="48" t="inlineStr">
        <is>
          <t>Auth runbook + QA checklist</t>
        </is>
      </c>
      <c r="J387" s="51" t="inlineStr">
        <is>
          <t>$0</t>
        </is>
      </c>
      <c r="K387" s="82" t="inlineStr">
        <is>
          <t>Anytime</t>
        </is>
      </c>
      <c r="L387" s="44" t="inlineStr">
        <is>
          <t>Not started</t>
        </is>
      </c>
      <c r="M387" s="18" t="inlineStr">
        <is>
          <t>Tie to existing agent auth session tooling and one-client-only guardrails; never grant cross-client access.</t>
        </is>
      </c>
    </row>
    <row r="388">
      <c r="A388" s="18" t="inlineStr">
        <is>
          <t>T386</t>
        </is>
      </c>
      <c r="B388" s="18" t="inlineStr">
        <is>
          <t>Private Client Deployment</t>
        </is>
      </c>
      <c r="C388" s="18" t="inlineStr">
        <is>
          <t>Implement ZIP/bulk loader roadmap for private client context</t>
        </is>
      </c>
      <c r="D388" s="18" t="inlineStr">
        <is>
          <t>Support bulk ZIP with manifest, safe unzip, file classification, Azure Blob archive, parser routing, review-required facts for PDFs/PPT/DOCX/XLSX, Postgres chunks, vector/Search indexing, and receipts.</t>
        </is>
      </c>
      <c r="E388" s="32" t="inlineStr">
        <is>
          <t>P0</t>
        </is>
      </c>
      <c r="F388" s="42" t="inlineStr">
        <is>
          <t>2. CLAUDE DOES IT</t>
        </is>
      </c>
      <c r="G388" s="18" t="inlineStr">
        <is>
          <t>Anand</t>
        </is>
      </c>
      <c r="H388" s="18" t="inlineStr">
        <is>
          <t>T382,T350,T352</t>
        </is>
      </c>
      <c r="I388" s="48" t="inlineStr">
        <is>
          <t>Code + tests + signed-in admin QA</t>
        </is>
      </c>
      <c r="J388" s="51" t="inlineStr">
        <is>
          <t>$0</t>
        </is>
      </c>
      <c r="K388" s="82" t="inlineStr">
        <is>
          <t>Anytime</t>
        </is>
      </c>
      <c r="L388" s="44" t="inlineStr">
        <is>
          <t>In progress</t>
        </is>
      </c>
      <c r="M388" s="18" t="inlineStr">
        <is>
          <t>Current truth: loose-file bulk works; true ZIP and broad Office/PDF parsing still need product work. Must write only to approved Azure data plane.</t>
        </is>
      </c>
    </row>
    <row r="389">
      <c r="A389" s="18" t="inlineStr">
        <is>
          <t>T387</t>
        </is>
      </c>
      <c r="B389" s="18" t="inlineStr">
        <is>
          <t>Private Client Deployment</t>
        </is>
      </c>
      <c r="C389" s="18" t="inlineStr">
        <is>
          <t>Create deployment receipt and evidence pack template</t>
        </is>
      </c>
      <c r="D389" s="18" t="inlineStr">
        <is>
          <t>For every private client environment, produce a receipt showing subscription, resources, app URL, data-plane endpoint, RBAC, secrets location, loader status, QA proof, and rollback plan.</t>
        </is>
      </c>
      <c r="E389" s="32" t="inlineStr">
        <is>
          <t>P0</t>
        </is>
      </c>
      <c r="F389" s="42" t="inlineStr">
        <is>
          <t>2. CLAUDE DOES IT</t>
        </is>
      </c>
      <c r="G389" s="18" t="inlineStr">
        <is>
          <t>Anand</t>
        </is>
      </c>
      <c r="H389" s="18" t="inlineStr">
        <is>
          <t>T378,T379,T381,T382</t>
        </is>
      </c>
      <c r="I389" s="48" t="inlineStr">
        <is>
          <t>Docs + release-control artifacts</t>
        </is>
      </c>
      <c r="J389" s="51" t="inlineStr">
        <is>
          <t>$0</t>
        </is>
      </c>
      <c r="K389" s="82" t="inlineStr">
        <is>
          <t>Anytime</t>
        </is>
      </c>
      <c r="L389" s="44" t="inlineStr">
        <is>
          <t>Not started</t>
        </is>
      </c>
      <c r="M389" s="18" t="inlineStr">
        <is>
          <t>This becomes the proof pack before handoff to the client or demo team.</t>
        </is>
      </c>
    </row>
    <row r="390">
      <c r="A390" s="18" t="inlineStr">
        <is>
          <t>T388</t>
        </is>
      </c>
      <c r="B390" s="18" t="inlineStr">
        <is>
          <t>Private Client Deployment</t>
        </is>
      </c>
      <c r="C390" s="18" t="inlineStr">
        <is>
          <t>Create data-load receipt and context-awareness proof template</t>
        </is>
      </c>
      <c r="D390" s="18" t="inlineStr">
        <is>
          <t>After any client context load, produce counts by file type, dimension, records, chunks, blobs, Postgres rows, Search/vector docs, parse warnings, quarantines, and signed-in Sentinel/Nexus QA evidence.</t>
        </is>
      </c>
      <c r="E390" s="32" t="inlineStr">
        <is>
          <t>P0</t>
        </is>
      </c>
      <c r="F390" s="42" t="inlineStr">
        <is>
          <t>2. CLAUDE DOES IT</t>
        </is>
      </c>
      <c r="G390" s="18" t="inlineStr">
        <is>
          <t>Anand</t>
        </is>
      </c>
      <c r="H390" s="18" t="inlineStr">
        <is>
          <t>T386,T350,T352</t>
        </is>
      </c>
      <c r="I390" s="48" t="inlineStr">
        <is>
          <t>Docs + scripts/report</t>
        </is>
      </c>
      <c r="J390" s="51" t="inlineStr">
        <is>
          <t>$0</t>
        </is>
      </c>
      <c r="K390" s="82" t="inlineStr">
        <is>
          <t>Anytime</t>
        </is>
      </c>
      <c r="L390" s="44" t="inlineStr">
        <is>
          <t>Not started</t>
        </is>
      </c>
      <c r="M390" s="18" t="inlineStr">
        <is>
          <t>This directly answers: what was loaded, parsed, archived, embedded/searchable, and proven in the product.</t>
        </is>
      </c>
    </row>
    <row r="391">
      <c r="A391" s="18" t="inlineStr">
        <is>
          <t>T389</t>
        </is>
      </c>
      <c r="B391" s="18" t="inlineStr">
        <is>
          <t>Private Client Deployment</t>
        </is>
      </c>
      <c r="C391" s="18" t="inlineStr">
        <is>
          <t>Run first private-client nonprod dry run after approval</t>
        </is>
      </c>
      <c r="D391" s="18" t="inlineStr">
        <is>
          <t>Provision and validate one private nonprod environment for PHS/Meridian or Morgan Street only after signed contract or explicit founder dry-run approval. Capture deployment receipt and signed-in QA.</t>
        </is>
      </c>
      <c r="E391" s="32" t="inlineStr">
        <is>
          <t>P0</t>
        </is>
      </c>
      <c r="F391" s="42" t="inlineStr">
        <is>
          <t>3. CLAUDE + YOU</t>
        </is>
      </c>
      <c r="G391" s="18" t="inlineStr">
        <is>
          <t>Anand</t>
        </is>
      </c>
      <c r="H391" s="18" t="inlineStr">
        <is>
          <t>T375,T378,T379,T381,T382,T386,T387,T388</t>
        </is>
      </c>
      <c r="I391" s="48" t="inlineStr">
        <is>
          <t>Cursor/Codex execution from approved runner</t>
        </is>
      </c>
      <c r="J391" s="51" t="inlineStr">
        <is>
          <t>Azure cost TBD</t>
        </is>
      </c>
      <c r="K391" s="82" t="inlineStr">
        <is>
          <t>Post-Resign</t>
        </is>
      </c>
      <c r="L391" s="44" t="inlineStr">
        <is>
          <t>Blocked</t>
        </is>
      </c>
      <c r="M391" s="18" t="inlineStr">
        <is>
          <t>Blocked until signed-client or explicit founder-approved dry-run gate is satisfied.</t>
        </is>
      </c>
    </row>
    <row r="392">
      <c r="A392" s="18" t="inlineStr">
        <is>
          <t>T390</t>
        </is>
      </c>
      <c r="B392" s="18" t="inlineStr">
        <is>
          <t>Private Client Deployment</t>
        </is>
      </c>
      <c r="C392" s="18" t="inlineStr">
        <is>
          <t>Define per-client release, rollback, and patching playbook</t>
        </is>
      </c>
      <c r="D392" s="18" t="inlineStr">
        <is>
          <t>Explain how core product fixes move from lab to each client environment, how client-specific extensions are isolated, how emergency patches roll out, and how rollback evidence is captured.</t>
        </is>
      </c>
      <c r="E392" s="32" t="inlineStr">
        <is>
          <t>P0</t>
        </is>
      </c>
      <c r="F392" s="42" t="inlineStr">
        <is>
          <t>2. CLAUDE DOES IT</t>
        </is>
      </c>
      <c r="G392" s="18" t="inlineStr">
        <is>
          <t>Anand</t>
        </is>
      </c>
      <c r="H392" s="18" t="inlineStr">
        <is>
          <t>T377,T381,T382</t>
        </is>
      </c>
      <c r="I392" s="48" t="inlineStr">
        <is>
          <t>Release playbook + release record template update</t>
        </is>
      </c>
      <c r="J392" s="51" t="inlineStr">
        <is>
          <t>$0</t>
        </is>
      </c>
      <c r="K392" s="82" t="inlineStr">
        <is>
          <t>Anytime</t>
        </is>
      </c>
      <c r="L392" s="44" t="inlineStr">
        <is>
          <t>Not started</t>
        </is>
      </c>
      <c r="M392" s="18" t="inlineStr">
        <is>
          <t>Needed before multiple private clients are live so releases do not become bespoke chaos.</t>
        </is>
      </c>
    </row>
    <row r="393">
      <c r="A393" s="18" t="inlineStr">
        <is>
          <t>T391</t>
        </is>
      </c>
      <c r="B393" s="18" t="inlineStr">
        <is>
          <t>Private Client Deployment</t>
        </is>
      </c>
      <c r="C393" s="18" t="inlineStr">
        <is>
          <t>Create buyer/security architecture deck for private deployment model</t>
        </is>
      </c>
      <c r="D393" s="18" t="inlineStr">
        <is>
          <t>Create polished diagrams and executive/security narrative showing private app plane, private data plane, responsible AI controls, evidence ledger, release model, and client isolation.</t>
        </is>
      </c>
      <c r="E393" s="32" t="inlineStr">
        <is>
          <t>P1</t>
        </is>
      </c>
      <c r="F393" s="42" t="inlineStr">
        <is>
          <t>2. CLAUDE DOES IT</t>
        </is>
      </c>
      <c r="G393" s="18" t="inlineStr">
        <is>
          <t>Anand</t>
        </is>
      </c>
      <c r="H393" s="18" t="inlineStr">
        <is>
          <t>T373,T381,T382,T383,T385</t>
        </is>
      </c>
      <c r="I393" s="48" t="inlineStr">
        <is>
          <t>Docs/deck/graphics</t>
        </is>
      </c>
      <c r="J393" s="51" t="inlineStr">
        <is>
          <t>$0</t>
        </is>
      </c>
      <c r="K393" s="82" t="inlineStr">
        <is>
          <t>Pre-Resign</t>
        </is>
      </c>
      <c r="L393" s="44" t="inlineStr">
        <is>
          <t>Not started</t>
        </is>
      </c>
      <c r="M393" s="18" t="inlineStr">
        <is>
          <t>Use as PHS/Meridian and Morgan Street sales/security artifact once architecture is credible.</t>
        </is>
      </c>
    </row>
    <row r="394">
      <c r="A394" s="18" t="inlineStr">
        <is>
          <t>T392</t>
        </is>
      </c>
      <c r="B394" s="18" t="inlineStr">
        <is>
          <t>Private Client Deployment</t>
        </is>
      </c>
      <c r="C394" s="18" t="inlineStr">
        <is>
          <t>Update AGENTS/Cursor rules with private-client deployment standards</t>
        </is>
      </c>
      <c r="D394" s="18" t="inlineStr">
        <is>
          <t>Ensure all new agents know: no paid client in shared env, no fallback database writes, one-client-only access, signed-client gate, release record discipline, receipts required, and truthful deployed/proven status.</t>
        </is>
      </c>
      <c r="E394" s="32" t="inlineStr">
        <is>
          <t>P0</t>
        </is>
      </c>
      <c r="F394" s="42" t="inlineStr">
        <is>
          <t>2. CLAUDE DOES IT</t>
        </is>
      </c>
      <c r="G394" s="18" t="inlineStr">
        <is>
          <t>Anand</t>
        </is>
      </c>
      <c r="H394" s="18" t="inlineStr">
        <is>
          <t>T375,T388,T389</t>
        </is>
      </c>
      <c r="I394" s="48" t="inlineStr">
        <is>
          <t>Governance docs + sync-ai-rules</t>
        </is>
      </c>
      <c r="J394" s="51" t="inlineStr">
        <is>
          <t>$0</t>
        </is>
      </c>
      <c r="K394" s="82" t="inlineStr">
        <is>
          <t>Anytime</t>
        </is>
      </c>
      <c r="L394" s="44" t="inlineStr">
        <is>
          <t>Not started</t>
        </is>
      </c>
      <c r="M394" s="18" t="inlineStr">
        <is>
          <t>Should integrate with the AGENTS.md sync plan so Cursor/Copilot/Codex follow the same standards.</t>
        </is>
      </c>
    </row>
    <row r="395">
      <c r="A395" s="18" t="inlineStr">
        <is>
          <t>T393</t>
        </is>
      </c>
      <c r="B395" s="18" t="inlineStr">
        <is>
          <t>Private Client Deployment</t>
        </is>
      </c>
      <c r="C395" s="18" t="inlineStr">
        <is>
          <t>Create client IT/CISO briefing pack template</t>
        </is>
      </c>
      <c r="D395" s="18" t="inlineStr">
        <is>
          <t>Architecture, trust boundaries, data flow, security posture, responsible AI controls, audit model, operations, and open security decisions for first-client CISO review.</t>
        </is>
      </c>
      <c r="E395" s="32" t="inlineStr">
        <is>
          <t>P0</t>
        </is>
      </c>
      <c r="F395" s="42" t="inlineStr">
        <is>
          <t>2. CLAUDE DOES IT</t>
        </is>
      </c>
      <c r="G395" s="18" t="inlineStr">
        <is>
          <t>Anand</t>
        </is>
      </c>
      <c r="H395" s="18" t="inlineStr">
        <is>
          <t>T373,T375,T381,T383,T385</t>
        </is>
      </c>
      <c r="I395" s="48" t="inlineStr">
        <is>
          <t>Cursor/Codex docs + diagrams</t>
        </is>
      </c>
      <c r="J395" s="51" t="inlineStr">
        <is>
          <t>$0</t>
        </is>
      </c>
      <c r="K395" s="82" t="inlineStr">
        <is>
          <t>Anytime</t>
        </is>
      </c>
      <c r="L395" s="44" t="inlineStr">
        <is>
          <t>Not started</t>
        </is>
      </c>
      <c r="M395" s="18" t="inlineStr">
        <is>
          <t>New go-live gap captured in docs/build/private-client-deployment-platform/CLIENT_PILOT_GO_LIVE_AGENT_PLAN_2026-06-06.md. Required before real client data load or broad user rollout.</t>
        </is>
      </c>
    </row>
    <row r="396">
      <c r="A396" s="18" t="inlineStr">
        <is>
          <t>T394</t>
        </is>
      </c>
      <c r="B396" s="18" t="inlineStr">
        <is>
          <t>Private Client Deployment</t>
        </is>
      </c>
      <c r="C396" s="18" t="inlineStr">
        <is>
          <t>Create AbarVa-managed subscription operating model template</t>
        </is>
      </c>
      <c r="D396" s="18" t="inlineStr">
        <is>
          <t>Document that launch partner default is AbarVa-managed private subscription: AbarVa pays/administers, client gets audit evidence or read-only/auditor access, BYO client subscription remains enterprise option later.</t>
        </is>
      </c>
      <c r="E396" s="32" t="inlineStr">
        <is>
          <t>P0</t>
        </is>
      </c>
      <c r="F396" s="42" t="inlineStr">
        <is>
          <t>2. CLAUDE DOES IT</t>
        </is>
      </c>
      <c r="G396" s="18" t="inlineStr">
        <is>
          <t>Anand</t>
        </is>
      </c>
      <c r="H396" s="18" t="inlineStr">
        <is>
          <t>T376,T380,T382</t>
        </is>
      </c>
      <c r="I396" s="48" t="inlineStr">
        <is>
          <t>Cursor/Codex docs</t>
        </is>
      </c>
      <c r="J396" s="51" t="inlineStr">
        <is>
          <t>$0</t>
        </is>
      </c>
      <c r="K396" s="82" t="inlineStr">
        <is>
          <t>Anytime</t>
        </is>
      </c>
      <c r="L396" s="44" t="inlineStr">
        <is>
          <t>Not started</t>
        </is>
      </c>
      <c r="M396" s="18" t="inlineStr">
        <is>
          <t>Must align commercial terms, cost cap, audit access, retention/exit, and support obligations.</t>
        </is>
      </c>
    </row>
    <row r="397">
      <c r="A397" s="18" t="inlineStr">
        <is>
          <t>T395</t>
        </is>
      </c>
      <c r="B397" s="18" t="inlineStr">
        <is>
          <t>Private Client Deployment</t>
        </is>
      </c>
      <c r="C397" s="18" t="inlineStr">
        <is>
          <t>Create client data approval and context scope template</t>
        </is>
      </c>
      <c r="D397" s="18" t="inlineStr">
        <is>
          <t>Define exactly what data can be loaded, who approves it, sensitivity, purpose, context dimension, loader target, retention, and whether it is synthetic, sanitized, or real.</t>
        </is>
      </c>
      <c r="E397" s="32" t="inlineStr">
        <is>
          <t>P0</t>
        </is>
      </c>
      <c r="F397" s="42" t="inlineStr">
        <is>
          <t>2. CLAUDE DOES IT</t>
        </is>
      </c>
      <c r="G397" s="18" t="inlineStr">
        <is>
          <t>Anand</t>
        </is>
      </c>
      <c r="H397" s="18" t="inlineStr">
        <is>
          <t>T386,T388</t>
        </is>
      </c>
      <c r="I397" s="48" t="inlineStr">
        <is>
          <t>Cursor/Codex docs + manifest template</t>
        </is>
      </c>
      <c r="J397" s="51" t="inlineStr">
        <is>
          <t>$0</t>
        </is>
      </c>
      <c r="K397" s="82" t="inlineStr">
        <is>
          <t>Anytime</t>
        </is>
      </c>
      <c r="L397" s="44" t="inlineStr">
        <is>
          <t>Not started</t>
        </is>
      </c>
      <c r="M397" s="18" t="inlineStr">
        <is>
          <t>No real client data load without data-use approval. Include business, IT, finance, org, vendor, operations, governance, and use-case dimensions.</t>
        </is>
      </c>
    </row>
    <row r="398">
      <c r="A398" s="18" t="inlineStr">
        <is>
          <t>T396</t>
        </is>
      </c>
      <c r="B398" s="18" t="inlineStr">
        <is>
          <t>Private Client Deployment</t>
        </is>
      </c>
      <c r="C398" s="18" t="inlineStr">
        <is>
          <t>Create client context dimension coverage matrix</t>
        </is>
      </c>
      <c r="D398" s="18" t="inlineStr">
        <is>
          <t>Track what is loaded versus missing across enterprise profile, org, KPIs, IT systems, data estate, architecture, workloads, vendors/contracts, initiatives, governance, and risk.</t>
        </is>
      </c>
      <c r="E398" s="32" t="inlineStr">
        <is>
          <t>P0</t>
        </is>
      </c>
      <c r="F398" s="42" t="inlineStr">
        <is>
          <t>2. CLAUDE DOES IT</t>
        </is>
      </c>
      <c r="G398" s="18" t="inlineStr">
        <is>
          <t>Anand</t>
        </is>
      </c>
      <c r="H398" s="18" t="inlineStr">
        <is>
          <t>T388,T395</t>
        </is>
      </c>
      <c r="I398" s="48" t="inlineStr">
        <is>
          <t>Cursor/Codex docs</t>
        </is>
      </c>
      <c r="J398" s="51" t="inlineStr">
        <is>
          <t>$0</t>
        </is>
      </c>
      <c r="K398" s="82" t="inlineStr">
        <is>
          <t>Anytime</t>
        </is>
      </c>
      <c r="L398" s="44" t="inlineStr">
        <is>
          <t>Not started</t>
        </is>
      </c>
      <c r="M398" s="18" t="inlineStr">
        <is>
          <t>This becomes the honest answer to whether Sentinel/Nexus really has context awareness.</t>
        </is>
      </c>
    </row>
    <row r="399">
      <c r="A399" s="18" t="inlineStr">
        <is>
          <t>T397</t>
        </is>
      </c>
      <c r="B399" s="18" t="inlineStr">
        <is>
          <t>Private Client Deployment</t>
        </is>
      </c>
      <c r="C399" s="18" t="inlineStr">
        <is>
          <t>Create pilot user/access/SSO onboarding runbook</t>
        </is>
      </c>
      <c r="D399" s="18" t="inlineStr">
        <is>
          <t>Initial users, roles, launch-partner auth or SSO path, one-client-only mapping, test personas, Responsible AI acknowledgement, deprovisioning, and signed-in access QA.</t>
        </is>
      </c>
      <c r="E399" s="32" t="inlineStr">
        <is>
          <t>P0</t>
        </is>
      </c>
      <c r="F399" s="42" t="inlineStr">
        <is>
          <t>2. CLAUDE DOES IT</t>
        </is>
      </c>
      <c r="G399" s="18" t="inlineStr">
        <is>
          <t>Anand</t>
        </is>
      </c>
      <c r="H399" s="18" t="inlineStr">
        <is>
          <t>T384,T387</t>
        </is>
      </c>
      <c r="I399" s="48" t="inlineStr">
        <is>
          <t>Cursor/Codex auth runbook</t>
        </is>
      </c>
      <c r="J399" s="51" t="inlineStr">
        <is>
          <t>$0</t>
        </is>
      </c>
      <c r="K399" s="82" t="inlineStr">
        <is>
          <t>Anytime</t>
        </is>
      </c>
      <c r="L399" s="44" t="inlineStr">
        <is>
          <t>Not started</t>
        </is>
      </c>
      <c r="M399" s="18" t="inlineStr">
        <is>
          <t>Never grant cross-client access. No shared passwords. Test crawler sessions must be one-client-only.</t>
        </is>
      </c>
    </row>
    <row r="400">
      <c r="A400" s="18" t="inlineStr">
        <is>
          <t>T398</t>
        </is>
      </c>
      <c r="B400" s="18" t="inlineStr">
        <is>
          <t>Private Client Deployment</t>
        </is>
      </c>
      <c r="C400" s="18" t="inlineStr">
        <is>
          <t>Create setup-admin bulk/ZIP go-live load procedure</t>
        </is>
      </c>
      <c r="D400" s="18" t="inlineStr">
        <is>
          <t>Operational procedure for approved file manifest, bulk/ZIP upload, Azure Blob archive, parsing, Postgres chunks, Search/vector indexing, receipts, warnings, and rollback/delete.</t>
        </is>
      </c>
      <c r="E400" s="32" t="inlineStr">
        <is>
          <t>P0</t>
        </is>
      </c>
      <c r="F400" s="42" t="inlineStr">
        <is>
          <t>2. CLAUDE DOES IT</t>
        </is>
      </c>
      <c r="G400" s="18" t="inlineStr">
        <is>
          <t>Anand</t>
        </is>
      </c>
      <c r="H400" s="18" t="inlineStr">
        <is>
          <t>T386,T388,T395,T396</t>
        </is>
      </c>
      <c r="I400" s="48" t="inlineStr">
        <is>
          <t>Cursor/Codex docs + product backlog</t>
        </is>
      </c>
      <c r="J400" s="51" t="inlineStr">
        <is>
          <t>$0</t>
        </is>
      </c>
      <c r="K400" s="82" t="inlineStr">
        <is>
          <t>Anytime</t>
        </is>
      </c>
      <c r="L400" s="44" t="inlineStr">
        <is>
          <t>Not started</t>
        </is>
      </c>
      <c r="M400" s="18" t="inlineStr">
        <is>
          <t>Use governed loader only. Do not sideload context or write to non-Azure fallback stores.</t>
        </is>
      </c>
    </row>
    <row r="401">
      <c r="A401" s="18" t="inlineStr">
        <is>
          <t>T399</t>
        </is>
      </c>
      <c r="B401" s="18" t="inlineStr">
        <is>
          <t>Private Client Deployment</t>
        </is>
      </c>
      <c r="C401" s="18" t="inlineStr">
        <is>
          <t>Create signed-in product QA and context-awareness proof plan</t>
        </is>
      </c>
      <c r="D401" s="18" t="inlineStr">
        <is>
          <t>Persona-based checks that Sentinel, Nexus, Moves, Tower, Source if enabled, and Admin context layer all reflect loaded client context with citations/gaps and no leakage.</t>
        </is>
      </c>
      <c r="E401" s="32" t="inlineStr">
        <is>
          <t>P0</t>
        </is>
      </c>
      <c r="F401" s="42" t="inlineStr">
        <is>
          <t>2. CLAUDE DOES IT</t>
        </is>
      </c>
      <c r="G401" s="18" t="inlineStr">
        <is>
          <t>Anand</t>
        </is>
      </c>
      <c r="H401" s="18" t="inlineStr">
        <is>
          <t>T388,T396,T397</t>
        </is>
      </c>
      <c r="I401" s="48" t="inlineStr">
        <is>
          <t>Browser QA plan + report template</t>
        </is>
      </c>
      <c r="J401" s="51" t="inlineStr">
        <is>
          <t>$0</t>
        </is>
      </c>
      <c r="K401" s="82" t="inlineStr">
        <is>
          <t>Anytime</t>
        </is>
      </c>
      <c r="L401" s="44" t="inlineStr">
        <is>
          <t>Not started</t>
        </is>
      </c>
      <c r="M401" s="18" t="inlineStr">
        <is>
          <t>Done requires screenshots/transcripts/counts, not just code or loader receipts.</t>
        </is>
      </c>
    </row>
    <row r="402">
      <c r="A402" s="18" t="inlineStr">
        <is>
          <t>T400</t>
        </is>
      </c>
      <c r="B402" s="18" t="inlineStr">
        <is>
          <t>Private Client Deployment</t>
        </is>
      </c>
      <c r="C402" s="18" t="inlineStr">
        <is>
          <t>Create first end-to-end Move value-proof standard</t>
        </is>
      </c>
      <c r="D402" s="18" t="inlineStr">
        <is>
          <t>Define one client-relevant use case artifact chain at best-in-class depth: current state, target architecture, roadmap, business case, mobilization, estimate, source/SI strategy, and value proof.</t>
        </is>
      </c>
      <c r="E402" s="32" t="inlineStr">
        <is>
          <t>P0</t>
        </is>
      </c>
      <c r="F402" s="42" t="inlineStr">
        <is>
          <t>3. CLAUDE + YOU</t>
        </is>
      </c>
      <c r="G402" s="18" t="inlineStr">
        <is>
          <t>Anand</t>
        </is>
      </c>
      <c r="H402" s="18" t="inlineStr">
        <is>
          <t>T388,T398</t>
        </is>
      </c>
      <c r="I402" s="48" t="inlineStr">
        <is>
          <t>Agent artifacts + SME review</t>
        </is>
      </c>
      <c r="J402" s="51" t="inlineStr">
        <is>
          <t>$0</t>
        </is>
      </c>
      <c r="K402" s="82" t="inlineStr">
        <is>
          <t>Pre-Resign</t>
        </is>
      </c>
      <c r="L402" s="44" t="inlineStr">
        <is>
          <t>Not started</t>
        </is>
      </c>
      <c r="M402" s="18" t="inlineStr">
        <is>
          <t>For PHS, use healthcare AI modernization/pop health or clinical AI with AWS/Databricks-style modernization depth. For Morgan, use finance/ops/product-development angle.</t>
        </is>
      </c>
    </row>
    <row r="403">
      <c r="A403" s="18" t="inlineStr">
        <is>
          <t>T401</t>
        </is>
      </c>
      <c r="B403" s="18" t="inlineStr">
        <is>
          <t>Private Client Deployment</t>
        </is>
      </c>
      <c r="C403" s="18" t="inlineStr">
        <is>
          <t>Create go-live readiness review template</t>
        </is>
      </c>
      <c r="D403" s="18" t="inlineStr">
        <is>
          <t>Single decision packet covering commercial, legal/data, CISO/IT, subscription, app, data, identity, Responsible AI, operations, value proof, and training readiness.</t>
        </is>
      </c>
      <c r="E403" s="32" t="inlineStr">
        <is>
          <t>P0</t>
        </is>
      </c>
      <c r="F403" s="42" t="inlineStr">
        <is>
          <t>2. CLAUDE DOES IT</t>
        </is>
      </c>
      <c r="G403" s="18" t="inlineStr">
        <is>
          <t>Anand</t>
        </is>
      </c>
      <c r="H403" s="18" t="inlineStr">
        <is>
          <t>T394,T395,T396,T397,T398,T399,T400</t>
        </is>
      </c>
      <c r="I403" s="48" t="inlineStr">
        <is>
          <t>Cursor/Codex docs</t>
        </is>
      </c>
      <c r="J403" s="51" t="inlineStr">
        <is>
          <t>$0</t>
        </is>
      </c>
      <c r="K403" s="82" t="inlineStr">
        <is>
          <t>Anytime</t>
        </is>
      </c>
      <c r="L403" s="44" t="inlineStr">
        <is>
          <t>Not started</t>
        </is>
      </c>
      <c r="M403" s="18" t="inlineStr">
        <is>
          <t>This is the final gate before real users go live.</t>
        </is>
      </c>
    </row>
    <row r="404">
      <c r="A404" s="18" t="inlineStr">
        <is>
          <t>T402</t>
        </is>
      </c>
      <c r="B404" s="18" t="inlineStr">
        <is>
          <t>Private Client Deployment</t>
        </is>
      </c>
      <c r="C404" s="18" t="inlineStr">
        <is>
          <t>Create pilot operations cadence and support runbook</t>
        </is>
      </c>
      <c r="D404" s="18" t="inlineStr">
        <is>
          <t>Weekly sponsor/value review, product/issue triage, cost/context report, incident flow, release windows, support channel, and issue/risk/decision log.</t>
        </is>
      </c>
      <c r="E404" s="32" t="inlineStr">
        <is>
          <t>P1</t>
        </is>
      </c>
      <c r="F404" s="42" t="inlineStr">
        <is>
          <t>2. CLAUDE DOES IT</t>
        </is>
      </c>
      <c r="G404" s="18" t="inlineStr">
        <is>
          <t>Anand</t>
        </is>
      </c>
      <c r="H404" s="18" t="inlineStr">
        <is>
          <t>T389,T401</t>
        </is>
      </c>
      <c r="I404" s="48" t="inlineStr">
        <is>
          <t>Ops runbook</t>
        </is>
      </c>
      <c r="J404" s="51" t="inlineStr">
        <is>
          <t>$0</t>
        </is>
      </c>
      <c r="K404" s="82" t="inlineStr">
        <is>
          <t>Anytime</t>
        </is>
      </c>
      <c r="L404" s="44" t="inlineStr">
        <is>
          <t>Not started</t>
        </is>
      </c>
      <c r="M404" s="18" t="inlineStr">
        <is>
          <t>Turns pilot into a managed product/services engagement, not a demo account.</t>
        </is>
      </c>
    </row>
    <row r="405">
      <c r="A405" s="18" t="inlineStr">
        <is>
          <t>T403</t>
        </is>
      </c>
      <c r="B405" s="18" t="inlineStr">
        <is>
          <t>Private Client Deployment</t>
        </is>
      </c>
      <c r="C405" s="18" t="inlineStr">
        <is>
          <t>Create client training primer plan with screenshots and real examples</t>
        </is>
      </c>
      <c r="D405" s="18" t="inlineStr">
        <is>
          <t>Admin and CXO primers with product screenshots, real client-like examples, data/context explanation, Responsible AI training, and how to interpret evidence/citations.</t>
        </is>
      </c>
      <c r="E405" s="32" t="inlineStr">
        <is>
          <t>P1</t>
        </is>
      </c>
      <c r="F405" s="42" t="inlineStr">
        <is>
          <t>2. CLAUDE DOES IT</t>
        </is>
      </c>
      <c r="G405" s="18" t="inlineStr">
        <is>
          <t>Anand</t>
        </is>
      </c>
      <c r="H405" s="18" t="inlineStr">
        <is>
          <t>T398,T399,T401</t>
        </is>
      </c>
      <c r="I405" s="48" t="inlineStr">
        <is>
          <t>Docs/video plan</t>
        </is>
      </c>
      <c r="J405" s="51" t="inlineStr">
        <is>
          <t>$0</t>
        </is>
      </c>
      <c r="K405" s="82" t="inlineStr">
        <is>
          <t>Pre-Resign</t>
        </is>
      </c>
      <c r="L405" s="44" t="inlineStr">
        <is>
          <t>Not started</t>
        </is>
      </c>
      <c r="M405" s="18" t="inlineStr">
        <is>
          <t>Must be rich and specific enough for PHS/Meridian or Morgan Street users to understand why AbarVa is worth using.</t>
        </is>
      </c>
    </row>
    <row r="406">
      <c r="A406" s="18" t="inlineStr">
        <is>
          <t>T404</t>
        </is>
      </c>
      <c r="B406" s="18" t="inlineStr">
        <is>
          <t>Private Client Deployment</t>
        </is>
      </c>
      <c r="C406" s="18" t="inlineStr">
        <is>
          <t>Create pilot exit, retention, and deletion plan</t>
        </is>
      </c>
      <c r="D406" s="18" t="inlineStr">
        <is>
          <t>Define what happens if pilot ends: data export, evidence retention, Blob/Postgres/Search deletion, account disablement, audit record, and subscription teardown.</t>
        </is>
      </c>
      <c r="E406" s="32" t="inlineStr">
        <is>
          <t>P1</t>
        </is>
      </c>
      <c r="F406" s="42" t="inlineStr">
        <is>
          <t>2. CLAUDE DOES IT</t>
        </is>
      </c>
      <c r="G406" s="18" t="inlineStr">
        <is>
          <t>Anand</t>
        </is>
      </c>
      <c r="H406" s="18" t="inlineStr">
        <is>
          <t>T394,T395,T397</t>
        </is>
      </c>
      <c r="I406" s="48" t="inlineStr">
        <is>
          <t>Legal/ops runbook</t>
        </is>
      </c>
      <c r="J406" s="51" t="inlineStr">
        <is>
          <t>$0</t>
        </is>
      </c>
      <c r="K406" s="82" t="inlineStr">
        <is>
          <t>Anytime</t>
        </is>
      </c>
      <c r="L406" s="44" t="inlineStr">
        <is>
          <t>Not started</t>
        </is>
      </c>
      <c r="M406" s="18" t="inlineStr">
        <is>
          <t>Important for CISO confidence and contract negotiations.</t>
        </is>
      </c>
    </row>
    <row r="407" ht="58" customHeight="1">
      <c r="A407" s="18" t="inlineStr">
        <is>
          <t>T405</t>
        </is>
      </c>
      <c r="B407" s="18" t="inlineStr">
        <is>
          <t>PHS / Meridian Pilot Evidence</t>
        </is>
      </c>
      <c r="C407" s="18" t="inlineStr">
        <is>
          <t>Create PHI-free health-plan strategy evidence templates</t>
        </is>
      </c>
      <c r="D407" s="18" t="inlineStr">
        <is>
          <t>Establish reusable client-facing templates for PHA/Meridian pilot use cases without raw PHI, member-level PII, raw claims, transcripts, or transactional medical detail.</t>
        </is>
      </c>
      <c r="E407" s="32" t="inlineStr">
        <is>
          <t>P0</t>
        </is>
      </c>
      <c r="F407" s="42" t="inlineStr">
        <is>
          <t>2. CLAUDE DOES IT</t>
        </is>
      </c>
      <c r="G407" s="18" t="inlineStr">
        <is>
          <t>Codex / Anand review</t>
        </is>
      </c>
      <c r="H407" s="18" t="inlineStr">
        <is>
          <t>Liran/PHA use-case list</t>
        </is>
      </c>
      <c r="I407" s="48" t="inlineStr">
        <is>
          <t>Use datasets/meridian-health-synthetic-v1/19-pilot-strategy-evidence-pack/ template catalog and CSV templates through governed Admin bulk/load path.</t>
        </is>
      </c>
      <c r="J407" s="51" t="inlineStr">
        <is>
          <t>$0</t>
        </is>
      </c>
      <c r="K407" s="82" t="inlineStr">
        <is>
          <t>Pre-Pilot</t>
        </is>
      </c>
      <c r="L407" s="44" t="inlineStr">
        <is>
          <t>Done</t>
        </is>
      </c>
      <c r="M407" s="18" t="inlineStr">
        <is>
          <t>Created 10-template evidence pack covering use cases, KPIs, current process, systems, vendors, roles, evidence, decisions, data readiness, and guardrails.</t>
        </is>
      </c>
    </row>
    <row r="408" ht="58" customHeight="1">
      <c r="A408" s="18" t="inlineStr">
        <is>
          <t>T406</t>
        </is>
      </c>
      <c r="B408" s="18" t="inlineStr">
        <is>
          <t>PHS / Meridian Pilot Evidence</t>
        </is>
      </c>
      <c r="C408" s="18" t="inlineStr">
        <is>
          <t>Map Liran/PHA use cases to Move phases and required evidence</t>
        </is>
      </c>
      <c r="D408" s="18" t="inlineStr">
        <is>
          <t>Clarifies what is needed at P0/P1/P2/P3/P4 without over-collecting transactional or sensitive data.</t>
        </is>
      </c>
      <c r="E408" s="32" t="inlineStr">
        <is>
          <t>P0</t>
        </is>
      </c>
      <c r="F408" s="42" t="inlineStr">
        <is>
          <t>2. CLAUDE DOES IT</t>
        </is>
      </c>
      <c r="G408" s="18" t="inlineStr">
        <is>
          <t>Codex / Anand review</t>
        </is>
      </c>
      <c r="H408" s="18" t="inlineStr">
        <is>
          <t>T405</t>
        </is>
      </c>
      <c r="I408" s="48" t="inlineStr">
        <is>
          <t>Use use_case_template_map.csv plus README phase guidance as the pilot intake checklist.</t>
        </is>
      </c>
      <c r="J408" s="51" t="inlineStr">
        <is>
          <t>$0</t>
        </is>
      </c>
      <c r="K408" s="82" t="inlineStr">
        <is>
          <t>Pre-Pilot</t>
        </is>
      </c>
      <c r="L408" s="44" t="inlineStr">
        <is>
          <t>Done</t>
        </is>
      </c>
      <c r="M408" s="18" t="inlineStr">
        <is>
          <t>Seven use cases mapped: unified clinical+claims foundation, automation foundation, call center, provider quality, cost transparency, payment integrity, automated close/reporting.</t>
        </is>
      </c>
    </row>
    <row r="409" ht="58" customHeight="1">
      <c r="A409" s="18" t="inlineStr">
        <is>
          <t>T407</t>
        </is>
      </c>
      <c r="B409" s="18" t="inlineStr">
        <is>
          <t>PHS / Meridian Pilot Evidence</t>
        </is>
      </c>
      <c r="C409" s="18" t="inlineStr">
        <is>
          <t>Create reusable strategy data templates for pilot upload</t>
        </is>
      </c>
      <c r="D409" s="18" t="inlineStr">
        <is>
          <t>Pilot clients need one governed way to supply strategy context; synthetic pack must be a reference example, not a one-time shortcut.</t>
        </is>
      </c>
      <c r="E409" s="32" t="inlineStr">
        <is>
          <t>P0</t>
        </is>
      </c>
      <c r="F409" s="42" t="inlineStr">
        <is>
          <t>2. CLAUDE DOES IT</t>
        </is>
      </c>
      <c r="G409" s="18" t="inlineStr">
        <is>
          <t>Codex / Admin Data Load owner</t>
        </is>
      </c>
      <c r="H409" s="18" t="inlineStr">
        <is>
          <t>T405</t>
        </is>
      </c>
      <c r="I409" s="48" t="inlineStr">
        <is>
          <t>Load the CSV templates through Admin bulk path with manifest, lineage, classification, confidence, source_basis, and citations.</t>
        </is>
      </c>
      <c r="J409" s="51" t="inlineStr">
        <is>
          <t>$0</t>
        </is>
      </c>
      <c r="K409" s="82" t="inlineStr">
        <is>
          <t>Pre-Pilot</t>
        </is>
      </c>
      <c r="L409" s="44" t="inlineStr">
        <is>
          <t>Done</t>
        </is>
      </c>
      <c r="M409" s="18" t="inlineStr">
        <is>
          <t>Templates are intentionally strategy-level and de-identified: no raw PHI/PII, no raw claims, no raw call transcripts.</t>
        </is>
      </c>
    </row>
    <row r="410" ht="58" customHeight="1">
      <c r="A410" s="18" t="inlineStr">
        <is>
          <t>T408</t>
        </is>
      </c>
      <c r="B410" s="18" t="inlineStr">
        <is>
          <t>PHS / Meridian Corpus</t>
        </is>
      </c>
      <c r="C410" s="18" t="inlineStr">
        <is>
          <t>Author health-plan corpus starter patterns for the PHA use cases</t>
        </is>
      </c>
      <c r="D410" s="18" t="inlineStr">
        <is>
          <t>Nexus/Sentinel/Atlas need industry patterns for strategy framing, failure modes, KPIs, guardrails, and implementation options.</t>
        </is>
      </c>
      <c r="E410" s="32" t="inlineStr">
        <is>
          <t>P0</t>
        </is>
      </c>
      <c r="F410" s="42" t="inlineStr">
        <is>
          <t>2. CLAUDE DOES IT</t>
        </is>
      </c>
      <c r="G410" s="18" t="inlineStr">
        <is>
          <t>Codex / Anand review</t>
        </is>
      </c>
      <c r="H410" s="18" t="inlineStr">
        <is>
          <t>T406</t>
        </is>
      </c>
      <c r="I410" s="48" t="inlineStr">
        <is>
          <t>Review corpus_pattern_starters.jsonl and corpus_enhancement_backlog.csv before canonical corpus load.</t>
        </is>
      </c>
      <c r="J410" s="51" t="inlineStr">
        <is>
          <t>$0</t>
        </is>
      </c>
      <c r="K410" s="82" t="inlineStr">
        <is>
          <t>Pre-Pilot</t>
        </is>
      </c>
      <c r="L410" s="44" t="inlineStr">
        <is>
          <t>Done - starter corpus authored</t>
        </is>
      </c>
      <c r="M410" s="18" t="inlineStr">
        <is>
          <t>Seven starter patterns created, one per use-case family, with KPIs, guardrails, failure modes, source basis, and applicable Move phases.</t>
        </is>
      </c>
    </row>
    <row r="411" ht="58" customHeight="1">
      <c r="A411" s="18" t="inlineStr">
        <is>
          <t>T409</t>
        </is>
      </c>
      <c r="B411" s="18" t="inlineStr">
        <is>
          <t>PHS / Meridian Corpus</t>
        </is>
      </c>
      <c r="C411" s="18" t="inlineStr">
        <is>
          <t>Load reviewed starter patterns into canonical governed corpus</t>
        </is>
      </c>
      <c r="D411" s="18" t="inlineStr">
        <is>
          <t>Starter corpus is authored locally but not yet committed to the canonical agent-usable corpus/readiness sidecar.</t>
        </is>
      </c>
      <c r="E411" s="32" t="inlineStr">
        <is>
          <t>P0</t>
        </is>
      </c>
      <c r="F411" s="42" t="inlineStr">
        <is>
          <t>3. CODEX + REVIEW</t>
        </is>
      </c>
      <c r="G411" s="18" t="inlineStr">
        <is>
          <t>Anand approval / Codex execution</t>
        </is>
      </c>
      <c r="H411" s="18" t="inlineStr">
        <is>
          <t>T408 review approval</t>
        </is>
      </c>
      <c r="I411" s="48" t="inlineStr">
        <is>
          <t>Use governed corpus onboarding manifest; run validators; leave agent_ready only after retrieval/citation proof.</t>
        </is>
      </c>
      <c r="J411" s="51" t="inlineStr">
        <is>
          <t>$0</t>
        </is>
      </c>
      <c r="K411" s="82" t="inlineStr">
        <is>
          <t>Pre-Pilot</t>
        </is>
      </c>
      <c r="L411" s="44" t="inlineStr">
        <is>
          <t>Ready for review</t>
        </is>
      </c>
      <c r="M411" s="18" t="inlineStr">
        <is>
          <t>Do not auto-promote. Load through canonical governance path after content review.</t>
        </is>
      </c>
    </row>
    <row r="412" ht="58" customHeight="1">
      <c r="A412" s="18" t="inlineStr">
        <is>
          <t>T410</t>
        </is>
      </c>
      <c r="B412" s="18" t="inlineStr">
        <is>
          <t>PHS / Meridian Live Proof</t>
        </is>
      </c>
      <c r="C412" s="18" t="inlineStr">
        <is>
          <t>Run live Meridian retrieval and context-bundle proof</t>
        </is>
      </c>
      <c r="D412" s="18" t="inlineStr">
        <is>
          <t>Local data pack is rich, but pilot readiness requires loaded -&gt; indexed -&gt; retrievable -&gt; cited -&gt; context-bundle-proven evidence in Azure.</t>
        </is>
      </c>
      <c r="E412" s="32" t="inlineStr">
        <is>
          <t>P0</t>
        </is>
      </c>
      <c r="F412" s="42" t="inlineStr">
        <is>
          <t>3. CODEX + AZURE</t>
        </is>
      </c>
      <c r="G412" s="18" t="inlineStr">
        <is>
          <t>Codex / Azure operator</t>
        </is>
      </c>
      <c r="H412" s="18" t="inlineStr">
        <is>
          <t>Search data-plane access or ACA/VNet job</t>
        </is>
      </c>
      <c r="I412" s="48" t="inlineStr">
        <is>
          <t>Run ACA/VNet read-only health check for Meridian queries and context bundle traces across Intelligence, Moves, Source, Tower.</t>
        </is>
      </c>
      <c r="J412" s="51" t="inlineStr">
        <is>
          <t>$0 unless new infra needed</t>
        </is>
      </c>
      <c r="K412" s="82" t="inlineStr">
        <is>
          <t>Pre-Pilot</t>
        </is>
      </c>
      <c r="L412" s="44" t="inlineStr">
        <is>
          <t>Blocked - live data-plane proof needed</t>
        </is>
      </c>
      <c r="M412" s="18" t="inlineStr">
        <is>
          <t>Local identity could list indexes over private endpoint but Search doc query returned 403; needs ACA job or Search Index Data Reader/Contributor.</t>
        </is>
      </c>
    </row>
    <row r="413" ht="58" customHeight="1">
      <c r="A413" s="18" t="inlineStr">
        <is>
          <t>T411</t>
        </is>
      </c>
      <c r="B413" s="18" t="inlineStr">
        <is>
          <t>PHS / Meridian Admin Upload</t>
        </is>
      </c>
      <c r="C413" s="18" t="inlineStr">
        <is>
          <t>Prepare Admin bulk upload rehearsal for the pilot evidence pack</t>
        </is>
      </c>
      <c r="D413" s="18" t="inlineStr">
        <is>
          <t>Pilot process must prove templates can be uploaded through the same Admin bulk path clients will use, not seed shortcuts.</t>
        </is>
      </c>
      <c r="E413" s="32" t="inlineStr">
        <is>
          <t>P1</t>
        </is>
      </c>
      <c r="F413" s="42" t="inlineStr">
        <is>
          <t>3. CODEX + REVIEW</t>
        </is>
      </c>
      <c r="G413" s="18" t="inlineStr">
        <is>
          <t>Admin Data Load owner / Codex</t>
        </is>
      </c>
      <c r="H413" s="18" t="inlineStr">
        <is>
          <t>T405, T409, Admin bulk path decision</t>
        </is>
      </c>
      <c r="I413" s="48" t="inlineStr">
        <is>
          <t>Create manifest-driven upload package, run preflight, stage originals to Blob, commit facts/chunks, refresh index, capture receipt and retrieval proof.</t>
        </is>
      </c>
      <c r="J413" s="51" t="inlineStr">
        <is>
          <t>$0</t>
        </is>
      </c>
      <c r="K413" s="82" t="inlineStr">
        <is>
          <t>Pre-Pilot</t>
        </is>
      </c>
      <c r="L413" s="44" t="inlineStr">
        <is>
          <t>Ready for execution</t>
        </is>
      </c>
      <c r="M413" s="18" t="inlineStr">
        <is>
          <t>Must report states separately: local generated, upload accepted, Blob staged, parser committed, index refreshed, retrieval/citation proven.</t>
        </is>
      </c>
    </row>
  </sheetData>
  <mergeCells count="2">
    <mergeCell ref="A2:M2"/>
    <mergeCell ref="A1:M1"/>
  </mergeCells>
  <conditionalFormatting sqref="L5:L533">
    <cfRule type="cellIs" priority="1" operator="equal" dxfId="4">
      <formula>"Not started"</formula>
    </cfRule>
    <cfRule type="cellIs" priority="2" operator="equal" dxfId="5">
      <formula>"In progress"</formula>
    </cfRule>
    <cfRule type="cellIs" priority="3" operator="equal" dxfId="6">
      <formula>"Blocked"</formula>
    </cfRule>
    <cfRule type="cellIs" priority="4" operator="equal" dxfId="7">
      <formula>"Done"</formula>
    </cfRule>
  </conditionalFormatting>
  <conditionalFormatting sqref="A5:M533">
    <cfRule type="expression" priority="5" dxfId="8">
      <formula>$L5="Done"</formula>
    </cfRule>
  </conditionalFormatting>
  <conditionalFormatting sqref="K5:K533">
    <cfRule type="cellIs" priority="6" operator="equal" dxfId="22">
      <formula>"Pre-Resign"</formula>
    </cfRule>
    <cfRule type="cellIs" priority="7" operator="equal" dxfId="19">
      <formula>"At-Resign"</formula>
    </cfRule>
    <cfRule type="cellIs" priority="8" operator="equal" dxfId="23">
      <formula>"Post-Resign"</formula>
    </cfRule>
    <cfRule type="cellIs" priority="9" operator="equal" dxfId="24">
      <formula>"Anytime"</formula>
    </cfRule>
  </conditionalFormatting>
  <dataValidations count="3">
    <dataValidation sqref="L5:L533" showDropDown="0" showInputMessage="0" showErrorMessage="0" allowBlank="0" type="list">
      <formula1>"Not started,In progress,Blocked,Done"</formula1>
    </dataValidation>
    <dataValidation sqref="E5:E533" showDropDown="0" showInputMessage="0" showErrorMessage="0" allowBlank="0" type="list">
      <formula1>"P0,P1,P2,P3"</formula1>
    </dataValidation>
    <dataValidation sqref="K5:K533" showDropDown="0" showInputMessage="0" showErrorMessage="0" allowBlank="0" type="list">
      <formula1>"Pre-Resign,At-Resign,Post-Resign,Anytime"</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M11"/>
  <sheetViews>
    <sheetView showGridLines="0" workbookViewId="0">
      <pane ySplit="3" topLeftCell="A4" activePane="bottomLeft" state="frozen"/>
      <selection pane="bottomLeft" activeCell="A1" sqref="A1"/>
    </sheetView>
  </sheetViews>
  <sheetFormatPr baseColWidth="8" defaultRowHeight="15"/>
  <cols>
    <col width="12" customWidth="1" min="1" max="1"/>
    <col width="18" customWidth="1" min="2" max="2"/>
    <col width="34" customWidth="1" min="3" max="3"/>
    <col width="14" customWidth="1" min="4" max="4"/>
    <col width="52" customWidth="1" min="5" max="5"/>
    <col width="24" customWidth="1" min="6" max="6"/>
    <col width="10" customWidth="1" min="7" max="7"/>
    <col width="20" customWidth="1" min="8" max="8"/>
    <col width="28" customWidth="1" min="9" max="9"/>
    <col width="34" customWidth="1" min="10" max="10"/>
    <col width="34" customWidth="1" min="11" max="11"/>
    <col width="34" customWidth="1" min="12" max="12"/>
    <col width="40" customWidth="1" min="13" max="13"/>
  </cols>
  <sheetData>
    <row r="1">
      <c r="A1" s="171" t="inlineStr">
        <is>
          <t>PHS / Meridian Pilot Strategy Evidence Backlog</t>
        </is>
      </c>
      <c r="B1" s="98" t="n"/>
      <c r="C1" s="98" t="n"/>
      <c r="D1" s="98" t="n"/>
      <c r="E1" s="98" t="n"/>
      <c r="F1" s="98" t="n"/>
      <c r="G1" s="98" t="n"/>
      <c r="H1" s="98" t="n"/>
      <c r="I1" s="98" t="n"/>
      <c r="J1" s="98" t="n"/>
      <c r="K1" s="98" t="n"/>
      <c r="L1" s="98" t="n"/>
      <c r="M1" s="98" t="n"/>
    </row>
    <row r="2">
      <c r="A2" s="172" t="inlineStr">
        <is>
          <t>Purpose: track the PHI-free templates, corpus enhancements, Admin upload rehearsal, and live proof required to test Liran/PHA use cases through AbarVa Moves without raw sensitive data.</t>
        </is>
      </c>
      <c r="B2" s="98" t="n"/>
      <c r="C2" s="98" t="n"/>
      <c r="D2" s="98" t="n"/>
      <c r="E2" s="98" t="n"/>
      <c r="F2" s="98" t="n"/>
      <c r="G2" s="98" t="n"/>
      <c r="H2" s="98" t="n"/>
      <c r="I2" s="98" t="n"/>
      <c r="J2" s="98" t="n"/>
      <c r="K2" s="98" t="n"/>
      <c r="L2" s="98" t="n"/>
      <c r="M2" s="98" t="n"/>
    </row>
    <row r="3">
      <c r="A3" s="173" t="inlineStr">
        <is>
          <t>ID</t>
        </is>
      </c>
      <c r="B3" s="173" t="inlineStr">
        <is>
          <t>Workstream</t>
        </is>
      </c>
      <c r="C3" s="173" t="inlineStr">
        <is>
          <t>Use Case / Scope</t>
        </is>
      </c>
      <c r="D3" s="173" t="inlineStr">
        <is>
          <t>Move Phase</t>
        </is>
      </c>
      <c r="E3" s="173" t="inlineStr">
        <is>
          <t>Artifact / Path</t>
        </is>
      </c>
      <c r="F3" s="173" t="inlineStr">
        <is>
          <t>Status</t>
        </is>
      </c>
      <c r="G3" s="173" t="inlineStr">
        <is>
          <t>Priority</t>
        </is>
      </c>
      <c r="H3" s="173" t="inlineStr">
        <is>
          <t>Owner</t>
        </is>
      </c>
      <c r="I3" s="173" t="inlineStr">
        <is>
          <t>Dependency</t>
        </is>
      </c>
      <c r="J3" s="173" t="inlineStr">
        <is>
          <t>Validation / Proof</t>
        </is>
      </c>
      <c r="K3" s="173" t="inlineStr">
        <is>
          <t>Sensitive Data Position</t>
        </is>
      </c>
      <c r="L3" s="173" t="inlineStr">
        <is>
          <t>Next Action</t>
        </is>
      </c>
      <c r="M3" s="173" t="inlineStr">
        <is>
          <t>Notes</t>
        </is>
      </c>
    </row>
    <row r="4" ht="68" customHeight="1">
      <c r="A4" s="174" t="inlineStr">
        <is>
          <t>PHA-001</t>
        </is>
      </c>
      <c r="B4" s="174" t="inlineStr">
        <is>
          <t>Templates</t>
        </is>
      </c>
      <c r="C4" s="174" t="inlineStr">
        <is>
          <t>Template catalog and intake map</t>
        </is>
      </c>
      <c r="D4" s="174" t="inlineStr">
        <is>
          <t>P0-P5</t>
        </is>
      </c>
      <c r="E4" s="174" t="inlineStr">
        <is>
          <t>datasets/meridian-health-synthetic-v1/19-pilot-strategy-evidence-pack/template-catalog.json</t>
        </is>
      </c>
      <c r="F4" s="174" t="inlineStr">
        <is>
          <t>Complete</t>
        </is>
      </c>
      <c r="G4" s="174" t="inlineStr">
        <is>
          <t>P0</t>
        </is>
      </c>
      <c r="H4" s="174" t="inlineStr">
        <is>
          <t>Codex</t>
        </is>
      </c>
      <c r="I4" s="174" t="inlineStr">
        <is>
          <t>Liran/PHA use-case list</t>
        </is>
      </c>
      <c r="J4" s="174" t="inlineStr">
        <is>
          <t>JSON parsed; 10 templates counted</t>
        </is>
      </c>
      <c r="K4" s="174" t="inlineStr">
        <is>
          <t>No PHI/PII; strategy metadata only</t>
        </is>
      </c>
      <c r="L4" s="174" t="inlineStr">
        <is>
          <t>Review with Anand / pilot team</t>
        </is>
      </c>
      <c r="M4" s="174" t="inlineStr">
        <is>
          <t>Reference for client template process</t>
        </is>
      </c>
    </row>
    <row r="5" ht="68" customHeight="1">
      <c r="A5" s="174" t="inlineStr">
        <is>
          <t>PHA-002</t>
        </is>
      </c>
      <c r="B5" s="174" t="inlineStr">
        <is>
          <t>Templates</t>
        </is>
      </c>
      <c r="C5" s="174" t="inlineStr">
        <is>
          <t>Use case intake and Move-phase mapping</t>
        </is>
      </c>
      <c r="D5" s="174" t="inlineStr">
        <is>
          <t>P0-P4</t>
        </is>
      </c>
      <c r="E5" s="174" t="inlineStr">
        <is>
          <t>use_case_intake.csv; use_case_template_map.csv</t>
        </is>
      </c>
      <c r="F5" s="174" t="inlineStr">
        <is>
          <t>Complete</t>
        </is>
      </c>
      <c r="G5" s="174" t="inlineStr">
        <is>
          <t>P0</t>
        </is>
      </c>
      <c r="H5" s="174" t="inlineStr">
        <is>
          <t>Codex</t>
        </is>
      </c>
      <c r="I5" s="174" t="inlineStr">
        <is>
          <t>PHA-001</t>
        </is>
      </c>
      <c r="J5" s="174" t="inlineStr">
        <is>
          <t>7 use cases mapped</t>
        </is>
      </c>
      <c r="K5" s="174" t="inlineStr">
        <is>
          <t>No raw member, claim, EMR, or transcript data</t>
        </is>
      </c>
      <c r="L5" s="174" t="inlineStr">
        <is>
          <t>Use as pilot intake checklist</t>
        </is>
      </c>
      <c r="M5" s="174" t="inlineStr">
        <is>
          <t>Covers operations, clinical, finance</t>
        </is>
      </c>
    </row>
    <row r="6" ht="68" customHeight="1">
      <c r="A6" s="174" t="inlineStr">
        <is>
          <t>PHA-003</t>
        </is>
      </c>
      <c r="B6" s="174" t="inlineStr">
        <is>
          <t>Templates</t>
        </is>
      </c>
      <c r="C6" s="174" t="inlineStr">
        <is>
          <t>KPI baseline and value hypothesis capture</t>
        </is>
      </c>
      <c r="D6" s="174" t="inlineStr">
        <is>
          <t>P0-P2</t>
        </is>
      </c>
      <c r="E6" s="174" t="inlineStr">
        <is>
          <t>kpi_baseline.csv</t>
        </is>
      </c>
      <c r="F6" s="174" t="inlineStr">
        <is>
          <t>Complete</t>
        </is>
      </c>
      <c r="G6" s="174" t="inlineStr">
        <is>
          <t>P0</t>
        </is>
      </c>
      <c r="H6" s="174" t="inlineStr">
        <is>
          <t>Codex</t>
        </is>
      </c>
      <c r="I6" s="174" t="inlineStr">
        <is>
          <t>PHA-001</t>
        </is>
      </c>
      <c r="J6" s="174" t="inlineStr">
        <is>
          <t>8 KPI rows validated</t>
        </is>
      </c>
      <c r="K6" s="174" t="inlineStr">
        <is>
          <t>Aggregate KPI ranges only</t>
        </is>
      </c>
      <c r="L6" s="174" t="inlineStr">
        <is>
          <t>Review KPI definitions with PHA</t>
        </is>
      </c>
      <c r="M6" s="174" t="inlineStr">
        <is>
          <t>Supports value-at-stake and measurement design</t>
        </is>
      </c>
    </row>
    <row r="7" ht="68" customHeight="1">
      <c r="A7" s="174" t="inlineStr">
        <is>
          <t>PHA-004</t>
        </is>
      </c>
      <c r="B7" s="174" t="inlineStr">
        <is>
          <t>Templates</t>
        </is>
      </c>
      <c r="C7" s="174" t="inlineStr">
        <is>
          <t>Current-state process, systems, vendors, roles, evidence, decisions, readiness, guardrails</t>
        </is>
      </c>
      <c r="D7" s="174" t="inlineStr">
        <is>
          <t>P1-P3</t>
        </is>
      </c>
      <c r="E7" s="174" t="inlineStr">
        <is>
          <t>current_state_process.csv; system_data_landscape.csv; vendor_contract_context.csv; operating_model_roles.csv; evidence_register.csv; decision_log.csv; data_readiness_summary.csv; risk_guardrail_register.csv</t>
        </is>
      </c>
      <c r="F7" s="174" t="inlineStr">
        <is>
          <t>Complete</t>
        </is>
      </c>
      <c r="G7" s="174" t="inlineStr">
        <is>
          <t>P0</t>
        </is>
      </c>
      <c r="H7" s="174" t="inlineStr">
        <is>
          <t>Codex</t>
        </is>
      </c>
      <c r="I7" s="174" t="inlineStr">
        <is>
          <t>PHA-001</t>
        </is>
      </c>
      <c r="J7" s="174" t="inlineStr">
        <is>
          <t>CSV headers/row counts validated</t>
        </is>
      </c>
      <c r="K7" s="174" t="inlineStr">
        <is>
          <t>Metadata, roles, controls, aggregate status only</t>
        </is>
      </c>
      <c r="L7" s="174" t="inlineStr">
        <is>
          <t>Use for Admin bulk upload rehearsal</t>
        </is>
      </c>
      <c r="M7" s="174" t="inlineStr">
        <is>
          <t>Designed for strategy/discovery, not transactional operations</t>
        </is>
      </c>
    </row>
    <row r="8" ht="68" customHeight="1">
      <c r="A8" s="174" t="inlineStr">
        <is>
          <t>PHA-005</t>
        </is>
      </c>
      <c r="B8" s="174" t="inlineStr">
        <is>
          <t>Corpus</t>
        </is>
      </c>
      <c r="C8" s="174" t="inlineStr">
        <is>
          <t>Health-plan corpus starter patterns</t>
        </is>
      </c>
      <c r="D8" s="174" t="inlineStr">
        <is>
          <t>P0-P4</t>
        </is>
      </c>
      <c r="E8" s="174" t="inlineStr">
        <is>
          <t>corpus_pattern_starters.jsonl</t>
        </is>
      </c>
      <c r="F8" s="174" t="inlineStr">
        <is>
          <t>Complete - starter authored</t>
        </is>
      </c>
      <c r="G8" s="174" t="inlineStr">
        <is>
          <t>P0</t>
        </is>
      </c>
      <c r="H8" s="174" t="inlineStr">
        <is>
          <t>Codex / Anand review</t>
        </is>
      </c>
      <c r="I8" s="174" t="inlineStr">
        <is>
          <t>PHA-002</t>
        </is>
      </c>
      <c r="J8" s="174" t="inlineStr">
        <is>
          <t>JSONL parsed; 7 starter patterns counted</t>
        </is>
      </c>
      <c r="K8" s="174" t="inlineStr">
        <is>
          <t>No client-sensitive facts; corpus/global patterns only</t>
        </is>
      </c>
      <c r="L8" s="174" t="inlineStr">
        <is>
          <t>Review, then load through governed corpus onboarding</t>
        </is>
      </c>
      <c r="M8" s="174" t="inlineStr">
        <is>
          <t>Must not auto-promote agent_ready</t>
        </is>
      </c>
    </row>
    <row r="9" ht="68" customHeight="1">
      <c r="A9" s="174" t="inlineStr">
        <is>
          <t>PHA-006</t>
        </is>
      </c>
      <c r="B9" s="174" t="inlineStr">
        <is>
          <t>Corpus</t>
        </is>
      </c>
      <c r="C9" s="174" t="inlineStr">
        <is>
          <t>Corpus enhancement backlog</t>
        </is>
      </c>
      <c r="D9" s="174" t="inlineStr">
        <is>
          <t>P0-P5</t>
        </is>
      </c>
      <c r="E9" s="174" t="inlineStr">
        <is>
          <t>corpus_enhancement_backlog.csv</t>
        </is>
      </c>
      <c r="F9" s="174" t="inlineStr">
        <is>
          <t>Complete</t>
        </is>
      </c>
      <c r="G9" s="174" t="inlineStr">
        <is>
          <t>P0</t>
        </is>
      </c>
      <c r="H9" s="174" t="inlineStr">
        <is>
          <t>Codex</t>
        </is>
      </c>
      <c r="I9" s="174" t="inlineStr">
        <is>
          <t>PHA-005</t>
        </is>
      </c>
      <c r="J9" s="174" t="inlineStr">
        <is>
          <t>7 backlog rows validated</t>
        </is>
      </c>
      <c r="K9" s="174" t="inlineStr">
        <is>
          <t>Global/corpus scope only</t>
        </is>
      </c>
      <c r="L9" s="174" t="inlineStr">
        <is>
          <t>Prioritize pattern hardening before pilot</t>
        </is>
      </c>
      <c r="M9" s="174" t="inlineStr">
        <is>
          <t>Adds guardrails/failure modes/benchmarks</t>
        </is>
      </c>
    </row>
    <row r="10" ht="68" customHeight="1">
      <c r="A10" s="174" t="inlineStr">
        <is>
          <t>PHA-007</t>
        </is>
      </c>
      <c r="B10" s="174" t="inlineStr">
        <is>
          <t>Live Proof</t>
        </is>
      </c>
      <c r="C10" s="174" t="inlineStr">
        <is>
          <t>Meridian retrieval and context-bundle proof</t>
        </is>
      </c>
      <c r="D10" s="174" t="inlineStr">
        <is>
          <t>P0-P4</t>
        </is>
      </c>
      <c r="E10" s="174" t="inlineStr">
        <is>
          <t>ACA/VNet job output to be created</t>
        </is>
      </c>
      <c r="F10" s="174" t="inlineStr">
        <is>
          <t>Blocked - Azure data-plane proof needed</t>
        </is>
      </c>
      <c r="G10" s="174" t="inlineStr">
        <is>
          <t>P0</t>
        </is>
      </c>
      <c r="H10" s="174" t="inlineStr">
        <is>
          <t>Azure operator / Codex</t>
        </is>
      </c>
      <c r="I10" s="174" t="inlineStr">
        <is>
          <t>Search role grant or ACA job</t>
        </is>
      </c>
      <c r="J10" s="174" t="inlineStr">
        <is>
          <t>Pending live retrieval/citation/context bundle traces</t>
        </is>
      </c>
      <c r="K10" s="174" t="inlineStr">
        <is>
          <t>Read-only; no data mutation</t>
        </is>
      </c>
      <c r="L10" s="174" t="inlineStr">
        <is>
          <t>Run read-only ACA job or grant Search data-plane reader</t>
        </is>
      </c>
      <c r="M10" s="174" t="inlineStr">
        <is>
          <t>Local Search doc query returned 403 for user identity</t>
        </is>
      </c>
    </row>
    <row r="11" ht="68" customHeight="1">
      <c r="A11" s="174" t="inlineStr">
        <is>
          <t>PHA-008</t>
        </is>
      </c>
      <c r="B11" s="174" t="inlineStr">
        <is>
          <t>Admin Upload</t>
        </is>
      </c>
      <c r="C11" s="174" t="inlineStr">
        <is>
          <t>Pilot evidence pack upload rehearsal</t>
        </is>
      </c>
      <c r="D11" s="174" t="inlineStr">
        <is>
          <t>P0-P4</t>
        </is>
      </c>
      <c r="E11" s="174" t="inlineStr">
        <is>
          <t>Admin bulk path receipt/evidence bundle to be created</t>
        </is>
      </c>
      <c r="F11" s="174" t="inlineStr">
        <is>
          <t>Ready for execution</t>
        </is>
      </c>
      <c r="G11" s="174" t="inlineStr">
        <is>
          <t>P1</t>
        </is>
      </c>
      <c r="H11" s="174" t="inlineStr">
        <is>
          <t>Admin Data Load owner / Codex</t>
        </is>
      </c>
      <c r="I11" s="174" t="inlineStr">
        <is>
          <t>PHA-001 through PHA-006</t>
        </is>
      </c>
      <c r="J11" s="174" t="inlineStr">
        <is>
          <t>Pending Blob staging, parser commit, index refresh, retrieval proof</t>
        </is>
      </c>
      <c r="K11" s="174" t="inlineStr">
        <is>
          <t>No PHI/PII; upload must preserve lineage/citations</t>
        </is>
      </c>
      <c r="L11" s="174" t="inlineStr">
        <is>
          <t>Build manifest package and run governed preflight</t>
        </is>
      </c>
      <c r="M11" s="174" t="inlineStr">
        <is>
          <t>Use same process future pilot clients will use</t>
        </is>
      </c>
    </row>
  </sheetData>
  <mergeCells count="2">
    <mergeCell ref="A2:M2"/>
    <mergeCell ref="A1:M1"/>
  </mergeCells>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B2:I114"/>
  <sheetViews>
    <sheetView showGridLines="0" workbookViewId="0">
      <selection activeCell="A1" sqref="A1"/>
    </sheetView>
  </sheetViews>
  <sheetFormatPr baseColWidth="8" defaultRowHeight="15"/>
  <cols>
    <col width="2" customWidth="1" min="1" max="1"/>
    <col width="16" customWidth="1" min="2" max="2"/>
    <col width="22" customWidth="1" min="3" max="3"/>
    <col width="38" customWidth="1" min="4" max="4"/>
    <col width="14" customWidth="1" min="5" max="5"/>
    <col width="26" customWidth="1" min="6" max="6"/>
    <col width="24" customWidth="1" min="7" max="7"/>
    <col width="20" customWidth="1" min="8" max="8"/>
    <col width="14" customWidth="1" min="9" max="9"/>
  </cols>
  <sheetData>
    <row r="2">
      <c r="B2" s="1" t="inlineStr">
        <is>
          <t>Codex Execution Queue — Hand These Off in Order</t>
        </is>
      </c>
    </row>
    <row r="3">
      <c r="B3" s="2" t="inlineStr">
        <is>
          <t>Wave-by-wave handoff. Each Codex task is scoped, self-contained, Anytime-phase, $0 cost. Copy-paste prompts below directly into Codex.</t>
        </is>
      </c>
    </row>
    <row r="4">
      <c r="B4" s="100" t="inlineStr">
        <is>
          <t>👉 Full autonomous-execution prompts now live at: docs/planning/CODEX_AUTONOMOUS_EXECUTION.md (markdown — better for Codex consumption)</t>
        </is>
      </c>
      <c r="C4" s="98" t="n"/>
      <c r="D4" s="98" t="n"/>
      <c r="E4" s="98" t="n"/>
      <c r="F4" s="98" t="n"/>
      <c r="G4" s="98" t="n"/>
      <c r="H4" s="98" t="n"/>
      <c r="I4" s="98" t="n"/>
    </row>
    <row r="5">
      <c r="B5" s="37" t="inlineStr">
        <is>
          <t>Wave Summary</t>
        </is>
      </c>
      <c r="C5" s="98" t="n"/>
      <c r="D5" s="98" t="n"/>
      <c r="E5" s="98" t="n"/>
      <c r="F5" s="98" t="n"/>
      <c r="G5" s="98" t="n"/>
      <c r="H5" s="98" t="n"/>
      <c r="I5" s="98" t="n"/>
    </row>
    <row r="6">
      <c r="B6" s="8" t="inlineStr">
        <is>
          <t>Wave</t>
        </is>
      </c>
      <c r="C6" s="8" t="inlineStr">
        <is>
          <t>Focus</t>
        </is>
      </c>
      <c r="D6" s="8" t="inlineStr">
        <is>
          <t>Tasks</t>
        </is>
      </c>
      <c r="E6" s="8" t="inlineStr">
        <is>
          <t>Effort</t>
        </is>
      </c>
      <c r="F6" s="8" t="inlineStr">
        <is>
          <t>Deliverables</t>
        </is>
      </c>
      <c r="G6" s="8" t="inlineStr">
        <is>
          <t>Acceptance</t>
        </is>
      </c>
      <c r="H6" s="8" t="inlineStr">
        <is>
          <t>Dependencies</t>
        </is>
      </c>
      <c r="I6" s="8" t="inlineStr">
        <is>
          <t>Status</t>
        </is>
      </c>
    </row>
    <row r="7">
      <c r="B7" s="8" t="inlineStr">
        <is>
          <t>Wave 1</t>
        </is>
      </c>
      <c r="C7" s="18" t="inlineStr">
        <is>
          <t>Governance foundation</t>
        </is>
      </c>
      <c r="D7" s="18" t="inlineStr">
        <is>
          <t>5 ADRs + GOVERNANCE.md + CODEOWNERS + PR template + pre-commit hooks + Conventional Commits config</t>
        </is>
      </c>
      <c r="E7" s="18" t="inlineStr">
        <is>
          <t>1-2 days</t>
        </is>
      </c>
      <c r="F7" s="18" t="inlineStr">
        <is>
          <t>Files committed to main; release record per AGENTS.md</t>
        </is>
      </c>
      <c r="G7" s="18" t="inlineStr">
        <is>
          <t>PR opens, all 7 deliverables present, tests pass, release record present</t>
        </is>
      </c>
      <c r="H7" s="18" t="inlineStr">
        <is>
          <t>None — start here</t>
        </is>
      </c>
      <c r="I7" s="18" t="inlineStr">
        <is>
          <t>Not started</t>
        </is>
      </c>
    </row>
    <row r="8">
      <c r="B8" s="8" t="inlineStr">
        <is>
          <t>Wave 2</t>
        </is>
      </c>
      <c r="C8" s="18" t="inlineStr">
        <is>
          <t>AI Liability framework</t>
        </is>
      </c>
      <c r="D8" s="18" t="inlineStr">
        <is>
          <t>ADR + dependency-cruiser rule + AILabel/ApprovalGate/JustificationField/ConfidenceIndicator/SourceCitation/EditBeforeCommit/DisclaimerFooter components in /src/components/ai-liability/</t>
        </is>
      </c>
      <c r="E8" s="18" t="inlineStr">
        <is>
          <t>2-3 days</t>
        </is>
      </c>
      <c r="F8" s="18" t="inlineStr">
        <is>
          <t>Architectural invariant codified + reusable React components ready for retrofit waves</t>
        </is>
      </c>
      <c r="G8" s="18" t="inlineStr">
        <is>
          <t>Components Storybook-style demo; dep-cruiser rule blocks violations; ADR merged</t>
        </is>
      </c>
      <c r="H8" s="18" t="inlineStr">
        <is>
          <t>Wave 1</t>
        </is>
      </c>
      <c r="I8" s="18" t="inlineStr">
        <is>
          <t>Not started</t>
        </is>
      </c>
    </row>
    <row r="9">
      <c r="B9" s="8" t="inlineStr">
        <is>
          <t>Wave 3</t>
        </is>
      </c>
      <c r="C9" s="18" t="inlineStr">
        <is>
          <t>CI quality gates</t>
        </is>
      </c>
      <c r="D9" s="18" t="inlineStr">
        <is>
          <t>GitHub Actions: lint, typecheck, unit, integration, build, gitleaks, dep audit, license-checker, SBOM, bundle-size, Lighthouse CI</t>
        </is>
      </c>
      <c r="E9" s="18" t="inlineStr">
        <is>
          <t>1-2 days</t>
        </is>
      </c>
      <c r="F9" s="18" t="inlineStr">
        <is>
          <t>.github/workflows/ files; all required-check on main</t>
        </is>
      </c>
      <c r="G9" s="18" t="inlineStr">
        <is>
          <t>PR fails on any gate violation; documented in GOVERNANCE.md</t>
        </is>
      </c>
      <c r="H9" s="18" t="inlineStr">
        <is>
          <t>Wave 1</t>
        </is>
      </c>
      <c r="I9" s="18" t="inlineStr">
        <is>
          <t>Not started</t>
        </is>
      </c>
    </row>
    <row r="10">
      <c r="B10" s="8" t="inlineStr">
        <is>
          <t>Wave 4</t>
        </is>
      </c>
      <c r="C10" s="18" t="inlineStr">
        <is>
          <t>Architecture boundaries</t>
        </is>
      </c>
      <c r="D10" s="18" t="inlineStr">
        <is>
          <t>/.dependency-cruiser.cjs config encoding: broker boundary, no legacy Supabase, no direct-DB from routes, no hardcoded tenant IDs, no console.log, test-file location</t>
        </is>
      </c>
      <c r="E10" s="18" t="inlineStr">
        <is>
          <t>1 day</t>
        </is>
      </c>
      <c r="F10" s="18" t="inlineStr">
        <is>
          <t>dep-cruiser validates on every PR; existing violations cataloged</t>
        </is>
      </c>
      <c r="G10" s="18" t="inlineStr">
        <is>
          <t>Rules pass on green commits; documented exceptions for legacy</t>
        </is>
      </c>
      <c r="H10" s="18" t="inlineStr">
        <is>
          <t>Wave 1, 2</t>
        </is>
      </c>
      <c r="I10" s="18" t="inlineStr">
        <is>
          <t>Not started</t>
        </is>
      </c>
    </row>
    <row r="11">
      <c r="B11" s="8" t="inlineStr">
        <is>
          <t>Wave 5</t>
        </is>
      </c>
      <c r="C11" s="18" t="inlineStr">
        <is>
          <t>Document parsing pipeline</t>
        </is>
      </c>
      <c r="D11" s="18" t="inlineStr">
        <is>
          <t>Azure Doc Intelligence integration + content-hash parse cache + Anthropic prompt caching wiring + small-doc shortcut + supported format matrix</t>
        </is>
      </c>
      <c r="E11" s="18" t="inlineStr">
        <is>
          <t>2-3 days</t>
        </is>
      </c>
      <c r="F11" s="18" t="inlineStr">
        <is>
          <t>/src/lib/ingestion/* with parse-once-cache-reuse pattern</t>
        </is>
      </c>
      <c r="G11" s="18" t="inlineStr">
        <is>
          <t>Upload triggers parse → cache → reuse on re-upload; tests prove no re-parse on hash match</t>
        </is>
      </c>
      <c r="H11" s="18" t="inlineStr">
        <is>
          <t>Wave 1, 2</t>
        </is>
      </c>
      <c r="I11" s="18" t="inlineStr">
        <is>
          <t>Not started</t>
        </is>
      </c>
    </row>
    <row r="12">
      <c r="B12" s="8" t="inlineStr">
        <is>
          <t>Wave 6</t>
        </is>
      </c>
      <c r="C12" s="18" t="inlineStr">
        <is>
          <t>Token meter + admin/ops</t>
        </is>
      </c>
      <c r="D12" s="18" t="inlineStr">
        <is>
          <t>Per-tenant LLM usage meter + hard cap enforcement + admin/ops surface (re-index, migrations, backfills)</t>
        </is>
      </c>
      <c r="E12" s="18" t="inlineStr">
        <is>
          <t>2-3 days</t>
        </is>
      </c>
      <c r="F12" s="18" t="inlineStr">
        <is>
          <t>/src/lib/metering/* + /src/app/(admin)/ops/* (feature-flagged)</t>
        </is>
      </c>
      <c r="G12" s="18" t="inlineStr">
        <is>
          <t>Meter visible per tenant; cap triggers; admin actions audit-logged</t>
        </is>
      </c>
      <c r="H12" s="18" t="inlineStr">
        <is>
          <t>Wave 1, 2</t>
        </is>
      </c>
      <c r="I12" s="18" t="inlineStr">
        <is>
          <t>Not started</t>
        </is>
      </c>
    </row>
    <row r="13">
      <c r="B13" s="8" t="inlineStr">
        <is>
          <t>Wave 7</t>
        </is>
      </c>
      <c r="C13" s="18" t="inlineStr">
        <is>
          <t>AI Liability retrofit per module</t>
        </is>
      </c>
      <c r="D13" s="18" t="inlineStr">
        <is>
          <t>Apply AI label + citations + confidence + approval gate + justification + evidence bundle to Intelligence, Moves, Source, Tower, Setup</t>
        </is>
      </c>
      <c r="E13" s="18" t="inlineStr">
        <is>
          <t>5-7 days</t>
        </is>
      </c>
      <c r="F13" s="18" t="inlineStr">
        <is>
          <t>Each module surface uses Wave 2 components; audit catalog 100% complete</t>
        </is>
      </c>
      <c r="G13" s="18" t="inlineStr">
        <is>
          <t>E2E test asserts pattern present per surface; retrofit checkpoint passes</t>
        </is>
      </c>
      <c r="H13" s="18" t="inlineStr">
        <is>
          <t>Waves 1, 2, 4</t>
        </is>
      </c>
      <c r="I13" s="18" t="inlineStr">
        <is>
          <t>Not started</t>
        </is>
      </c>
    </row>
    <row r="14">
      <c r="B14" s="8" t="inlineStr">
        <is>
          <t>Wave 8</t>
        </is>
      </c>
      <c r="C14" s="18" t="inlineStr">
        <is>
          <t>Internal Rehearsal scaffolding</t>
        </is>
      </c>
      <c r="D14" s="18" t="inlineStr">
        <is>
          <t>FakeClient Azure IaC (Bicep) + Entra dev tenant setup script + synthetic data loader + SAML/SCIM wiring</t>
        </is>
      </c>
      <c r="E14" s="18" t="inlineStr">
        <is>
          <t>3-5 days (some manual portal steps)</t>
        </is>
      </c>
      <c r="F14" s="18" t="inlineStr">
        <is>
          <t>Reproducible client-tenant deployment in &lt;2 hours</t>
        </is>
      </c>
      <c r="G14" s="18" t="inlineStr">
        <is>
          <t>Full FakeClient stand-up rehearsed end-to-end</t>
        </is>
      </c>
      <c r="H14" s="18" t="inlineStr">
        <is>
          <t>Waves 5, 6</t>
        </is>
      </c>
      <c r="I14" s="18" t="inlineStr">
        <is>
          <t>Not started</t>
        </is>
      </c>
    </row>
    <row r="15">
      <c r="B15" s="8" t="inlineStr">
        <is>
          <t>Wave 9</t>
        </is>
      </c>
      <c r="C15" s="18" t="inlineStr">
        <is>
          <t>Pressure + Adversarial test harnesses</t>
        </is>
      </c>
      <c r="D15" s="18" t="inlineStr">
        <is>
          <t>k6 load scripts + Claude Agent SDK persona harness + hallucination detection + agent-loop guard + prompt injection suite + chaos hooks</t>
        </is>
      </c>
      <c r="E15" s="18" t="inlineStr">
        <is>
          <t>3-5 days</t>
        </is>
      </c>
      <c r="F15" s="18" t="inlineStr">
        <is>
          <t>/tests/load + /tests/adversarial test suites runnable in CI</t>
        </is>
      </c>
      <c r="G15" s="18" t="inlineStr">
        <is>
          <t>Baseline + stretch + adversarial tests pass; quality dashboard live</t>
        </is>
      </c>
      <c r="H15" s="18" t="inlineStr">
        <is>
          <t>Waves 5, 6, 7</t>
        </is>
      </c>
      <c r="I15" s="18" t="inlineStr">
        <is>
          <t>Not started</t>
        </is>
      </c>
    </row>
    <row r="19">
      <c r="B19" s="37" t="inlineStr">
        <is>
          <t>📋 Wave 1 Codex Prompts — Copy-Paste Ready</t>
        </is>
      </c>
      <c r="C19" s="98" t="n"/>
      <c r="D19" s="98" t="n"/>
      <c r="E19" s="98" t="n"/>
      <c r="F19" s="98" t="n"/>
      <c r="G19" s="98" t="n"/>
      <c r="H19" s="98" t="n"/>
      <c r="I19" s="98" t="n"/>
    </row>
    <row r="20">
      <c r="B20" s="70" t="inlineStr">
        <is>
          <t>Each is self-contained for Codex. Run sequentially or in parallel (no inter-dependencies). All commit per AGENTS.md release discipline.</t>
        </is>
      </c>
      <c r="C20" s="98" t="n"/>
      <c r="D20" s="98" t="n"/>
      <c r="E20" s="98" t="n"/>
      <c r="F20" s="98" t="n"/>
      <c r="G20" s="98" t="n"/>
      <c r="H20" s="98" t="n"/>
      <c r="I20" s="98" t="n"/>
    </row>
    <row r="22">
      <c r="B22" s="101" t="inlineStr">
        <is>
          <t>Task 1.1: Write GOVERNANCE.md</t>
        </is>
      </c>
      <c r="C22" s="98" t="n"/>
      <c r="D22" s="98" t="n"/>
      <c r="E22" s="98" t="n"/>
      <c r="F22" s="98" t="n"/>
      <c r="G22" s="98" t="n"/>
      <c r="H22" s="98" t="n"/>
      <c r="I22" s="98" t="n"/>
    </row>
    <row r="23" ht="280" customHeight="1">
      <c r="B23" s="86" t="inlineStr">
        <is>
          <t>Create /GOVERNANCE.md at repo root.
GOAL: Single 1-page index that any new contributor (human or AI) reads day-1 to know where standards live.
CONTENT (in this order):
1. One-paragraph statement of how AbarVa governs code: "AGENTS.md is the source of truth for coding conventions; CI enforces what AGENTS.md describes."
2. "Where to find" table with paths:
   - /AGENTS.md — coding rules + release discipline (all AI tools + humans)
   - /CLAUDE.md — Claude Code instructions (imports AGENTS.md)
   - /.cursor/rules — Cursor instructions (generated from AGENTS.md)
   - /.github/copilot-instructions.md — Copilot instructions (generated from AGENTS.md)
   - /.github/CODEOWNERS — who reviews what
   - /.github/PULL_REQUEST_TEMPLATE.md — required PR sections
   - /docs/architecture/adr/ — Architecture Decision Records
   - /docs/runbooks/ — incident response, rollback, DB migration, on-call
   - /docs/releases/records/ — per-release records (CI-enforced)
3. "How to make a change" checklist (read AGENTS.md → branch → small PR → release record → green CI → merge)
4. Pointer: "When in doubt, read AGENTS.md and ask Anand."
ACCEPTANCE: file exists, links resolve, no broken paths, AGENTS.md and CLAUDE.md unchanged.
RELEASE RECORD: yes (global-control-lane, internal-admin layer). Use docs/releases/templates/release-record-template.md.</t>
        </is>
      </c>
      <c r="C23" s="87" t="n"/>
      <c r="D23" s="87" t="n"/>
      <c r="E23" s="87" t="n"/>
      <c r="F23" s="87" t="n"/>
      <c r="G23" s="87" t="n"/>
      <c r="H23" s="87" t="n"/>
      <c r="I23" s="88" t="n"/>
    </row>
    <row r="24">
      <c r="B24" s="89" t="n"/>
      <c r="I24" s="90" t="n"/>
    </row>
    <row r="25">
      <c r="B25" s="89" t="n"/>
      <c r="I25" s="90" t="n"/>
    </row>
    <row r="26">
      <c r="B26" s="89" t="n"/>
      <c r="I26" s="90" t="n"/>
    </row>
    <row r="27">
      <c r="B27" s="89" t="n"/>
      <c r="I27" s="90" t="n"/>
    </row>
    <row r="28">
      <c r="B28" s="89" t="n"/>
      <c r="I28" s="90" t="n"/>
    </row>
    <row r="29">
      <c r="B29" s="89" t="n"/>
      <c r="I29" s="90" t="n"/>
    </row>
    <row r="30">
      <c r="B30" s="89" t="n"/>
      <c r="I30" s="90" t="n"/>
    </row>
    <row r="31">
      <c r="B31" s="89" t="n"/>
      <c r="I31" s="90" t="n"/>
    </row>
    <row r="32">
      <c r="B32" s="89" t="n"/>
      <c r="I32" s="90" t="n"/>
    </row>
    <row r="33">
      <c r="B33" s="91" t="n"/>
      <c r="C33" s="92" t="n"/>
      <c r="D33" s="92" t="n"/>
      <c r="E33" s="92" t="n"/>
      <c r="F33" s="92" t="n"/>
      <c r="G33" s="92" t="n"/>
      <c r="H33" s="92" t="n"/>
      <c r="I33" s="93" t="n"/>
    </row>
    <row r="35">
      <c r="B35" s="101" t="inlineStr">
        <is>
          <t>Task 1.2: Set up /docs/architecture/adr/ framework + write 5 foundational ADRs</t>
        </is>
      </c>
      <c r="C35" s="98" t="n"/>
      <c r="D35" s="98" t="n"/>
      <c r="E35" s="98" t="n"/>
      <c r="F35" s="98" t="n"/>
      <c r="G35" s="98" t="n"/>
      <c r="H35" s="98" t="n"/>
      <c r="I35" s="98" t="n"/>
    </row>
    <row r="36" ht="280" customHeight="1">
      <c r="B36" s="86" t="inlineStr">
        <is>
          <t>Create ADR framework + initial 5 ADRs documenting decisions ALREADY MADE.
Steps:
1. Create /docs/architecture/adr/ADR-template.md with sections: Title / Status / Context / Decision / Consequences / Alternatives Considered / References.
2. Write the following ADRs, numbered ADR-0001 through ADR-0005, each in a separate file:
   - ADR-0001-control-plane-vs-data-plane.md: Multi-tenant Next.js control plane on Vercel + per-client data plane in customer Azure. Reference existing memory: project_apex_tenant_data_drop, feedback_broker_boundary.
   - ADR-0002-agent-context-broker-boundary.md: App tier MUST go through AgentContextBroker; cannot import EnterpriseDataRoom/vector/graph directly. Reference feedback_broker_boundary.
   - ADR-0003-release-lanes.md: 5 lanes (global-control / client-data / internal-admin / public-demo / experimental) per AGENTS.md. Document how releases flow.
   - ADR-0004-per-user-rls.md: Per-user Row-Level Security on data plane. Reference project_per_user_rls_pilot_ready (Phase 5 shipped 2026-05-07; 6 migrations + 108 tests).
   - ADR-0005-ai-tool-governance.md: AGENTS.md is single source of truth for all AI coding tools; generated derivatives in .cursor/rules, .github/copilot-instructions.md.
3. Each ADR: 1-2 pages, clear reasoning, references existing memory/code where applicable.
ACCEPTANCE: 6 files exist (template + 5 ADRs), all numbered correctly, all reference real code/memory, no fabricated facts.
RELEASE RECORD: yes.</t>
        </is>
      </c>
      <c r="C36" s="87" t="n"/>
      <c r="D36" s="87" t="n"/>
      <c r="E36" s="87" t="n"/>
      <c r="F36" s="87" t="n"/>
      <c r="G36" s="87" t="n"/>
      <c r="H36" s="87" t="n"/>
      <c r="I36" s="88" t="n"/>
    </row>
    <row r="37">
      <c r="B37" s="89" t="n"/>
      <c r="I37" s="90" t="n"/>
    </row>
    <row r="38">
      <c r="B38" s="89" t="n"/>
      <c r="I38" s="90" t="n"/>
    </row>
    <row r="39">
      <c r="B39" s="89" t="n"/>
      <c r="I39" s="90" t="n"/>
    </row>
    <row r="40">
      <c r="B40" s="89" t="n"/>
      <c r="I40" s="90" t="n"/>
    </row>
    <row r="41">
      <c r="B41" s="89" t="n"/>
      <c r="I41" s="90" t="n"/>
    </row>
    <row r="42">
      <c r="B42" s="89" t="n"/>
      <c r="I42" s="90" t="n"/>
    </row>
    <row r="43">
      <c r="B43" s="89" t="n"/>
      <c r="I43" s="90" t="n"/>
    </row>
    <row r="44">
      <c r="B44" s="89" t="n"/>
      <c r="I44" s="90" t="n"/>
    </row>
    <row r="45">
      <c r="B45" s="89" t="n"/>
      <c r="I45" s="90" t="n"/>
    </row>
    <row r="46">
      <c r="B46" s="91" t="n"/>
      <c r="C46" s="92" t="n"/>
      <c r="D46" s="92" t="n"/>
      <c r="E46" s="92" t="n"/>
      <c r="F46" s="92" t="n"/>
      <c r="G46" s="92" t="n"/>
      <c r="H46" s="92" t="n"/>
      <c r="I46" s="93" t="n"/>
    </row>
    <row r="48">
      <c r="B48" s="101" t="inlineStr">
        <is>
          <t>Task 1.3: Create /.github/CODEOWNERS</t>
        </is>
      </c>
      <c r="C48" s="98" t="n"/>
      <c r="D48" s="98" t="n"/>
      <c r="E48" s="98" t="n"/>
      <c r="F48" s="98" t="n"/>
      <c r="G48" s="98" t="n"/>
      <c r="H48" s="98" t="n"/>
      <c r="I48" s="98" t="n"/>
    </row>
    <row r="49" ht="280" customHeight="1">
      <c r="B49" s="86" t="inlineStr">
        <is>
          <t>Create /.github/CODEOWNERS gating who reviews what.
CONTENT (use real GitHub username @anand-sundaram-thesundaram if known, else placeholder @anand-sundaram):
* @anand-sundaram
/src/lib/auth/** @anand-sundaram
/src/lib/broker/** @anand-sundaram
/src/lib/ingestion/** @anand-sundaram
/migrations/** @anand-sundaram
/.github/** @anand-sundaram
/docs/architecture/adr/** @anand-sundaram
/docs/releases/records/** @anand-sundaram
ACCEPTANCE: file exists, paths correct, GitHub will parse it (no syntax errors).
RELEASE RECORD: yes (global-control-lane).</t>
        </is>
      </c>
      <c r="C49" s="87" t="n"/>
      <c r="D49" s="87" t="n"/>
      <c r="E49" s="87" t="n"/>
      <c r="F49" s="87" t="n"/>
      <c r="G49" s="87" t="n"/>
      <c r="H49" s="87" t="n"/>
      <c r="I49" s="88" t="n"/>
    </row>
    <row r="50">
      <c r="B50" s="89" t="n"/>
      <c r="I50" s="90" t="n"/>
    </row>
    <row r="51">
      <c r="B51" s="89" t="n"/>
      <c r="I51" s="90" t="n"/>
    </row>
    <row r="52">
      <c r="B52" s="89" t="n"/>
      <c r="I52" s="90" t="n"/>
    </row>
    <row r="53">
      <c r="B53" s="89" t="n"/>
      <c r="I53" s="90" t="n"/>
    </row>
    <row r="54">
      <c r="B54" s="89" t="n"/>
      <c r="I54" s="90" t="n"/>
    </row>
    <row r="55">
      <c r="B55" s="89" t="n"/>
      <c r="I55" s="90" t="n"/>
    </row>
    <row r="56">
      <c r="B56" s="89" t="n"/>
      <c r="I56" s="90" t="n"/>
    </row>
    <row r="57">
      <c r="B57" s="89" t="n"/>
      <c r="I57" s="90" t="n"/>
    </row>
    <row r="58">
      <c r="B58" s="89" t="n"/>
      <c r="I58" s="90" t="n"/>
    </row>
    <row r="59">
      <c r="B59" s="91" t="n"/>
      <c r="C59" s="92" t="n"/>
      <c r="D59" s="92" t="n"/>
      <c r="E59" s="92" t="n"/>
      <c r="F59" s="92" t="n"/>
      <c r="G59" s="92" t="n"/>
      <c r="H59" s="92" t="n"/>
      <c r="I59" s="93" t="n"/>
    </row>
    <row r="61">
      <c r="B61" s="101" t="inlineStr">
        <is>
          <t>Task 1.4: Create /.github/PULL_REQUEST_TEMPLATE.md enforcing release-control sections</t>
        </is>
      </c>
      <c r="C61" s="98" t="n"/>
      <c r="D61" s="98" t="n"/>
      <c r="E61" s="98" t="n"/>
      <c r="F61" s="98" t="n"/>
      <c r="G61" s="98" t="n"/>
      <c r="H61" s="98" t="n"/>
      <c r="I61" s="98" t="n"/>
    </row>
    <row r="62" ht="280" customHeight="1">
      <c r="B62" s="86" t="inlineStr">
        <is>
          <t>Create PR template that REQUIRES the AGENTS.md release discipline sections (Lane / Layer / Clients / QA / Rollout / Rollback).
CONTENT:
## Summary
&lt;what changed and why&gt;
## Release Classification (REQUIRED — do not skip)
- **Release lane**: [ ] global-control-lane / [ ] client-data-lane / [ ] internal-admin / [ ] public-demo / [ ] experimental
- **Layer impact**: &lt;which architectural layer changed&gt;
- **Clients affected**: &lt;which clients see this change; "all (gated)" / "Apex only" / "none" etc.&gt;
## QA / Validation
- [ ] Unit tests added/updated
- [ ] Integration tests added/updated
- [ ] Manual verification: &lt;describe&gt;
- [ ] Release record at docs/releases/records/&lt;YYYY-MM-DD-name&gt;.md
## Rollout
&lt;feature flag? phased? immediate?&gt;
## Rollback
&lt;how to revert if needed&gt;
ACCEPTANCE: file exists, all 6 release-control sections present. New PRs auto-include this.
RELEASE RECORD: yes.</t>
        </is>
      </c>
      <c r="C62" s="87" t="n"/>
      <c r="D62" s="87" t="n"/>
      <c r="E62" s="87" t="n"/>
      <c r="F62" s="87" t="n"/>
      <c r="G62" s="87" t="n"/>
      <c r="H62" s="87" t="n"/>
      <c r="I62" s="88" t="n"/>
    </row>
    <row r="63">
      <c r="B63" s="89" t="n"/>
      <c r="I63" s="90" t="n"/>
    </row>
    <row r="64">
      <c r="B64" s="89" t="n"/>
      <c r="I64" s="90" t="n"/>
    </row>
    <row r="65">
      <c r="B65" s="89" t="n"/>
      <c r="I65" s="90" t="n"/>
    </row>
    <row r="66">
      <c r="B66" s="89" t="n"/>
      <c r="I66" s="90" t="n"/>
    </row>
    <row r="67">
      <c r="B67" s="89" t="n"/>
      <c r="I67" s="90" t="n"/>
    </row>
    <row r="68">
      <c r="B68" s="89" t="n"/>
      <c r="I68" s="90" t="n"/>
    </row>
    <row r="69">
      <c r="B69" s="89" t="n"/>
      <c r="I69" s="90" t="n"/>
    </row>
    <row r="70">
      <c r="B70" s="89" t="n"/>
      <c r="I70" s="90" t="n"/>
    </row>
    <row r="71">
      <c r="B71" s="89" t="n"/>
      <c r="I71" s="90" t="n"/>
    </row>
    <row r="72">
      <c r="B72" s="91" t="n"/>
      <c r="C72" s="92" t="n"/>
      <c r="D72" s="92" t="n"/>
      <c r="E72" s="92" t="n"/>
      <c r="F72" s="92" t="n"/>
      <c r="G72" s="92" t="n"/>
      <c r="H72" s="92" t="n"/>
      <c r="I72" s="93" t="n"/>
    </row>
    <row r="74">
      <c r="B74" s="101" t="inlineStr">
        <is>
          <t>Task 1.5: Add pre-commit hooks (husky + lint-staged)</t>
        </is>
      </c>
      <c r="C74" s="98" t="n"/>
      <c r="D74" s="98" t="n"/>
      <c r="E74" s="98" t="n"/>
      <c r="F74" s="98" t="n"/>
      <c r="G74" s="98" t="n"/>
      <c r="H74" s="98" t="n"/>
      <c r="I74" s="98" t="n"/>
    </row>
    <row r="75" ht="280" customHeight="1">
      <c r="B75" s="86" t="inlineStr">
        <is>
          <t>Set up pre-commit hooks so lint/format/typecheck run on staged files BEFORE commit.
Steps:
1. npm install -D husky lint-staged
2. npx husky init
3. /.husky/pre-commit: runs `npx lint-staged`
4. Add to package.json:
   "lint-staged": {
     "src/**/*.{ts,tsx}": ["eslint --fix", "prettier --write"],
     "src/**/*.md": ["prettier --write"]
   }
5. Verify: staging a file with a lint error causes commit to fail.
ACCEPTANCE: pre-commit hook fires, blocks bad commits, doesn't slow good commits down.
RELEASE RECORD: yes.</t>
        </is>
      </c>
      <c r="C75" s="87" t="n"/>
      <c r="D75" s="87" t="n"/>
      <c r="E75" s="87" t="n"/>
      <c r="F75" s="87" t="n"/>
      <c r="G75" s="87" t="n"/>
      <c r="H75" s="87" t="n"/>
      <c r="I75" s="88" t="n"/>
    </row>
    <row r="76">
      <c r="B76" s="89" t="n"/>
      <c r="I76" s="90" t="n"/>
    </row>
    <row r="77">
      <c r="B77" s="89" t="n"/>
      <c r="I77" s="90" t="n"/>
    </row>
    <row r="78">
      <c r="B78" s="89" t="n"/>
      <c r="I78" s="90" t="n"/>
    </row>
    <row r="79">
      <c r="B79" s="89" t="n"/>
      <c r="I79" s="90" t="n"/>
    </row>
    <row r="80">
      <c r="B80" s="89" t="n"/>
      <c r="I80" s="90" t="n"/>
    </row>
    <row r="81">
      <c r="B81" s="89" t="n"/>
      <c r="I81" s="90" t="n"/>
    </row>
    <row r="82">
      <c r="B82" s="89" t="n"/>
      <c r="I82" s="90" t="n"/>
    </row>
    <row r="83">
      <c r="B83" s="89" t="n"/>
      <c r="I83" s="90" t="n"/>
    </row>
    <row r="84">
      <c r="B84" s="89" t="n"/>
      <c r="I84" s="90" t="n"/>
    </row>
    <row r="85">
      <c r="B85" s="91" t="n"/>
      <c r="C85" s="92" t="n"/>
      <c r="D85" s="92" t="n"/>
      <c r="E85" s="92" t="n"/>
      <c r="F85" s="92" t="n"/>
      <c r="G85" s="92" t="n"/>
      <c r="H85" s="92" t="n"/>
      <c r="I85" s="93" t="n"/>
    </row>
    <row r="87">
      <c r="B87" s="101" t="inlineStr">
        <is>
          <t>Task 1.6: Add Conventional Commits enforcement (commitlint)</t>
        </is>
      </c>
      <c r="C87" s="98" t="n"/>
      <c r="D87" s="98" t="n"/>
      <c r="E87" s="98" t="n"/>
      <c r="F87" s="98" t="n"/>
      <c r="G87" s="98" t="n"/>
      <c r="H87" s="98" t="n"/>
      <c r="I87" s="98" t="n"/>
    </row>
    <row r="88" ht="280" customHeight="1">
      <c r="B88" s="86" t="inlineStr">
        <is>
          <t>Set up commitlint to enforce Conventional Commits format (enables auto-changelog later).
Steps:
1. npm install -D @commitlint/{cli,config-conventional}
2. /commitlint.config.js: { extends: ['@commitlint/config-conventional'] }
3. /.husky/commit-msg: runs `npx --no -- commitlint --edit ${1}`
4. Verify: commit "bad message" fails; commit "feat: real change" passes.
Allowed types: feat fix chore refactor docs test perf ci build revert.
ACCEPTANCE: commit message validation runs; documented in GOVERNANCE.md.
RELEASE RECORD: yes.</t>
        </is>
      </c>
      <c r="C88" s="87" t="n"/>
      <c r="D88" s="87" t="n"/>
      <c r="E88" s="87" t="n"/>
      <c r="F88" s="87" t="n"/>
      <c r="G88" s="87" t="n"/>
      <c r="H88" s="87" t="n"/>
      <c r="I88" s="88" t="n"/>
    </row>
    <row r="89">
      <c r="B89" s="89" t="n"/>
      <c r="I89" s="90" t="n"/>
    </row>
    <row r="90">
      <c r="B90" s="89" t="n"/>
      <c r="I90" s="90" t="n"/>
    </row>
    <row r="91">
      <c r="B91" s="89" t="n"/>
      <c r="I91" s="90" t="n"/>
    </row>
    <row r="92">
      <c r="B92" s="89" t="n"/>
      <c r="I92" s="90" t="n"/>
    </row>
    <row r="93">
      <c r="B93" s="89" t="n"/>
      <c r="I93" s="90" t="n"/>
    </row>
    <row r="94">
      <c r="B94" s="89" t="n"/>
      <c r="I94" s="90" t="n"/>
    </row>
    <row r="95">
      <c r="B95" s="89" t="n"/>
      <c r="I95" s="90" t="n"/>
    </row>
    <row r="96">
      <c r="B96" s="89" t="n"/>
      <c r="I96" s="90" t="n"/>
    </row>
    <row r="97">
      <c r="B97" s="89" t="n"/>
      <c r="I97" s="90" t="n"/>
    </row>
    <row r="98">
      <c r="B98" s="91" t="n"/>
      <c r="C98" s="92" t="n"/>
      <c r="D98" s="92" t="n"/>
      <c r="E98" s="92" t="n"/>
      <c r="F98" s="92" t="n"/>
      <c r="G98" s="92" t="n"/>
      <c r="H98" s="92" t="n"/>
      <c r="I98" s="93" t="n"/>
    </row>
    <row r="100">
      <c r="B100" s="101" t="inlineStr">
        <is>
          <t>Task 1.7: Generate .cursor/rules and .github/copilot-instructions.md from AGENTS.md</t>
        </is>
      </c>
      <c r="C100" s="98" t="n"/>
      <c r="D100" s="98" t="n"/>
      <c r="E100" s="98" t="n"/>
      <c r="F100" s="98" t="n"/>
      <c r="G100" s="98" t="n"/>
      <c r="H100" s="98" t="n"/>
      <c r="I100" s="98" t="n"/>
    </row>
    <row r="101" ht="280" customHeight="1">
      <c r="B101" s="86" t="inlineStr">
        <is>
          <t>Create a sync script that produces tool-specific AI instruction files FROM AGENTS.md, so all AI tools share one source of truth.
Steps:
1. Create /scripts/governance/sync-ai-rules.ts that:
   - Reads /AGENTS.md
   - Writes /.cursor/rules with same content + Cursor-specific frontmatter
   - Writes /.github/copilot-instructions.md with same content
   - Both files have a header: "AUTO-GENERATED FROM AGENTS.md — DO NOT EDIT DIRECTLY"
2. Add npm script: "sync-ai-rules": "tsx scripts/governance/sync-ai-rules.ts"
3. Run it once to seed both files.
4. Document in GOVERNANCE.md that editing AGENTS.md + re-running this script is the only way to update AI instructions.
ACCEPTANCE: Both files generated, content matches AGENTS.md, header present, npm script works.
RELEASE RECORD: yes.</t>
        </is>
      </c>
      <c r="C101" s="87" t="n"/>
      <c r="D101" s="87" t="n"/>
      <c r="E101" s="87" t="n"/>
      <c r="F101" s="87" t="n"/>
      <c r="G101" s="87" t="n"/>
      <c r="H101" s="87" t="n"/>
      <c r="I101" s="88" t="n"/>
    </row>
    <row r="102">
      <c r="B102" s="89" t="n"/>
      <c r="I102" s="90" t="n"/>
    </row>
    <row r="103">
      <c r="B103" s="89" t="n"/>
      <c r="I103" s="90" t="n"/>
    </row>
    <row r="104">
      <c r="B104" s="89" t="n"/>
      <c r="I104" s="90" t="n"/>
    </row>
    <row r="105">
      <c r="B105" s="89" t="n"/>
      <c r="I105" s="90" t="n"/>
    </row>
    <row r="106">
      <c r="B106" s="89" t="n"/>
      <c r="I106" s="90" t="n"/>
    </row>
    <row r="107">
      <c r="B107" s="89" t="n"/>
      <c r="I107" s="90" t="n"/>
    </row>
    <row r="108">
      <c r="B108" s="89" t="n"/>
      <c r="I108" s="90" t="n"/>
    </row>
    <row r="109">
      <c r="B109" s="89" t="n"/>
      <c r="I109" s="90" t="n"/>
    </row>
    <row r="110">
      <c r="B110" s="89" t="n"/>
      <c r="I110" s="90" t="n"/>
    </row>
    <row r="111">
      <c r="B111" s="91" t="n"/>
      <c r="C111" s="92" t="n"/>
      <c r="D111" s="92" t="n"/>
      <c r="E111" s="92" t="n"/>
      <c r="F111" s="92" t="n"/>
      <c r="G111" s="92" t="n"/>
      <c r="H111" s="92" t="n"/>
      <c r="I111" s="93" t="n"/>
    </row>
    <row r="113" ht="45" customHeight="1">
      <c r="B113" s="8" t="inlineStr">
        <is>
          <t>Wave 18</t>
        </is>
      </c>
      <c r="C113" s="18" t="inlineStr">
        <is>
          <t>Private client deployment platform</t>
        </is>
      </c>
      <c r="D113" s="18" t="inlineStr">
        <is>
          <t>T373-T392</t>
        </is>
      </c>
      <c r="E113" s="18" t="inlineStr">
        <is>
          <t>1-2 weeks for docs/IaC blueprint; longer for live client dry run</t>
        </is>
      </c>
      <c r="F113" s="18" t="inlineStr">
        <is>
          <t>North-star architecture, master agent prompt, readiness checklist, IaC blueprint, release/rollback playbook, deployment/data-load receipts, buyer/security deck</t>
        </is>
      </c>
      <c r="G113" s="18" t="inlineStr">
        <is>
          <t>No paid client in shared env; one-client-only; Azure-only data plane; signed-client/founder-approved gate; signed-in QA proof and receipts required</t>
        </is>
      </c>
      <c r="H113" s="18" t="inlineStr">
        <is>
          <t>Depends on founder approval and client contract for live provisioning</t>
        </is>
      </c>
      <c r="I113" s="18" t="inlineStr">
        <is>
          <t>In progress</t>
        </is>
      </c>
    </row>
    <row r="114" ht="35" customHeight="1">
      <c r="B114" s="8" t="inlineStr">
        <is>
          <t>Prompt source: docs/build/private-client-deployment-platform/MASTER_AGENT_PROMPT_PRIVATE_CLIENT_ENVIRONMENT_EXECUTION_2026-06-06.md</t>
        </is>
      </c>
      <c r="C114" s="18" t="n"/>
      <c r="D114" s="18" t="n"/>
      <c r="E114" s="18" t="n"/>
      <c r="F114" s="18" t="n"/>
      <c r="G114" s="18" t="n"/>
      <c r="H114" s="18" t="n"/>
      <c r="I114" s="18" t="n"/>
    </row>
  </sheetData>
  <mergeCells count="18">
    <mergeCell ref="B74:I74"/>
    <mergeCell ref="B75:I85"/>
    <mergeCell ref="B48:I48"/>
    <mergeCell ref="B100:I100"/>
    <mergeCell ref="B87:I87"/>
    <mergeCell ref="B88:I98"/>
    <mergeCell ref="B20:I20"/>
    <mergeCell ref="B101:I111"/>
    <mergeCell ref="B19:I19"/>
    <mergeCell ref="B5:I5"/>
    <mergeCell ref="B22:I22"/>
    <mergeCell ref="B23:I33"/>
    <mergeCell ref="B61:I61"/>
    <mergeCell ref="B49:I59"/>
    <mergeCell ref="B62:I72"/>
    <mergeCell ref="B35:I35"/>
    <mergeCell ref="B4:I4"/>
    <mergeCell ref="B36:I46"/>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B2:E84"/>
  <sheetViews>
    <sheetView showGridLines="0" workbookViewId="0">
      <selection activeCell="A1" sqref="A1"/>
    </sheetView>
  </sheetViews>
  <sheetFormatPr baseColWidth="8" defaultRowHeight="15"/>
  <cols>
    <col width="2" customWidth="1" min="1" max="1"/>
    <col width="40" customWidth="1" min="2" max="2"/>
    <col width="45" customWidth="1" min="3" max="3"/>
    <col width="50" customWidth="1" min="4" max="4"/>
    <col width="30" customWidth="1" min="5" max="5"/>
  </cols>
  <sheetData>
    <row r="2">
      <c r="B2" s="1" t="inlineStr">
        <is>
          <t>Engineering Governance Framework — Embedded in Repo</t>
        </is>
      </c>
    </row>
    <row r="3">
      <c r="B3" s="2" t="inlineStr">
        <is>
          <t>What lives where in the repo so coding standards survive any tool (Claude, Cursor, Copilot, humans) and any team size.</t>
        </is>
      </c>
    </row>
    <row r="5">
      <c r="B5" s="37" t="inlineStr">
        <is>
          <t>1. Repo Structure (what to put where)</t>
        </is>
      </c>
      <c r="C5" s="98" t="n"/>
      <c r="D5" s="98" t="n"/>
      <c r="E5" s="98" t="n"/>
    </row>
    <row r="6">
      <c r="B6" s="8" t="inlineStr">
        <is>
          <t>Path</t>
        </is>
      </c>
      <c r="C6" s="8" t="inlineStr">
        <is>
          <t>What it is</t>
        </is>
      </c>
      <c r="D6" s="8" t="inlineStr">
        <is>
          <t>Why it matters</t>
        </is>
      </c>
    </row>
    <row r="7">
      <c r="B7" s="18" t="inlineStr">
        <is>
          <t>/AGENTS.md</t>
        </is>
      </c>
      <c r="C7" s="18" t="inlineStr">
        <is>
          <t>Single source of truth — coding rules, conventions, release discipline</t>
        </is>
      </c>
      <c r="D7" s="18" t="inlineStr">
        <is>
          <t>All AI tools read this; humans read this; CLAUDE.md just imports it</t>
        </is>
      </c>
    </row>
    <row r="8">
      <c r="B8" s="18" t="inlineStr">
        <is>
          <t>/CLAUDE.md → AGENTS.md</t>
        </is>
      </c>
      <c r="C8" s="18" t="inlineStr">
        <is>
          <t>Claude Code instructions</t>
        </is>
      </c>
      <c r="D8" s="18" t="inlineStr">
        <is>
          <t>Already in place — keep this thin</t>
        </is>
      </c>
    </row>
    <row r="9">
      <c r="B9" s="18" t="inlineStr">
        <is>
          <t>/.cursor/rules</t>
        </is>
      </c>
      <c r="C9" s="18" t="inlineStr">
        <is>
          <t>Cursor instructions (generated from AGENTS.md)</t>
        </is>
      </c>
      <c r="D9" s="18" t="inlineStr">
        <is>
          <t>Cursor users get the same rules</t>
        </is>
      </c>
    </row>
    <row r="10">
      <c r="B10" s="18" t="inlineStr">
        <is>
          <t>/.github/copilot-instructions.md</t>
        </is>
      </c>
      <c r="C10" s="18" t="inlineStr">
        <is>
          <t>GitHub Copilot instructions (generated from AGENTS.md)</t>
        </is>
      </c>
      <c r="D10" s="18" t="inlineStr">
        <is>
          <t>Copilot users get the same rules</t>
        </is>
      </c>
    </row>
    <row r="11">
      <c r="B11" s="18" t="inlineStr">
        <is>
          <t>/GOVERNANCE.md</t>
        </is>
      </c>
      <c r="C11" s="18" t="inlineStr">
        <is>
          <t>1-page index: where standards live, how to find what</t>
        </is>
      </c>
      <c r="D11" s="18" t="inlineStr">
        <is>
          <t>Day-1 read for any new engineer</t>
        </is>
      </c>
    </row>
    <row r="12">
      <c r="B12" s="18" t="inlineStr">
        <is>
          <t>/CONTRIBUTING.md</t>
        </is>
      </c>
      <c r="C12" s="18" t="inlineStr">
        <is>
          <t>PR workflow, dev env setup, troubleshooting</t>
        </is>
      </c>
      <c r="D12" s="18" t="inlineStr">
        <is>
          <t>Public-facing if repo ever opens</t>
        </is>
      </c>
    </row>
    <row r="13">
      <c r="B13" s="18" t="inlineStr">
        <is>
          <t>/SECURITY.md</t>
        </is>
      </c>
      <c r="C13" s="18" t="inlineStr">
        <is>
          <t>Vulnerability disclosure policy</t>
        </is>
      </c>
      <c r="D13" s="18" t="inlineStr">
        <is>
          <t>Required for any GitHub repo with security implications</t>
        </is>
      </c>
    </row>
    <row r="14">
      <c r="B14" s="18" t="inlineStr">
        <is>
          <t>/CODE_OF_CONDUCT.md</t>
        </is>
      </c>
      <c r="C14" s="18" t="inlineStr">
        <is>
          <t>Behavior expectations</t>
        </is>
      </c>
      <c r="D14" s="18" t="inlineStr">
        <is>
          <t>Cheap, signals professionalism</t>
        </is>
      </c>
    </row>
    <row r="15">
      <c r="B15" s="18" t="inlineStr">
        <is>
          <t>/.github/CODEOWNERS</t>
        </is>
      </c>
      <c r="C15" s="18" t="inlineStr">
        <is>
          <t>Who must approve changes to which paths</t>
        </is>
      </c>
      <c r="D15" s="18" t="inlineStr">
        <is>
          <t>Auth/migrations/broker = anand-only; rest = anyone qualified</t>
        </is>
      </c>
    </row>
    <row r="16">
      <c r="B16" s="18" t="inlineStr">
        <is>
          <t>/.github/PULL_REQUEST_TEMPLATE.md</t>
        </is>
      </c>
      <c r="C16" s="18" t="inlineStr">
        <is>
          <t>Required PR sections (Lane/Layer/Clients/QA/Rollout/Rollback)</t>
        </is>
      </c>
      <c r="D16" s="18" t="inlineStr">
        <is>
          <t>AGENTS.md mandates this — enforce in template</t>
        </is>
      </c>
    </row>
    <row r="17">
      <c r="B17" s="18" t="inlineStr">
        <is>
          <t>/.github/workflows/</t>
        </is>
      </c>
      <c r="C17" s="18" t="inlineStr">
        <is>
          <t>CI workflows — lint, test, build, security, bundle, ADR, release-check</t>
        </is>
      </c>
      <c r="D17" s="18" t="inlineStr">
        <is>
          <t>Required checks gate merge</t>
        </is>
      </c>
    </row>
    <row r="18">
      <c r="B18" s="18" t="inlineStr">
        <is>
          <t>/.husky/</t>
        </is>
      </c>
      <c r="C18" s="18" t="inlineStr">
        <is>
          <t>Pre-commit and pre-push hooks</t>
        </is>
      </c>
      <c r="D18" s="18" t="inlineStr">
        <is>
          <t>Lint/format/typecheck staged files before commit</t>
        </is>
      </c>
    </row>
    <row r="19">
      <c r="B19" s="18" t="inlineStr">
        <is>
          <t>/docs/architecture/adr/</t>
        </is>
      </c>
      <c r="C19" s="18" t="inlineStr">
        <is>
          <t>Numbered Architecture Decision Records</t>
        </is>
      </c>
      <c r="D19" s="18" t="inlineStr">
        <is>
          <t>Every material decision = ADR; ADR-XXXX-decision-title.md</t>
        </is>
      </c>
    </row>
    <row r="20">
      <c r="B20" s="18" t="inlineStr">
        <is>
          <t>/docs/architecture/boundaries.md</t>
        </is>
      </c>
      <c r="C20" s="18" t="inlineStr">
        <is>
          <t>Module boundary rules (forbidden imports)</t>
        </is>
      </c>
      <c r="D20" s="18" t="inlineStr">
        <is>
          <t>Encoded into dependency-cruiser config below</t>
        </is>
      </c>
    </row>
    <row r="21">
      <c r="B21" s="18" t="inlineStr">
        <is>
          <t>/docs/architecture/specialist-catalog.md</t>
        </is>
      </c>
      <c r="C21" s="18" t="inlineStr">
        <is>
          <t>Catalog of agent specialists with function names + scope</t>
        </is>
      </c>
      <c r="D21" s="18" t="inlineStr">
        <is>
          <t>Per project_sentinel_orchestrator memory</t>
        </is>
      </c>
    </row>
    <row r="22">
      <c r="B22" s="18" t="inlineStr">
        <is>
          <t>/docs/runbooks/</t>
        </is>
      </c>
      <c r="C22" s="18" t="inlineStr">
        <is>
          <t>Incident response, rollback, DB migration, on-call, onboarding</t>
        </is>
      </c>
      <c r="D22" s="18" t="inlineStr">
        <is>
          <t>Living docs; quarterly tabletop tests</t>
        </is>
      </c>
    </row>
    <row r="23">
      <c r="B23" s="18" t="inlineStr">
        <is>
          <t>/docs/releases/records/</t>
        </is>
      </c>
      <c r="C23" s="18" t="inlineStr">
        <is>
          <t>Per-release records (already enforced by npm run release:check)</t>
        </is>
      </c>
      <c r="D23" s="18" t="inlineStr">
        <is>
          <t>AGENTS.md mandates; CI enforces</t>
        </is>
      </c>
    </row>
    <row r="24">
      <c r="B24" s="18" t="inlineStr">
        <is>
          <t>/docs/releases/templates/</t>
        </is>
      </c>
      <c r="C24" s="18" t="inlineStr">
        <is>
          <t>Release record template</t>
        </is>
      </c>
      <c r="D24" s="18" t="inlineStr">
        <is>
          <t>Already exists</t>
        </is>
      </c>
    </row>
    <row r="25">
      <c r="B25" s="18" t="inlineStr">
        <is>
          <t>/docs/governance/</t>
        </is>
      </c>
      <c r="C25" s="18" t="inlineStr">
        <is>
          <t>Coding/testing/security/dependency standards (each topic = own doc)</t>
        </is>
      </c>
      <c r="D25" s="18" t="inlineStr">
        <is>
          <t>Linked from GOVERNANCE.md</t>
        </is>
      </c>
    </row>
    <row r="26">
      <c r="B26" s="18" t="inlineStr">
        <is>
          <t>/scripts/scaffold/</t>
        </is>
      </c>
      <c r="C26" s="18" t="inlineStr">
        <is>
          <t>scaffold:route, scaffold:component, scaffold:migration, scaffold:adr</t>
        </is>
      </c>
      <c r="D26" s="18" t="inlineStr">
        <is>
          <t>AI tools use these = consistency by construction</t>
        </is>
      </c>
    </row>
    <row r="27">
      <c r="B27" s="18" t="inlineStr">
        <is>
          <t>/scripts/governance/</t>
        </is>
      </c>
      <c r="C27" s="18" t="inlineStr">
        <is>
          <t>check-boundaries, check-test-coverage, check-release-records</t>
        </is>
      </c>
      <c r="D27" s="18" t="inlineStr">
        <is>
          <t>Run in CI; can run locally</t>
        </is>
      </c>
    </row>
    <row r="28">
      <c r="B28" s="18" t="inlineStr">
        <is>
          <t>/.dependency-cruiser.cjs</t>
        </is>
      </c>
      <c r="C28" s="18" t="inlineStr">
        <is>
          <t>Module boundary enforcement config</t>
        </is>
      </c>
      <c r="D28" s="18" t="inlineStr">
        <is>
          <t>Encodes broker-boundary, no-direct-db, no-supabase rules</t>
        </is>
      </c>
    </row>
    <row r="29">
      <c r="B29" s="18" t="inlineStr">
        <is>
          <t>/eslint.config.mjs</t>
        </is>
      </c>
      <c r="C29" s="18" t="inlineStr">
        <is>
          <t>Already exists — ESLint 9 flat config</t>
        </is>
      </c>
      <c r="D29" s="18" t="inlineStr"/>
    </row>
    <row r="30">
      <c r="B30" s="18" t="inlineStr">
        <is>
          <t>/.prettierrc</t>
        </is>
      </c>
      <c r="C30" s="18" t="inlineStr">
        <is>
          <t>Formatting rules</t>
        </is>
      </c>
      <c r="D30" s="18" t="inlineStr">
        <is>
          <t>Pre-commit auto-fixes</t>
        </is>
      </c>
    </row>
    <row r="31">
      <c r="B31" s="18" t="inlineStr">
        <is>
          <t>/commitlint.config.js</t>
        </is>
      </c>
      <c r="C31" s="18" t="inlineStr">
        <is>
          <t>Conventional Commits enforcement</t>
        </is>
      </c>
      <c r="D31" s="18" t="inlineStr">
        <is>
          <t>feat:/fix:/chore:/refactor:/docs:/test:/perf:</t>
        </is>
      </c>
    </row>
    <row r="32">
      <c r="B32" s="18" t="inlineStr">
        <is>
          <t>/.changeset/</t>
        </is>
      </c>
      <c r="C32" s="18" t="inlineStr">
        <is>
          <t>Changesets for changelog generation (optional)</t>
        </is>
      </c>
      <c r="D32" s="18" t="inlineStr">
        <is>
          <t>Auto-generate changelog from PRs</t>
        </is>
      </c>
    </row>
    <row r="35">
      <c r="B35" s="37" t="inlineStr">
        <is>
          <t>2. Required CI Gates (must pass to merge)</t>
        </is>
      </c>
      <c r="C35" s="98" t="n"/>
      <c r="D35" s="98" t="n"/>
      <c r="E35" s="98" t="n"/>
    </row>
    <row r="36">
      <c r="B36" s="8" t="inlineStr">
        <is>
          <t>Gate</t>
        </is>
      </c>
      <c r="C36" s="8" t="inlineStr">
        <is>
          <t>Tool</t>
        </is>
      </c>
      <c r="D36" s="8" t="inlineStr">
        <is>
          <t>Failure mode</t>
        </is>
      </c>
      <c r="E36" s="8" t="inlineStr">
        <is>
          <t>Priority</t>
        </is>
      </c>
    </row>
    <row r="37">
      <c r="B37" s="18" t="inlineStr">
        <is>
          <t>Lint</t>
        </is>
      </c>
      <c r="C37" s="18" t="inlineStr">
        <is>
          <t>ESLint 9 (eslint.config.mjs)</t>
        </is>
      </c>
      <c r="D37" s="18" t="inlineStr">
        <is>
          <t>Style or rule violation</t>
        </is>
      </c>
      <c r="E37" s="31" t="inlineStr">
        <is>
          <t>P0</t>
        </is>
      </c>
    </row>
    <row r="38">
      <c r="B38" s="18" t="inlineStr">
        <is>
          <t>Type check</t>
        </is>
      </c>
      <c r="C38" s="18" t="inlineStr">
        <is>
          <t>tsc --noEmit (strict mode)</t>
        </is>
      </c>
      <c r="D38" s="18" t="inlineStr">
        <is>
          <t>Type error</t>
        </is>
      </c>
      <c r="E38" s="31" t="inlineStr">
        <is>
          <t>P0</t>
        </is>
      </c>
    </row>
    <row r="39">
      <c r="B39" s="18" t="inlineStr">
        <is>
          <t>Unit tests</t>
        </is>
      </c>
      <c r="C39" s="18" t="inlineStr">
        <is>
          <t>Jest/Vitest (npm run test:nav, test:behaviors)</t>
        </is>
      </c>
      <c r="D39" s="18" t="inlineStr">
        <is>
          <t>Test failure</t>
        </is>
      </c>
      <c r="E39" s="31" t="inlineStr">
        <is>
          <t>P0</t>
        </is>
      </c>
    </row>
    <row r="40">
      <c r="B40" s="18" t="inlineStr">
        <is>
          <t>Integration tests</t>
        </is>
      </c>
      <c r="C40" s="18" t="inlineStr">
        <is>
          <t>Jest (npm run test:integration)</t>
        </is>
      </c>
      <c r="D40" s="18" t="inlineStr">
        <is>
          <t>Test failure</t>
        </is>
      </c>
      <c r="E40" s="31" t="inlineStr">
        <is>
          <t>P0</t>
        </is>
      </c>
    </row>
    <row r="41">
      <c r="B41" s="18" t="inlineStr">
        <is>
          <t>E2E smoke</t>
        </is>
      </c>
      <c r="C41" s="18" t="inlineStr">
        <is>
          <t>Playwright (subset, headless)</t>
        </is>
      </c>
      <c r="D41" s="18" t="inlineStr">
        <is>
          <t>Critical-path break</t>
        </is>
      </c>
      <c r="E41" s="32" t="inlineStr">
        <is>
          <t>P1</t>
        </is>
      </c>
    </row>
    <row r="42">
      <c r="B42" s="18" t="inlineStr">
        <is>
          <t>Build</t>
        </is>
      </c>
      <c r="C42" s="18" t="inlineStr">
        <is>
          <t>next build</t>
        </is>
      </c>
      <c r="D42" s="18" t="inlineStr">
        <is>
          <t>Build error</t>
        </is>
      </c>
      <c r="E42" s="31" t="inlineStr">
        <is>
          <t>P0</t>
        </is>
      </c>
    </row>
    <row r="43">
      <c r="B43" s="18" t="inlineStr">
        <is>
          <t>Bundle size budget</t>
        </is>
      </c>
      <c r="C43" s="18" t="inlineStr">
        <is>
          <t>@next/bundle-analyzer + size-limit</t>
        </is>
      </c>
      <c r="D43" s="18" t="inlineStr">
        <is>
          <t>Route exceeds budget</t>
        </is>
      </c>
      <c r="E43" s="32" t="inlineStr">
        <is>
          <t>P1</t>
        </is>
      </c>
    </row>
    <row r="44">
      <c r="B44" s="18" t="inlineStr">
        <is>
          <t>Lighthouse CI</t>
        </is>
      </c>
      <c r="C44" s="18" t="inlineStr">
        <is>
          <t>lighthouse-ci action</t>
        </is>
      </c>
      <c r="D44" s="18" t="inlineStr">
        <is>
          <t>Core Web Vitals regression</t>
        </is>
      </c>
      <c r="E44" s="32" t="inlineStr">
        <is>
          <t>P1</t>
        </is>
      </c>
    </row>
    <row r="45">
      <c r="B45" s="18" t="inlineStr">
        <is>
          <t>Secret scan</t>
        </is>
      </c>
      <c r="C45" s="18" t="inlineStr">
        <is>
          <t>gitleaks</t>
        </is>
      </c>
      <c r="D45" s="18" t="inlineStr">
        <is>
          <t>Secret committed</t>
        </is>
      </c>
      <c r="E45" s="31" t="inlineStr">
        <is>
          <t>P0</t>
        </is>
      </c>
    </row>
    <row r="46">
      <c r="B46" s="18" t="inlineStr">
        <is>
          <t>Dependency vulnerabilities</t>
        </is>
      </c>
      <c r="C46" s="18" t="inlineStr">
        <is>
          <t>npm audit + Snyk/Dependabot</t>
        </is>
      </c>
      <c r="D46" s="18" t="inlineStr">
        <is>
          <t>Critical/high vuln</t>
        </is>
      </c>
      <c r="E46" s="31" t="inlineStr">
        <is>
          <t>P0</t>
        </is>
      </c>
    </row>
    <row r="47">
      <c r="B47" s="18" t="inlineStr">
        <is>
          <t>License compliance</t>
        </is>
      </c>
      <c r="C47" s="18" t="inlineStr">
        <is>
          <t>license-checker (allowlist MIT/Apache/BSD/ISC)</t>
        </is>
      </c>
      <c r="D47" s="18" t="inlineStr">
        <is>
          <t>Forbidden license</t>
        </is>
      </c>
      <c r="E47" s="32" t="inlineStr">
        <is>
          <t>P1</t>
        </is>
      </c>
    </row>
    <row r="48">
      <c r="B48" s="18" t="inlineStr">
        <is>
          <t>SBOM generation</t>
        </is>
      </c>
      <c r="C48" s="18" t="inlineStr">
        <is>
          <t>CycloneDX</t>
        </is>
      </c>
      <c r="D48" s="18" t="inlineStr">
        <is>
          <t>Generation failure</t>
        </is>
      </c>
      <c r="E48" s="32" t="inlineStr">
        <is>
          <t>P1</t>
        </is>
      </c>
    </row>
    <row r="49">
      <c r="B49" s="18" t="inlineStr">
        <is>
          <t>Architecture boundaries</t>
        </is>
      </c>
      <c r="C49" s="18" t="inlineStr">
        <is>
          <t>dependency-cruiser (--validate)</t>
        </is>
      </c>
      <c r="D49" s="18" t="inlineStr">
        <is>
          <t>Forbidden import</t>
        </is>
      </c>
      <c r="E49" s="31" t="inlineStr">
        <is>
          <t>P0</t>
        </is>
      </c>
    </row>
    <row r="50">
      <c r="B50" s="18" t="inlineStr">
        <is>
          <t>Coverage threshold</t>
        </is>
      </c>
      <c r="C50" s="18" t="inlineStr">
        <is>
          <t>Vitest --coverage (70% global, 90% critical)</t>
        </is>
      </c>
      <c r="D50" s="18" t="inlineStr">
        <is>
          <t>Below floor</t>
        </is>
      </c>
      <c r="E50" s="32" t="inlineStr">
        <is>
          <t>P1</t>
        </is>
      </c>
    </row>
    <row r="51">
      <c r="B51" s="18" t="inlineStr">
        <is>
          <t>Accessibility</t>
        </is>
      </c>
      <c r="C51" s="18" t="inlineStr">
        <is>
          <t>axe-core via jest-axe / Playwright</t>
        </is>
      </c>
      <c r="D51" s="18" t="inlineStr">
        <is>
          <t>WCAG 2.1 AA violation</t>
        </is>
      </c>
      <c r="E51" s="32" t="inlineStr">
        <is>
          <t>P1</t>
        </is>
      </c>
    </row>
    <row r="52">
      <c r="B52" s="18" t="inlineStr">
        <is>
          <t>ADR check</t>
        </is>
      </c>
      <c r="C52" s="18" t="inlineStr">
        <is>
          <t>Custom: any change in /src/lib/auth/, /src/lib/broker/, /migrations/ requires new ADR</t>
        </is>
      </c>
      <c r="D52" s="18" t="inlineStr">
        <is>
          <t>Missing ADR</t>
        </is>
      </c>
      <c r="E52" s="32" t="inlineStr">
        <is>
          <t>P1</t>
        </is>
      </c>
    </row>
    <row r="53">
      <c r="B53" s="18" t="inlineStr">
        <is>
          <t>Release record check</t>
        </is>
      </c>
      <c r="C53" s="18" t="inlineStr">
        <is>
          <t>npm run release:check (already exists)</t>
        </is>
      </c>
      <c r="D53" s="18" t="inlineStr">
        <is>
          <t>Missing release record for release-relevant change</t>
        </is>
      </c>
      <c r="E53" s="31" t="inlineStr">
        <is>
          <t>P0</t>
        </is>
      </c>
    </row>
    <row r="54">
      <c r="B54" s="18" t="inlineStr">
        <is>
          <t>Migration drift check</t>
        </is>
      </c>
      <c r="C54" s="18" t="inlineStr">
        <is>
          <t>Already exists; move from warn to fail</t>
        </is>
      </c>
      <c r="D54" s="18" t="inlineStr">
        <is>
          <t>Schema drift</t>
        </is>
      </c>
      <c r="E54" s="32" t="inlineStr">
        <is>
          <t>P1</t>
        </is>
      </c>
    </row>
    <row r="55">
      <c r="B55" s="18" t="inlineStr">
        <is>
          <t>PR template completeness</t>
        </is>
      </c>
      <c r="C55" s="18" t="inlineStr">
        <is>
          <t>GitHub Action — required sections filled</t>
        </is>
      </c>
      <c r="D55" s="18" t="inlineStr">
        <is>
          <t>Blank sections</t>
        </is>
      </c>
      <c r="E55" s="32" t="inlineStr">
        <is>
          <t>P1</t>
        </is>
      </c>
    </row>
    <row r="58">
      <c r="B58" s="37" t="inlineStr">
        <is>
          <t>3. Architecture Boundary Rules (encode in .dependency-cruiser.cjs)</t>
        </is>
      </c>
      <c r="C58" s="98" t="n"/>
      <c r="D58" s="98" t="n"/>
      <c r="E58" s="98" t="n"/>
    </row>
    <row r="59">
      <c r="B59" s="8" t="inlineStr">
        <is>
          <t>Rule</t>
        </is>
      </c>
      <c r="C59" s="8" t="inlineStr">
        <is>
          <t>Forbidden</t>
        </is>
      </c>
      <c r="D59" s="8" t="inlineStr">
        <is>
          <t>Allowed</t>
        </is>
      </c>
      <c r="E59" s="8" t="inlineStr">
        <is>
          <t>Why</t>
        </is>
      </c>
    </row>
    <row r="60">
      <c r="B60" s="18" t="inlineStr">
        <is>
          <t>Broker boundary</t>
        </is>
      </c>
      <c r="C60" s="18" t="inlineStr">
        <is>
          <t>App tier imports broker internals / EnterpriseDataRoom / vector / graph directly</t>
        </is>
      </c>
      <c r="D60" s="18" t="inlineStr">
        <is>
          <t>App tier → AgentContextBroker contract only</t>
        </is>
      </c>
      <c r="E60" s="18" t="inlineStr">
        <is>
          <t>feedback_broker_boundary memory; isolation foundation</t>
        </is>
      </c>
    </row>
    <row r="61">
      <c r="B61" s="18" t="inlineStr">
        <is>
          <t>No legacy Supabase</t>
        </is>
      </c>
      <c r="C61" s="18" t="inlineStr">
        <is>
          <t>New code imports @supabase/* directly</t>
        </is>
      </c>
      <c r="D61" s="18" t="inlineStr">
        <is>
          <t>Compatibility shims in /src/lib/compat only</t>
        </is>
      </c>
      <c r="E61" s="18" t="inlineStr">
        <is>
          <t>Migration to Azure/Postgres data plane</t>
        </is>
      </c>
    </row>
    <row r="62">
      <c r="B62" s="18" t="inlineStr">
        <is>
          <t>Routes don't touch DB</t>
        </is>
      </c>
      <c r="C62" s="18" t="inlineStr">
        <is>
          <t>Pages/route handlers import DB driver directly</t>
        </is>
      </c>
      <c r="D62" s="18" t="inlineStr">
        <is>
          <t>Routes → service layer → broker</t>
        </is>
      </c>
      <c r="E62" s="18" t="inlineStr">
        <is>
          <t>Testability + isolation</t>
        </is>
      </c>
    </row>
    <row r="63">
      <c r="B63" s="18" t="inlineStr">
        <is>
          <t>UI doesn't import server-only</t>
        </is>
      </c>
      <c r="C63" s="18" t="inlineStr">
        <is>
          <t>Client components import server-only utilities</t>
        </is>
      </c>
      <c r="D63" s="18" t="inlineStr">
        <is>
          <t>Server components only</t>
        </is>
      </c>
      <c r="E63" s="18" t="inlineStr">
        <is>
          <t>Next.js boundary</t>
        </is>
      </c>
    </row>
    <row r="64">
      <c r="B64" s="18" t="inlineStr">
        <is>
          <t>Migrations are forward-only</t>
        </is>
      </c>
      <c r="C64" s="18" t="inlineStr">
        <is>
          <t>DELETE/DROP statements without IF EXISTS + rollback companion</t>
        </is>
      </c>
      <c r="D64" s="18" t="inlineStr">
        <is>
          <t>Reversible migrations with up/down</t>
        </is>
      </c>
      <c r="E64" s="18" t="inlineStr">
        <is>
          <t>Prod safety</t>
        </is>
      </c>
    </row>
    <row r="65">
      <c r="B65" s="18" t="inlineStr">
        <is>
          <t>Hardcoded tenant IDs forbidden</t>
        </is>
      </c>
      <c r="C65" s="18" t="inlineStr">
        <is>
          <t>String literal tenant IDs in /src</t>
        </is>
      </c>
      <c r="D65" s="18" t="inlineStr">
        <is>
          <t>Tenant ID from session context only</t>
        </is>
      </c>
      <c r="E65" s="18" t="inlineStr">
        <is>
          <t>Multi-tenancy</t>
        </is>
      </c>
    </row>
    <row r="66">
      <c r="B66" s="18" t="inlineStr">
        <is>
          <t>Console.log forbidden in /src</t>
        </is>
      </c>
      <c r="C66" s="18" t="inlineStr">
        <is>
          <t>console.log/debug in committed code</t>
        </is>
      </c>
      <c r="D66" s="18" t="inlineStr">
        <is>
          <t>Structured logger via logger.ts</t>
        </is>
      </c>
      <c r="E66" s="18" t="inlineStr">
        <is>
          <t>Audit trail + log hygiene</t>
        </is>
      </c>
    </row>
    <row r="67">
      <c r="B67" s="18" t="inlineStr">
        <is>
          <t>Test files mirror source</t>
        </is>
      </c>
      <c r="C67" s="18" t="inlineStr">
        <is>
          <t>Test files in random locations</t>
        </is>
      </c>
      <c r="D67" s="18" t="inlineStr">
        <is>
          <t>*.test.ts next to source OR /tests/**</t>
        </is>
      </c>
      <c r="E67" s="18" t="inlineStr">
        <is>
          <t>Discoverability</t>
        </is>
      </c>
    </row>
    <row r="70">
      <c r="B70" s="37" t="inlineStr">
        <is>
          <t>4. AI Tool Governance (one source, many readers)</t>
        </is>
      </c>
      <c r="C70" s="98" t="n"/>
      <c r="D70" s="98" t="n"/>
      <c r="E70" s="98" t="n"/>
    </row>
    <row r="71">
      <c r="B71" s="8" t="inlineStr">
        <is>
          <t>Tool</t>
        </is>
      </c>
      <c r="C71" s="8" t="inlineStr">
        <is>
          <t>Reads from</t>
        </is>
      </c>
      <c r="D71" s="8" t="inlineStr">
        <is>
          <t>How synced</t>
        </is>
      </c>
      <c r="E71" s="8" t="inlineStr"/>
    </row>
    <row r="72">
      <c r="B72" s="18" t="inlineStr">
        <is>
          <t>Claude Code</t>
        </is>
      </c>
      <c r="C72" s="18" t="inlineStr">
        <is>
          <t>/CLAUDE.md (imports AGENTS.md)</t>
        </is>
      </c>
      <c r="D72" s="18" t="inlineStr">
        <is>
          <t>Manual reference — auto via @AGENTS.md</t>
        </is>
      </c>
      <c r="E72" s="18" t="inlineStr"/>
    </row>
    <row r="73">
      <c r="B73" s="18" t="inlineStr">
        <is>
          <t>OpenAI Codex / GitHub Codex</t>
        </is>
      </c>
      <c r="C73" s="18" t="inlineStr">
        <is>
          <t>/AGENTS.md (native)</t>
        </is>
      </c>
      <c r="D73" s="18" t="inlineStr">
        <is>
          <t>Native — no sync needed</t>
        </is>
      </c>
      <c r="E73" s="18" t="inlineStr"/>
    </row>
    <row r="74">
      <c r="B74" s="18" t="inlineStr">
        <is>
          <t>Cursor</t>
        </is>
      </c>
      <c r="C74" s="18" t="inlineStr">
        <is>
          <t>/.cursor/rules</t>
        </is>
      </c>
      <c r="D74" s="18" t="inlineStr">
        <is>
          <t>Generated from AGENTS.md by /scripts/governance/sync-ai-rules.ts</t>
        </is>
      </c>
      <c r="E74" s="18" t="inlineStr"/>
    </row>
    <row r="75">
      <c r="B75" s="18" t="inlineStr">
        <is>
          <t>GitHub Copilot</t>
        </is>
      </c>
      <c r="C75" s="18" t="inlineStr">
        <is>
          <t>/.github/copilot-instructions.md</t>
        </is>
      </c>
      <c r="D75" s="18" t="inlineStr">
        <is>
          <t>Generated from AGENTS.md by sync script</t>
        </is>
      </c>
      <c r="E75" s="18" t="inlineStr"/>
    </row>
    <row r="76">
      <c r="B76" s="18" t="inlineStr">
        <is>
          <t>Aider, Continue, etc.</t>
        </is>
      </c>
      <c r="C76" s="18" t="inlineStr">
        <is>
          <t>Read .ai-rules or AGENTS.md</t>
        </is>
      </c>
      <c r="D76" s="18" t="inlineStr">
        <is>
          <t>Native or symlinked</t>
        </is>
      </c>
      <c r="E76" s="18" t="inlineStr"/>
    </row>
    <row r="77">
      <c r="B77" s="18" t="inlineStr">
        <is>
          <t>CI / pre-commit</t>
        </is>
      </c>
      <c r="C77" s="18" t="inlineStr">
        <is>
          <t>ESLint + dependency-cruiser + custom checks</t>
        </is>
      </c>
      <c r="D77" s="18" t="inlineStr">
        <is>
          <t>Enforces what AGENTS.md describes — last line of defense</t>
        </is>
      </c>
      <c r="E77" s="18" t="inlineStr"/>
    </row>
    <row r="80">
      <c r="B80" s="37" t="inlineStr">
        <is>
          <t>5. Implementation Sequence (do in this order)</t>
        </is>
      </c>
      <c r="C80" s="98" t="n"/>
      <c r="D80" s="98" t="n"/>
      <c r="E80" s="98" t="n"/>
    </row>
    <row r="81">
      <c r="B81" s="26" t="inlineStr">
        <is>
          <t>Wave 1 — Foundation (week 1)</t>
        </is>
      </c>
      <c r="C81" s="18" t="inlineStr">
        <is>
          <t>GOVERNANCE.md + CODEOWNERS + branch protection + PR template + pre-commit hooks + secret scan</t>
        </is>
      </c>
      <c r="D81" s="33" t="inlineStr">
        <is>
          <t>Cheapest to retrofit</t>
        </is>
      </c>
      <c r="E81" s="35" t="n"/>
    </row>
    <row r="82">
      <c r="B82" s="26" t="inlineStr">
        <is>
          <t>Wave 2 — ADR + boundaries (week 2)</t>
        </is>
      </c>
      <c r="C82" s="18" t="inlineStr">
        <is>
          <t>First 5 ADRs + dependency-cruiser config + boundary rules + scaffold scripts</t>
        </is>
      </c>
      <c r="D82" s="33" t="inlineStr">
        <is>
          <t>Encodes existing decisions</t>
        </is>
      </c>
      <c r="E82" s="35" t="n"/>
    </row>
    <row r="83">
      <c r="B83" s="26" t="inlineStr">
        <is>
          <t>Wave 3 — CI gates (week 3)</t>
        </is>
      </c>
      <c r="C83" s="18" t="inlineStr">
        <is>
          <t>All required checks wired to required-status-check policy</t>
        </is>
      </c>
      <c r="D83" s="33" t="inlineStr">
        <is>
          <t>Locks in quality floor</t>
        </is>
      </c>
      <c r="E83" s="35" t="n"/>
    </row>
    <row r="84">
      <c r="B84" s="26" t="inlineStr">
        <is>
          <t>Wave 4 — Polish (week 4+)</t>
        </is>
      </c>
      <c r="C84" s="18" t="inlineStr">
        <is>
          <t>Lighthouse CI, bundle budgets, axe-core, SBOM, DORA dashboard</t>
        </is>
      </c>
      <c r="D84" s="33" t="inlineStr">
        <is>
          <t>Continuous improvement</t>
        </is>
      </c>
      <c r="E84" s="35" t="n"/>
    </row>
  </sheetData>
  <mergeCells count="9">
    <mergeCell ref="D83:E83"/>
    <mergeCell ref="B35:E35"/>
    <mergeCell ref="D82:E82"/>
    <mergeCell ref="B58:E58"/>
    <mergeCell ref="B70:E70"/>
    <mergeCell ref="D81:E81"/>
    <mergeCell ref="D84:E84"/>
    <mergeCell ref="B5:E5"/>
    <mergeCell ref="B80:E80"/>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B2:D106"/>
  <sheetViews>
    <sheetView showGridLines="0" workbookViewId="0">
      <selection activeCell="A1" sqref="A1"/>
    </sheetView>
  </sheetViews>
  <sheetFormatPr baseColWidth="8" defaultRowHeight="15"/>
  <cols>
    <col width="2" customWidth="1" min="1" max="1"/>
    <col width="56" customWidth="1" min="2" max="2"/>
    <col width="18" customWidth="1" min="3" max="3"/>
    <col width="60" customWidth="1" min="4" max="4"/>
  </cols>
  <sheetData>
    <row r="2">
      <c r="B2" s="1" t="inlineStr">
        <is>
          <t>Pilot + Year-1 Pricing Model</t>
        </is>
      </c>
    </row>
    <row r="3">
      <c r="B3" s="2" t="inlineStr">
        <is>
          <t>Blue cells = inputs you can change. Black = formulas. Update to model scenarios.</t>
        </is>
      </c>
    </row>
    <row r="5">
      <c r="B5" s="37" t="inlineStr">
        <is>
          <t>Inputs</t>
        </is>
      </c>
      <c r="C5" s="98" t="n"/>
      <c r="D5" s="98" t="n"/>
    </row>
    <row r="6">
      <c r="B6" s="6" t="inlineStr">
        <is>
          <t>Pilot fee (one-time, 90 days)</t>
        </is>
      </c>
      <c r="C6" s="19" t="n">
        <v>300000</v>
      </c>
      <c r="D6" s="20" t="inlineStr">
        <is>
          <t>Setup + 90 days dedicated</t>
        </is>
      </c>
    </row>
    <row r="7">
      <c r="B7" s="6" t="inlineStr">
        <is>
          <t>Year-1 monthly platform fee (target $950k ACV)</t>
        </is>
      </c>
      <c r="C7" s="19" t="n">
        <v>79167</v>
      </c>
      <c r="D7" s="20" t="inlineStr">
        <is>
          <t>Base SaaS</t>
        </is>
      </c>
    </row>
    <row r="8">
      <c r="B8" s="6" t="inlineStr">
        <is>
          <t>Source module add-on (monthly)</t>
        </is>
      </c>
      <c r="C8" s="19" t="n">
        <v>40000</v>
      </c>
      <c r="D8" s="20" t="inlineStr">
        <is>
          <t>Procurement loves separate line</t>
        </is>
      </c>
    </row>
    <row r="9">
      <c r="B9" s="6" t="inlineStr">
        <is>
          <t>Users included in base tier</t>
        </is>
      </c>
      <c r="C9" s="21" t="n">
        <v>25</v>
      </c>
      <c r="D9" s="20" t="inlineStr">
        <is>
          <t>Recommend tiers not per-user</t>
        </is>
      </c>
    </row>
    <row r="10">
      <c r="B10" s="6" t="inlineStr">
        <is>
          <t>Additional user tier 26-100 (monthly)</t>
        </is>
      </c>
      <c r="C10" s="19" t="n">
        <v>15000</v>
      </c>
      <c r="D10" s="20" t="inlineStr">
        <is>
          <t>Flat add-on, not per-user</t>
        </is>
      </c>
    </row>
    <row r="11">
      <c r="B11" s="6" t="inlineStr">
        <is>
          <t>Token fair-use cap (M tokens/month)</t>
        </is>
      </c>
      <c r="C11" s="21" t="n">
        <v>50</v>
      </c>
      <c r="D11" s="20" t="inlineStr">
        <is>
          <t>Sized at 3-4x expected</t>
        </is>
      </c>
    </row>
    <row r="12">
      <c r="B12" s="6" t="inlineStr">
        <is>
          <t>Token overage rate ($/M tokens, +20% margin)</t>
        </is>
      </c>
      <c r="C12" s="22" t="n">
        <v>18</v>
      </c>
      <c r="D12" s="20" t="inlineStr">
        <is>
          <t>Pass-through at cost +20%</t>
        </is>
      </c>
    </row>
    <row r="13">
      <c r="B13" s="6" t="inlineStr">
        <is>
          <t>Founder hourly rate (premium, anchors change-order rate)</t>
        </is>
      </c>
      <c r="C13" s="19" t="n">
        <v>425</v>
      </c>
      <c r="D13" s="20" t="inlineStr">
        <is>
          <t>Included gift + change-order rate</t>
        </is>
      </c>
    </row>
    <row r="14">
      <c r="B14" s="6" t="inlineStr">
        <is>
          <t>Founder hours/month included free (~10% of contract value)</t>
        </is>
      </c>
      <c r="C14" s="21" t="n">
        <v>19</v>
      </c>
      <c r="D14" s="20" t="inlineStr">
        <is>
          <t>~10% founder-led value at $425/hr; update per executed SOW</t>
        </is>
      </c>
    </row>
    <row r="15">
      <c r="B15" s="6" t="inlineStr">
        <is>
          <t>Annual pre-pay discount %</t>
        </is>
      </c>
      <c r="C15" s="23" t="n">
        <v>0.075</v>
      </c>
      <c r="D15" s="20" t="inlineStr">
        <is>
          <t>5-10% recommended</t>
        </is>
      </c>
    </row>
    <row r="16">
      <c r="B16" s="6" t="inlineStr">
        <is>
          <t>Annual escalator %</t>
        </is>
      </c>
      <c r="C16" s="23" t="n">
        <v>0.05</v>
      </c>
      <c r="D16" s="20" t="inlineStr">
        <is>
          <t>CPI+3% or 5% flat</t>
        </is>
      </c>
    </row>
    <row r="18">
      <c r="B18" s="37" t="inlineStr">
        <is>
          <t>Pilot Economics (90 days)</t>
        </is>
      </c>
      <c r="C18" s="98" t="n"/>
      <c r="D18" s="98" t="n"/>
    </row>
    <row r="19">
      <c r="B19" s="6" t="inlineStr">
        <is>
          <t>Pilot fee (collected)</t>
        </is>
      </c>
      <c r="C19" s="24">
        <f>C6</f>
        <v/>
      </c>
    </row>
    <row r="20">
      <c r="B20" s="6" t="inlineStr">
        <is>
          <t>Founder time included (90 days × hrs × rate)</t>
        </is>
      </c>
      <c r="C20" s="24">
        <f>C14*3*C13</f>
        <v/>
      </c>
    </row>
    <row r="21">
      <c r="B21" s="6" t="inlineStr">
        <is>
          <t>Founder time as % of pilot fee</t>
        </is>
      </c>
      <c r="C21" s="25">
        <f>C20/C19</f>
        <v/>
      </c>
    </row>
    <row r="22">
      <c r="B22" s="6" t="inlineStr">
        <is>
          <t>Implied effective pilot revenue</t>
        </is>
      </c>
      <c r="C22" s="24">
        <f>C19-C20</f>
        <v/>
      </c>
    </row>
    <row r="25">
      <c r="B25" s="37" t="inlineStr">
        <is>
          <t>Year-1 ARR Build (base case, no overage)</t>
        </is>
      </c>
      <c r="C25" s="98" t="n"/>
      <c r="D25" s="98" t="n"/>
    </row>
    <row r="26">
      <c r="B26" s="6" t="inlineStr">
        <is>
          <t>Platform monthly</t>
        </is>
      </c>
      <c r="C26" s="24">
        <f>C7</f>
        <v/>
      </c>
    </row>
    <row r="27">
      <c r="B27" s="6" t="inlineStr">
        <is>
          <t>Source add-on monthly</t>
        </is>
      </c>
      <c r="C27" s="24">
        <f>C8</f>
        <v/>
      </c>
    </row>
    <row r="28">
      <c r="B28" s="6" t="inlineStr">
        <is>
          <t>Total monthly (base tier)</t>
        </is>
      </c>
      <c r="C28" s="24">
        <f>C26+C27</f>
        <v/>
      </c>
    </row>
    <row r="29">
      <c r="B29" s="6" t="inlineStr">
        <is>
          <t>Annual contract value (ACV)</t>
        </is>
      </c>
      <c r="C29" s="24">
        <f>C28*12</f>
        <v/>
      </c>
    </row>
    <row r="30">
      <c r="B30" s="6" t="inlineStr">
        <is>
          <t>Annual pre-pay (with discount)</t>
        </is>
      </c>
      <c r="C30" s="24">
        <f>C29*(1-C15)</f>
        <v/>
      </c>
    </row>
    <row r="31">
      <c r="B31" s="6" t="inlineStr">
        <is>
          <t>Pre-pay savings to client</t>
        </is>
      </c>
      <c r="C31" s="24">
        <f>C29-C30</f>
        <v/>
      </c>
    </row>
    <row r="32">
      <c r="B32" s="6" t="inlineStr">
        <is>
          <t>Year-2 ACV (with escalator)</t>
        </is>
      </c>
      <c r="C32" s="24">
        <f>C29*(1+C16)</f>
        <v/>
      </c>
    </row>
    <row r="35">
      <c r="B35" s="37" t="inlineStr">
        <is>
          <t>Total Deal Value (Pilot + Year-1)</t>
        </is>
      </c>
      <c r="C35" s="98" t="n"/>
      <c r="D35" s="98" t="n"/>
    </row>
    <row r="36">
      <c r="B36" s="26" t="inlineStr">
        <is>
          <t>Pilot fee</t>
        </is>
      </c>
      <c r="C36" s="27">
        <f>C6</f>
        <v/>
      </c>
    </row>
    <row r="37">
      <c r="B37" s="26" t="inlineStr">
        <is>
          <t>Year-1 ACV</t>
        </is>
      </c>
      <c r="C37" s="27">
        <f>C29</f>
        <v/>
      </c>
    </row>
    <row r="38">
      <c r="B38" s="26" t="inlineStr">
        <is>
          <t>TOTAL 15-month deal value</t>
        </is>
      </c>
      <c r="C38" s="27">
        <f>C36+C37</f>
        <v/>
      </c>
    </row>
    <row r="39">
      <c r="B39" s="26" t="inlineStr">
        <is>
          <t>If client pre-pays year-1</t>
        </is>
      </c>
      <c r="C39" s="27">
        <f>C36+C30</f>
        <v/>
      </c>
    </row>
    <row r="42">
      <c r="B42" s="37" t="inlineStr">
        <is>
          <t>Token Overage Example (cap protection)</t>
        </is>
      </c>
      <c r="C42" s="98" t="n"/>
      <c r="D42" s="98" t="n"/>
    </row>
    <row r="43">
      <c r="B43" s="6" t="inlineStr">
        <is>
          <t>Assumed monthly usage (M tokens)</t>
        </is>
      </c>
      <c r="C43" s="21" t="n">
        <v>75</v>
      </c>
    </row>
    <row r="44">
      <c r="B44" s="6" t="inlineStr">
        <is>
          <t>Tokens in cap (free)</t>
        </is>
      </c>
      <c r="C44" s="28">
        <f>MIN(C43,C11)</f>
        <v/>
      </c>
    </row>
    <row r="45">
      <c r="B45" s="6" t="inlineStr">
        <is>
          <t>Overage tokens</t>
        </is>
      </c>
      <c r="C45" s="28">
        <f>MAX(0,C43-C11)</f>
        <v/>
      </c>
    </row>
    <row r="46">
      <c r="B46" s="6" t="inlineStr">
        <is>
          <t>Monthly overage charge</t>
        </is>
      </c>
      <c r="C46" s="24">
        <f>C45*C12</f>
        <v/>
      </c>
    </row>
    <row r="47">
      <c r="B47" s="6" t="inlineStr">
        <is>
          <t>Annual overage charge</t>
        </is>
      </c>
      <c r="C47" s="24">
        <f>C46*12</f>
        <v/>
      </c>
    </row>
    <row r="50">
      <c r="B50" s="108" t="inlineStr">
        <is>
          <t>═══ V2 MODEL — UNBUNDLED PRICING (2026-06-04) ═══</t>
        </is>
      </c>
      <c r="C50" s="98" t="n"/>
      <c r="D50" s="98" t="n"/>
    </row>
    <row r="51">
      <c r="B51" s="109" t="inlineStr">
        <is>
          <t>See: docs/build/phs-pilot/ABARVA_PRICING_MODEL_REFERENCE_2026-06-04.md</t>
        </is>
      </c>
      <c r="C51" s="98" t="n"/>
      <c r="D51" s="98" t="n"/>
    </row>
    <row r="52">
      <c r="B52" s="109" t="inlineStr">
        <is>
          <t>Supersedes v1 model above. Blue = inputs you can change. Black = formulas.</t>
        </is>
      </c>
      <c r="C52" s="98" t="n"/>
      <c r="D52" s="98" t="n"/>
    </row>
    <row r="54">
      <c r="B54" s="3" t="inlineStr">
        <is>
          <t>Founding Tier Inputs (Year-1 Founding price)</t>
        </is>
      </c>
    </row>
    <row r="55">
      <c r="B55" s="17" t="inlineStr">
        <is>
          <t>Platform Subscription (Y1)</t>
        </is>
      </c>
      <c r="C55" s="110" t="n">
        <v>425000</v>
      </c>
      <c r="D55" s="111" t="inlineStr">
        <is>
          <t>Intelligence + Moves + Source + Atlas + private DP + 25 users + $25k tokens</t>
        </is>
      </c>
    </row>
    <row r="56">
      <c r="B56" s="17" t="inlineStr">
        <is>
          <t>Managed Corpus Services (Y1)</t>
        </is>
      </c>
      <c r="C56" s="110" t="n">
        <v>175000</v>
      </c>
      <c r="D56" s="111" t="inlineStr">
        <is>
          <t>4 pattern waves/yr · PatternOps · outcome learning</t>
        </is>
      </c>
    </row>
    <row r="57">
      <c r="B57" s="17" t="inlineStr">
        <is>
          <t>Founder Advisory @ 20% (Y1 founding)</t>
        </is>
      </c>
      <c r="C57" s="110" t="n">
        <v>125000</v>
      </c>
      <c r="D57" s="111" t="inlineStr">
        <is>
          <t>~416 hr/yr · discounted from $175k list — do NOT zero</t>
        </is>
      </c>
    </row>
    <row r="58">
      <c r="B58" s="17" t="inlineStr">
        <is>
          <t>One-time Implementation (NEW client only)</t>
        </is>
      </c>
      <c r="C58" s="110" t="n">
        <v>150000</v>
      </c>
      <c r="D58" s="111" t="inlineStr">
        <is>
          <t>Substrate load + integration + verifier + value-ledger</t>
        </is>
      </c>
    </row>
    <row r="59">
      <c r="B59" s="17" t="inlineStr">
        <is>
          <t>Custom Dev Retainer (pre-paid block)</t>
        </is>
      </c>
      <c r="C59" s="110" t="n">
        <v>50000</v>
      </c>
      <c r="D59" s="111" t="inlineStr">
        <is>
          <t>T&amp;M @ $425/hr above the block</t>
        </is>
      </c>
    </row>
    <row r="60">
      <c r="B60" s="17" t="inlineStr">
        <is>
          <t>Pilot Fee (if pilot path)</t>
        </is>
      </c>
      <c r="C60" s="110" t="n">
        <v>300000</v>
      </c>
      <c r="D60" s="111" t="inlineStr">
        <is>
          <t>90 days · INCLUDES setup (no double charge with Impl)</t>
        </is>
      </c>
    </row>
    <row r="62">
      <c r="B62" s="3" t="inlineStr">
        <is>
          <t>Path A — Pilot first, then Y1 conversion</t>
        </is>
      </c>
    </row>
    <row r="63">
      <c r="B63" s="17" t="inlineStr">
        <is>
          <t>Pilot Fee</t>
        </is>
      </c>
      <c r="C63" s="112">
        <f>C60</f>
        <v/>
      </c>
      <c r="D63" s="111" t="inlineStr">
        <is>
          <t>Already paid; covers setup</t>
        </is>
      </c>
    </row>
    <row r="64">
      <c r="B64" s="17" t="inlineStr">
        <is>
          <t>Y1 conversion (Platform + Corpus + Founder + Custom Dev)</t>
        </is>
      </c>
      <c r="C64" s="112">
        <f>C55+C56+C57+C59</f>
        <v/>
      </c>
      <c r="D64" s="111" t="inlineStr">
        <is>
          <t>NO additional Impl charge</t>
        </is>
      </c>
    </row>
    <row r="65">
      <c r="B65" s="3" t="inlineStr">
        <is>
          <t>Path A Total (Pilot + Y1)</t>
        </is>
      </c>
      <c r="C65" s="113">
        <f>C60+C55+C56+C57+C59</f>
        <v/>
      </c>
      <c r="D65" s="111" t="inlineStr">
        <is>
          <t>15-month deal value</t>
        </is>
      </c>
    </row>
    <row r="67">
      <c r="B67" s="3" t="inlineStr">
        <is>
          <t>Path B — Direct-to-Y1 (no pilot)</t>
        </is>
      </c>
    </row>
    <row r="68">
      <c r="B68" s="3" t="inlineStr">
        <is>
          <t>Y1 Total (Platform + Corpus + Founder + Impl + Custom Dev)</t>
        </is>
      </c>
      <c r="C68" s="113">
        <f>C55+C56+C57+C58+C59</f>
        <v/>
      </c>
      <c r="D68" s="111" t="inlineStr">
        <is>
          <t>Implementation included since no pilot</t>
        </is>
      </c>
    </row>
    <row r="70">
      <c r="B70" s="3" t="inlineStr">
        <is>
          <t>Year-2 Renewal (steady state)</t>
        </is>
      </c>
    </row>
    <row r="71">
      <c r="B71" s="17" t="inlineStr">
        <is>
          <t>Platform renewal</t>
        </is>
      </c>
      <c r="C71" s="112">
        <f>C55</f>
        <v/>
      </c>
    </row>
    <row r="72">
      <c r="B72" s="17" t="inlineStr">
        <is>
          <t>Corpus renewal</t>
        </is>
      </c>
      <c r="C72" s="112">
        <f>C56</f>
        <v/>
      </c>
    </row>
    <row r="73">
      <c r="B73" s="17" t="inlineStr">
        <is>
          <t>Founder renewal (no founding discount Y2+)</t>
        </is>
      </c>
      <c r="C73" s="110" t="n">
        <v>175000</v>
      </c>
      <c r="D73" s="111" t="inlineStr">
        <is>
          <t>Y2 list price kicks in</t>
        </is>
      </c>
    </row>
    <row r="74">
      <c r="B74" s="17" t="inlineStr">
        <is>
          <t>Custom Dev retainer renewal</t>
        </is>
      </c>
      <c r="C74" s="112">
        <f>C59</f>
        <v/>
      </c>
    </row>
    <row r="75">
      <c r="B75" s="3" t="inlineStr">
        <is>
          <t>Year-2 Total Renewal</t>
        </is>
      </c>
      <c r="C75" s="113">
        <f>C55+C56+C73+C59</f>
        <v/>
      </c>
      <c r="D75" s="111" t="inlineStr">
        <is>
          <t>No impl line — pure renewal ACV</t>
        </is>
      </c>
    </row>
    <row r="77">
      <c r="B77" s="3" t="inlineStr">
        <is>
          <t>Standard List Prices (post-founding tier)</t>
        </is>
      </c>
    </row>
    <row r="78">
      <c r="B78" s="17" t="inlineStr">
        <is>
          <t>Platform Subscription list</t>
        </is>
      </c>
      <c r="C78" s="110" t="n">
        <v>575000</v>
      </c>
    </row>
    <row r="79">
      <c r="B79" s="17" t="inlineStr">
        <is>
          <t>Managed Corpus Services list</t>
        </is>
      </c>
      <c r="C79" s="110" t="n">
        <v>225000</v>
      </c>
    </row>
    <row r="80">
      <c r="B80" s="17" t="inlineStr">
        <is>
          <t>Founder Advisory list</t>
        </is>
      </c>
      <c r="C80" s="110" t="n">
        <v>175000</v>
      </c>
    </row>
    <row r="81">
      <c r="B81" s="17" t="inlineStr">
        <is>
          <t>One-time Implementation list</t>
        </is>
      </c>
      <c r="C81" s="110" t="n">
        <v>200000</v>
      </c>
    </row>
    <row r="82">
      <c r="B82" s="3" t="inlineStr">
        <is>
          <t>List Y1 Total (direct-to-Y1)</t>
        </is>
      </c>
      <c r="C82" s="113">
        <f>C78+C79+C80+C81+C59</f>
        <v/>
      </c>
    </row>
    <row r="84">
      <c r="B84" s="3" t="inlineStr">
        <is>
          <t>User Persona Tiering (per-user/month, expansion beyond included 25)</t>
        </is>
      </c>
    </row>
    <row r="85">
      <c r="B85" s="17" t="inlineStr">
        <is>
          <t>Executive seat (CXO, sponsor, governance chair)</t>
        </is>
      </c>
      <c r="C85" s="114" t="n">
        <v>400</v>
      </c>
      <c r="D85" s="111" t="inlineStr">
        <is>
          <t>Forrester Enterprise / Gartner exec analogue</t>
        </is>
      </c>
    </row>
    <row r="86">
      <c r="B86" s="17" t="inlineStr">
        <is>
          <t>Power user (Move owner, Source analyst, Gov lead)</t>
        </is>
      </c>
      <c r="C86" s="114" t="n">
        <v>250</v>
      </c>
      <c r="D86" s="111" t="inlineStr">
        <is>
          <t>ServiceNow Enterprise + AI premium tier</t>
        </is>
      </c>
    </row>
    <row r="87">
      <c r="B87" s="17" t="inlineStr">
        <is>
          <t>Contributor (SME, evidence reviewer)</t>
        </is>
      </c>
      <c r="C87" s="114" t="n">
        <v>100</v>
      </c>
      <c r="D87" s="111" t="inlineStr">
        <is>
          <t>Glean+ tier</t>
        </is>
      </c>
    </row>
    <row r="88">
      <c r="B88" s="17" t="inlineStr">
        <is>
          <t>Viewer / read-only (auditor, board observer)</t>
        </is>
      </c>
      <c r="C88" s="114" t="n">
        <v>40</v>
      </c>
      <c r="D88" s="111" t="inlineStr">
        <is>
          <t>ChatGPT Team / Copilot Business</t>
        </is>
      </c>
    </row>
    <row r="90">
      <c r="B90" s="3" t="inlineStr">
        <is>
          <t>Tenant Deployment Tiers (current vs future)</t>
        </is>
      </c>
    </row>
    <row r="91">
      <c r="B91" s="17" t="inlineStr">
        <is>
          <t>Standard (founder-led, available now)</t>
        </is>
      </c>
      <c r="C91" s="17" t="inlineStr">
        <is>
          <t>included</t>
        </is>
      </c>
      <c r="D91" s="111" t="inlineStr">
        <is>
          <t>In Pilot or Impl. CAPACITY: 1-2 clients parallel max</t>
        </is>
      </c>
    </row>
    <row r="92">
      <c r="B92" s="17" t="inlineStr">
        <is>
          <t>Premium White-Glove (REQUIRES tenant-ops hire)</t>
        </is>
      </c>
      <c r="C92" s="110" t="n">
        <v>300000</v>
      </c>
      <c r="D92" s="111" t="inlineStr">
        <is>
          <t>Uplift $250-350k. Not orderable until ops lead hired</t>
        </is>
      </c>
    </row>
    <row r="93">
      <c r="B93" s="17" t="inlineStr">
        <is>
          <t>Self-Serve Template (future product evolution)</t>
        </is>
      </c>
      <c r="C93" s="110" t="n">
        <v>50000</v>
      </c>
      <c r="D93" s="111" t="inlineStr">
        <is>
          <t>2026-Q4 target SKU</t>
        </is>
      </c>
    </row>
    <row r="95">
      <c r="B95" s="3" t="inlineStr">
        <is>
          <t>Value Pipeline — 4 buckets (low/high)</t>
        </is>
      </c>
    </row>
    <row r="96">
      <c r="B96" s="17" t="inlineStr">
        <is>
          <t>Bucket</t>
        </is>
      </c>
      <c r="C96" s="17" t="inlineStr">
        <is>
          <t>Low ($)</t>
        </is>
      </c>
      <c r="D96" s="17" t="inlineStr">
        <is>
          <t>High ($)</t>
        </is>
      </c>
    </row>
    <row r="97">
      <c r="B97" s="17" t="inlineStr">
        <is>
          <t>Moves — value capture (right AI portfolio + governance)</t>
        </is>
      </c>
      <c r="C97" s="110" t="n">
        <v>5000000</v>
      </c>
      <c r="D97" s="110" t="n">
        <v>40000000</v>
      </c>
    </row>
    <row r="98">
      <c r="B98" s="17" t="inlineStr">
        <is>
          <t>Strategy / SI cost avoidance (replaces BCG/Deloitte)</t>
        </is>
      </c>
      <c r="C98" s="110" t="n">
        <v>1000000</v>
      </c>
      <c r="D98" s="110" t="n">
        <v>2000000</v>
      </c>
    </row>
    <row r="99">
      <c r="B99" s="17" t="inlineStr">
        <is>
          <t>AI failure avoidance (wasted pilot tax)</t>
        </is>
      </c>
      <c r="C99" s="110" t="n">
        <v>2000000</v>
      </c>
      <c r="D99" s="110" t="n">
        <v>10000000</v>
      </c>
    </row>
    <row r="100">
      <c r="B100" s="17" t="inlineStr">
        <is>
          <t>Source — hard sourcing/vendor savings (10-20%)</t>
        </is>
      </c>
      <c r="C100" s="110" t="n">
        <v>1000000</v>
      </c>
      <c r="D100" s="110" t="n">
        <v>10000000</v>
      </c>
    </row>
    <row r="101">
      <c r="B101" s="3" t="inlineStr">
        <is>
          <t>Total Identified Value Pipeline</t>
        </is>
      </c>
      <c r="C101" s="113">
        <f>SUM(C97:C100)</f>
        <v/>
      </c>
      <c r="D101" s="113">
        <f>SUM(D97:D100)</f>
        <v/>
      </c>
    </row>
    <row r="102">
      <c r="B102" s="3" t="inlineStr">
        <is>
          <t>ROI multiple vs Y1 Founding (Direct-to-Y1)</t>
        </is>
      </c>
      <c r="C102" s="115">
        <f>C101/C68</f>
        <v/>
      </c>
      <c r="D102" s="115">
        <f>D101/C68</f>
        <v/>
      </c>
    </row>
    <row r="103">
      <c r="B103" s="3" t="inlineStr">
        <is>
          <t>ROI multiple vs Y2 Renewal (steady state)</t>
        </is>
      </c>
      <c r="C103" s="115">
        <f>C101/C75</f>
        <v/>
      </c>
      <c r="D103" s="115">
        <f>D101/C75</f>
        <v/>
      </c>
    </row>
    <row r="105">
      <c r="B105" s="3" t="inlineStr">
        <is>
          <t>CFO Sentence (use verbatim)</t>
        </is>
      </c>
    </row>
    <row r="106" ht="60" customHeight="1">
      <c r="B106" s="116" t="inlineStr">
        <is>
          <t>AbarVa pays for itself three ways: (1) Source saves 10-20% on one vendor lane ($2-5M+); (2) Moves replaces a $1-2M AI strategy assessment AND produces governed execution; (3) AI failure avoidance prevents the $2-10M wasted-pilot tax. The Y1 fee is recovered on any one of those before counting the other two.</t>
        </is>
      </c>
      <c r="C106" s="98" t="n"/>
      <c r="D106" s="98" t="n"/>
    </row>
  </sheetData>
  <mergeCells count="9">
    <mergeCell ref="B42:D42"/>
    <mergeCell ref="B5:D5"/>
    <mergeCell ref="B35:D35"/>
    <mergeCell ref="B50:D50"/>
    <mergeCell ref="B18:D18"/>
    <mergeCell ref="B52:D52"/>
    <mergeCell ref="B106:D106"/>
    <mergeCell ref="B25:D25"/>
    <mergeCell ref="B51:D51"/>
  </mergeCell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B2:J61"/>
  <sheetViews>
    <sheetView showGridLines="0" workbookViewId="0">
      <selection activeCell="A1" sqref="A1"/>
    </sheetView>
  </sheetViews>
  <sheetFormatPr baseColWidth="8" defaultRowHeight="15"/>
  <cols>
    <col width="2" customWidth="1" min="1" max="1"/>
    <col width="42" customWidth="1" min="2" max="2"/>
    <col width="12" customWidth="1" min="3" max="3"/>
    <col width="16" customWidth="1" min="4" max="4"/>
    <col width="18" customWidth="1" min="5" max="5"/>
    <col width="18" customWidth="1" min="6" max="6"/>
    <col width="18" customWidth="1" min="7" max="7"/>
    <col width="18" customWidth="1" min="8" max="8"/>
    <col width="18" customWidth="1" min="9" max="9"/>
    <col width="40" customWidth="1" min="10" max="10"/>
  </cols>
  <sheetData>
    <row r="2">
      <c r="B2" s="1" t="inlineStr">
        <is>
          <t>AbarVa Cost Model — Pilot + Year 1 + Year 2</t>
        </is>
      </c>
    </row>
    <row r="3">
      <c r="B3" s="2" t="inlineStr">
        <is>
          <t>All-in technology + operating cost. Blue cells = inputs. Compares With Credits vs Without Credits.</t>
        </is>
      </c>
    </row>
    <row r="5">
      <c r="B5" s="37" t="inlineStr">
        <is>
          <t>Assumptions</t>
        </is>
      </c>
      <c r="C5" s="98" t="n"/>
      <c r="D5" s="98" t="n"/>
      <c r="E5" s="98" t="n"/>
    </row>
    <row r="6">
      <c r="B6" s="6" t="inlineStr">
        <is>
          <t>Pilot duration (months)</t>
        </is>
      </c>
      <c r="C6" s="53" t="n">
        <v>3</v>
      </c>
    </row>
    <row r="7">
      <c r="B7" s="6" t="inlineStr">
        <is>
          <t>Max users in pilot</t>
        </is>
      </c>
      <c r="C7" s="53" t="n">
        <v>10</v>
      </c>
    </row>
    <row r="8">
      <c r="B8" s="6" t="inlineStr">
        <is>
          <t>Max users year-1</t>
        </is>
      </c>
      <c r="C8" s="53" t="n">
        <v>50</v>
      </c>
    </row>
    <row r="9">
      <c r="B9" s="6" t="inlineStr">
        <is>
          <t>Tokens per user per month (M)</t>
        </is>
      </c>
      <c r="C9" s="53" t="n">
        <v>5</v>
      </c>
    </row>
    <row r="10">
      <c r="B10" s="6" t="inlineStr">
        <is>
          <t>Cost per M tokens (blended Sonnet $)</t>
        </is>
      </c>
      <c r="C10" s="54" t="n">
        <v>9</v>
      </c>
    </row>
    <row r="11">
      <c r="B11" s="6" t="inlineStr">
        <is>
          <t>Founders Hub Azure credit value yr1 ($)</t>
        </is>
      </c>
      <c r="C11" s="55" t="n">
        <v>75000</v>
      </c>
    </row>
    <row r="12">
      <c r="B12" s="6" t="inlineStr">
        <is>
          <t>Anthropic startup credit value ($)</t>
        </is>
      </c>
      <c r="C12" s="55" t="n">
        <v>15000</v>
      </c>
    </row>
    <row r="13">
      <c r="B13" s="6" t="inlineStr">
        <is>
          <t>Vanta startup discount %</t>
        </is>
      </c>
      <c r="C13" s="56" t="n">
        <v>0.3</v>
      </c>
    </row>
    <row r="16">
      <c r="B16" s="37" t="inlineStr">
        <is>
          <t>Cost Line Items</t>
        </is>
      </c>
      <c r="C16" s="98" t="n"/>
      <c r="D16" s="98" t="n"/>
      <c r="E16" s="98" t="n"/>
      <c r="F16" s="98" t="n"/>
      <c r="G16" s="98" t="n"/>
      <c r="H16" s="98" t="n"/>
      <c r="I16" s="98" t="n"/>
      <c r="J16" s="98" t="n"/>
    </row>
    <row r="17">
      <c r="B17" s="8" t="inlineStr">
        <is>
          <t>Item</t>
        </is>
      </c>
      <c r="C17" s="8" t="inlineStr">
        <is>
          <t>Cadence</t>
        </is>
      </c>
      <c r="D17" s="8" t="inlineStr">
        <is>
          <t>Unit Cost</t>
        </is>
      </c>
      <c r="E17" s="8" t="inlineStr">
        <is>
          <t>Pilot (90d) w/ credits</t>
        </is>
      </c>
      <c r="F17" s="8" t="inlineStr">
        <is>
          <t>Pilot (90d) no credits</t>
        </is>
      </c>
      <c r="G17" s="8" t="inlineStr">
        <is>
          <t>Yr-1 w/ credits</t>
        </is>
      </c>
      <c r="H17" s="8" t="inlineStr">
        <is>
          <t>Yr-1 no credits</t>
        </is>
      </c>
      <c r="I17" s="8" t="inlineStr">
        <is>
          <t>Yr-2 (credits expired)</t>
        </is>
      </c>
      <c r="J17" s="8" t="inlineStr">
        <is>
          <t>Notes</t>
        </is>
      </c>
    </row>
    <row r="18">
      <c r="B18" s="18" t="inlineStr">
        <is>
          <t>Incorporation (Stripe Atlas)</t>
        </is>
      </c>
      <c r="C18" s="18" t="inlineStr">
        <is>
          <t>one-time</t>
        </is>
      </c>
      <c r="D18" s="18" t="inlineStr">
        <is>
          <t>$500</t>
        </is>
      </c>
      <c r="E18" s="57" t="n">
        <v>500</v>
      </c>
      <c r="F18" s="57" t="n">
        <v>500</v>
      </c>
      <c r="G18" s="57" t="n">
        <v>0</v>
      </c>
      <c r="H18" s="57" t="n">
        <v>0</v>
      </c>
      <c r="I18" s="57" t="n">
        <v>0</v>
      </c>
      <c r="J18" s="33" t="inlineStr">
        <is>
          <t>Paid in setup, not recurring</t>
        </is>
      </c>
    </row>
    <row r="19">
      <c r="B19" s="18" t="inlineStr">
        <is>
          <t>Foreign qualification (home state)</t>
        </is>
      </c>
      <c r="C19" s="18" t="inlineStr">
        <is>
          <t>one-time</t>
        </is>
      </c>
      <c r="D19" s="18" t="inlineStr">
        <is>
          <t>$200</t>
        </is>
      </c>
      <c r="E19" s="57" t="n">
        <v>200</v>
      </c>
      <c r="F19" s="57" t="n">
        <v>200</v>
      </c>
      <c r="G19" s="57" t="n">
        <v>0</v>
      </c>
      <c r="H19" s="57" t="n">
        <v>0</v>
      </c>
      <c r="I19" s="57" t="n">
        <v>0</v>
      </c>
      <c r="J19" s="33" t="inlineStr"/>
    </row>
    <row r="20">
      <c r="B20" s="18" t="inlineStr">
        <is>
          <t>Founder IP assignment doc</t>
        </is>
      </c>
      <c r="C20" s="18" t="inlineStr">
        <is>
          <t>one-time</t>
        </is>
      </c>
      <c r="D20" s="18" t="inlineStr">
        <is>
          <t>$500</t>
        </is>
      </c>
      <c r="E20" s="57" t="n">
        <v>500</v>
      </c>
      <c r="F20" s="57" t="n">
        <v>500</v>
      </c>
      <c r="G20" s="57" t="n">
        <v>0</v>
      </c>
      <c r="H20" s="57" t="n">
        <v>0</v>
      </c>
      <c r="I20" s="57" t="n">
        <v>0</v>
      </c>
      <c r="J20" s="33" t="inlineStr">
        <is>
          <t>Lawyer time</t>
        </is>
      </c>
    </row>
    <row r="21">
      <c r="B21" s="18" t="inlineStr">
        <is>
          <t>Domains (3-4)</t>
        </is>
      </c>
      <c r="C21" s="18" t="inlineStr">
        <is>
          <t>annual</t>
        </is>
      </c>
      <c r="D21" s="18" t="inlineStr">
        <is>
          <t>$50</t>
        </is>
      </c>
      <c r="E21" s="57" t="n">
        <v>50</v>
      </c>
      <c r="F21" s="57" t="n">
        <v>50</v>
      </c>
      <c r="G21" s="57" t="n">
        <v>50</v>
      </c>
      <c r="H21" s="57" t="n">
        <v>50</v>
      </c>
      <c r="I21" s="57" t="n">
        <v>50</v>
      </c>
      <c r="J21" s="33" t="inlineStr">
        <is>
          <t>Namecheap</t>
        </is>
      </c>
    </row>
    <row r="22">
      <c r="B22" s="18" t="inlineStr">
        <is>
          <t>Trademark AbarVa + 1 mark</t>
        </is>
      </c>
      <c r="C22" s="18" t="inlineStr">
        <is>
          <t>one-time</t>
        </is>
      </c>
      <c r="D22" s="18" t="inlineStr">
        <is>
          <t>$700</t>
        </is>
      </c>
      <c r="E22" s="57" t="n">
        <v>700</v>
      </c>
      <c r="F22" s="57" t="n">
        <v>700</v>
      </c>
      <c r="G22" s="57" t="n">
        <v>0</v>
      </c>
      <c r="H22" s="57" t="n">
        <v>0</v>
      </c>
      <c r="I22" s="57" t="n">
        <v>0</v>
      </c>
      <c r="J22" s="33" t="inlineStr"/>
    </row>
    <row r="23">
      <c r="B23" s="18" t="inlineStr">
        <is>
          <t>Copyright register corpus</t>
        </is>
      </c>
      <c r="C23" s="18" t="inlineStr">
        <is>
          <t>annual</t>
        </is>
      </c>
      <c r="D23" s="18" t="inlineStr">
        <is>
          <t>$65</t>
        </is>
      </c>
      <c r="E23" s="57" t="n">
        <v>65</v>
      </c>
      <c r="F23" s="57" t="n">
        <v>65</v>
      </c>
      <c r="G23" s="57" t="n">
        <v>65</v>
      </c>
      <c r="H23" s="57" t="n">
        <v>65</v>
      </c>
      <c r="I23" s="57" t="n">
        <v>65</v>
      </c>
      <c r="J23" s="33" t="inlineStr"/>
    </row>
    <row r="24">
      <c r="B24" s="18" t="inlineStr">
        <is>
          <t>Azure compute (per-client + dev)</t>
        </is>
      </c>
      <c r="C24" s="18" t="inlineStr">
        <is>
          <t>monthly</t>
        </is>
      </c>
      <c r="D24" s="18" t="inlineStr">
        <is>
          <t>~$2,500/mo</t>
        </is>
      </c>
      <c r="E24" s="57">
        <f>0</f>
        <v/>
      </c>
      <c r="F24" s="57">
        <f>2500*3</f>
        <v/>
      </c>
      <c r="G24" s="57">
        <f>0</f>
        <v/>
      </c>
      <c r="H24" s="57">
        <f>2500*12</f>
        <v/>
      </c>
      <c r="I24" s="57">
        <f>2500*12</f>
        <v/>
      </c>
      <c r="J24" s="33" t="inlineStr">
        <is>
          <t>$75k/yr; covered by Founders Hub yr1-2</t>
        </is>
      </c>
    </row>
    <row r="25">
      <c r="B25" s="18" t="inlineStr">
        <is>
          <t>Vercel hosting (Pro)</t>
        </is>
      </c>
      <c r="C25" s="18" t="inlineStr">
        <is>
          <t>monthly</t>
        </is>
      </c>
      <c r="D25" s="18" t="inlineStr">
        <is>
          <t>$20/seat</t>
        </is>
      </c>
      <c r="E25" s="57">
        <f>0</f>
        <v/>
      </c>
      <c r="F25" s="57">
        <f>20*3*3</f>
        <v/>
      </c>
      <c r="G25" s="57">
        <f>0</f>
        <v/>
      </c>
      <c r="H25" s="57">
        <f>20*5*12</f>
        <v/>
      </c>
      <c r="I25" s="57">
        <f>20*5*12</f>
        <v/>
      </c>
      <c r="J25" s="33" t="inlineStr">
        <is>
          <t>Startup discount → $0 yr1; ~$100-300/mo retail</t>
        </is>
      </c>
    </row>
    <row r="26">
      <c r="B26" s="18" t="inlineStr">
        <is>
          <t>Clerk auth (Pro for pilot, Enterprise yr1)</t>
        </is>
      </c>
      <c r="C26" s="18" t="inlineStr">
        <is>
          <t>monthly</t>
        </is>
      </c>
      <c r="D26" s="18" t="inlineStr">
        <is>
          <t>tiered</t>
        </is>
      </c>
      <c r="E26" s="57">
        <f>0</f>
        <v/>
      </c>
      <c r="F26" s="57">
        <f>50*3</f>
        <v/>
      </c>
      <c r="G26" s="57">
        <f>0</f>
        <v/>
      </c>
      <c r="H26" s="57">
        <f>400*12</f>
        <v/>
      </c>
      <c r="I26" s="57">
        <f>600*12</f>
        <v/>
      </c>
      <c r="J26" s="33" t="inlineStr">
        <is>
          <t>Pilot 10u Pro ~$50; Yr1 50u Enterprise SSO ~$400-600; startup discount applies</t>
        </is>
      </c>
    </row>
    <row r="27">
      <c r="B27" s="18" t="inlineStr">
        <is>
          <t>Anthropic Claude (LLM)</t>
        </is>
      </c>
      <c r="C27" s="18" t="inlineStr">
        <is>
          <t>monthly</t>
        </is>
      </c>
      <c r="D27" s="18" t="inlineStr">
        <is>
          <t>usage</t>
        </is>
      </c>
      <c r="E27" s="57">
        <f>0</f>
        <v/>
      </c>
      <c r="F27" s="57">
        <f>C7*C9*C10*C6</f>
        <v/>
      </c>
      <c r="G27" s="57">
        <f>0</f>
        <v/>
      </c>
      <c r="H27" s="57">
        <f>C8*C9*C10*12</f>
        <v/>
      </c>
      <c r="I27" s="57">
        <f>C8*C9*C10*12</f>
        <v/>
      </c>
      <c r="J27" s="33" t="inlineStr">
        <is>
          <t>Covered by Azure-routed credits + direct credits</t>
        </is>
      </c>
    </row>
    <row r="28">
      <c r="B28" s="18" t="inlineStr">
        <is>
          <t>OpenAI (embeddings/eval)</t>
        </is>
      </c>
      <c r="C28" s="18" t="inlineStr">
        <is>
          <t>monthly</t>
        </is>
      </c>
      <c r="D28" s="18" t="inlineStr">
        <is>
          <t>$100/mo</t>
        </is>
      </c>
      <c r="E28" s="57">
        <f>0</f>
        <v/>
      </c>
      <c r="F28" s="57">
        <f>100*3</f>
        <v/>
      </c>
      <c r="G28" s="57">
        <f>0</f>
        <v/>
      </c>
      <c r="H28" s="57">
        <f>100*12</f>
        <v/>
      </c>
      <c r="I28" s="57">
        <f>100*12</f>
        <v/>
      </c>
      <c r="J28" s="33" t="inlineStr">
        <is>
          <t>Light use; startup credits cover</t>
        </is>
      </c>
    </row>
    <row r="29">
      <c r="B29" s="18" t="inlineStr">
        <is>
          <t>Status page (instatus)</t>
        </is>
      </c>
      <c r="C29" s="18" t="inlineStr">
        <is>
          <t>monthly</t>
        </is>
      </c>
      <c r="D29" s="18" t="inlineStr">
        <is>
          <t>$40/mo</t>
        </is>
      </c>
      <c r="E29" s="57" t="n">
        <v>120</v>
      </c>
      <c r="F29" s="57" t="n">
        <v>120</v>
      </c>
      <c r="G29" s="57" t="n">
        <v>480</v>
      </c>
      <c r="H29" s="57" t="n">
        <v>480</v>
      </c>
      <c r="I29" s="57" t="n">
        <v>480</v>
      </c>
      <c r="J29" s="33" t="inlineStr">
        <is>
          <t>$40 × 3 / × 12</t>
        </is>
      </c>
    </row>
    <row r="30">
      <c r="B30" s="18" t="inlineStr">
        <is>
          <t>PostHog analytics</t>
        </is>
      </c>
      <c r="C30" s="18" t="inlineStr">
        <is>
          <t>monthly</t>
        </is>
      </c>
      <c r="D30" s="18" t="inlineStr">
        <is>
          <t>$0-$50</t>
        </is>
      </c>
      <c r="E30" s="57" t="n">
        <v>0</v>
      </c>
      <c r="F30" s="57" t="n">
        <v>50</v>
      </c>
      <c r="G30" s="57" t="n">
        <v>0</v>
      </c>
      <c r="H30" s="57" t="n">
        <v>600</v>
      </c>
      <c r="I30" s="57" t="n">
        <v>600</v>
      </c>
      <c r="J30" s="33" t="inlineStr">
        <is>
          <t>Free up to 1M events</t>
        </is>
      </c>
    </row>
    <row r="31">
      <c r="B31" s="18" t="inlineStr">
        <is>
          <t>Resend email</t>
        </is>
      </c>
      <c r="C31" s="18" t="inlineStr">
        <is>
          <t>monthly</t>
        </is>
      </c>
      <c r="D31" s="18" t="inlineStr">
        <is>
          <t>$20/mo</t>
        </is>
      </c>
      <c r="E31" s="57" t="n">
        <v>60</v>
      </c>
      <c r="F31" s="57" t="n">
        <v>60</v>
      </c>
      <c r="G31" s="57" t="n">
        <v>240</v>
      </c>
      <c r="H31" s="57" t="n">
        <v>240</v>
      </c>
      <c r="I31" s="57" t="n">
        <v>240</v>
      </c>
      <c r="J31" s="33" t="inlineStr"/>
    </row>
    <row r="32">
      <c r="B32" s="18" t="inlineStr">
        <is>
          <t>Notion / wiki</t>
        </is>
      </c>
      <c r="C32" s="18" t="inlineStr">
        <is>
          <t>monthly</t>
        </is>
      </c>
      <c r="D32" s="18" t="inlineStr">
        <is>
          <t>$8/user</t>
        </is>
      </c>
      <c r="E32" s="57" t="n">
        <v>0</v>
      </c>
      <c r="F32" s="57">
        <f>8*3*3</f>
        <v/>
      </c>
      <c r="G32" s="57" t="n">
        <v>0</v>
      </c>
      <c r="H32" s="57">
        <f>8*5*12</f>
        <v/>
      </c>
      <c r="I32" s="57">
        <f>8*5*12</f>
        <v/>
      </c>
      <c r="J32" s="33" t="inlineStr">
        <is>
          <t>Startup tier $0 yr1</t>
        </is>
      </c>
    </row>
    <row r="33">
      <c r="B33" s="18" t="inlineStr">
        <is>
          <t>SOC 2 platform (Vanta/Drata)</t>
        </is>
      </c>
      <c r="C33" s="18" t="inlineStr">
        <is>
          <t>annual</t>
        </is>
      </c>
      <c r="D33" s="18" t="inlineStr">
        <is>
          <t>$15-25k/yr</t>
        </is>
      </c>
      <c r="E33" s="57">
        <f>20000*0.7*0.25</f>
        <v/>
      </c>
      <c r="F33" s="57">
        <f>20000*0.25</f>
        <v/>
      </c>
      <c r="G33" s="57">
        <f>20000*(1-C13)</f>
        <v/>
      </c>
      <c r="H33" s="57">
        <f>20000</f>
        <v/>
      </c>
      <c r="I33" s="57">
        <f>20000</f>
        <v/>
      </c>
      <c r="J33" s="33" t="inlineStr">
        <is>
          <t>Pilot = 1 quarter share; startup discount</t>
        </is>
      </c>
    </row>
    <row r="34">
      <c r="B34" s="18" t="inlineStr">
        <is>
          <t>SOC 2 auditor</t>
        </is>
      </c>
      <c r="C34" s="18" t="inlineStr">
        <is>
          <t>annual</t>
        </is>
      </c>
      <c r="D34" s="18" t="inlineStr">
        <is>
          <t>$10-20k/yr</t>
        </is>
      </c>
      <c r="E34" s="57" t="n">
        <v>0</v>
      </c>
      <c r="F34" s="57" t="n">
        <v>0</v>
      </c>
      <c r="G34" s="57" t="n">
        <v>15000</v>
      </c>
      <c r="H34" s="57" t="n">
        <v>15000</v>
      </c>
      <c r="I34" s="57" t="n">
        <v>15000</v>
      </c>
      <c r="J34" s="33" t="inlineStr">
        <is>
          <t>Type 1 yr1; Type 2 ongoing</t>
        </is>
      </c>
    </row>
    <row r="35">
      <c r="B35" s="18" t="inlineStr">
        <is>
          <t>External pen test</t>
        </is>
      </c>
      <c r="C35" s="18" t="inlineStr">
        <is>
          <t>annual</t>
        </is>
      </c>
      <c r="D35" s="18" t="inlineStr">
        <is>
          <t>$10k</t>
        </is>
      </c>
      <c r="E35" s="57">
        <f>10000</f>
        <v/>
      </c>
      <c r="F35" s="57">
        <f>10000</f>
        <v/>
      </c>
      <c r="G35" s="57">
        <f>10000</f>
        <v/>
      </c>
      <c r="H35" s="57">
        <f>10000</f>
        <v/>
      </c>
      <c r="I35" s="57">
        <f>10000</f>
        <v/>
      </c>
      <c r="J35" s="33" t="inlineStr">
        <is>
          <t>On FakeClient for pilot; on prod after</t>
        </is>
      </c>
    </row>
    <row r="36">
      <c r="B36" s="18" t="inlineStr">
        <is>
          <t>Insurance (cyber + E&amp;O + GL)</t>
        </is>
      </c>
      <c r="C36" s="18" t="inlineStr">
        <is>
          <t>annual</t>
        </is>
      </c>
      <c r="D36" s="18" t="inlineStr">
        <is>
          <t>$5k/yr</t>
        </is>
      </c>
      <c r="E36" s="57">
        <f>5000*0.25</f>
        <v/>
      </c>
      <c r="F36" s="57">
        <f>5000*0.25</f>
        <v/>
      </c>
      <c r="G36" s="57" t="n">
        <v>5000</v>
      </c>
      <c r="H36" s="57" t="n">
        <v>5000</v>
      </c>
      <c r="I36" s="57" t="n">
        <v>5000</v>
      </c>
      <c r="J36" s="33" t="inlineStr">
        <is>
          <t>Pilot prorated</t>
        </is>
      </c>
    </row>
    <row r="37">
      <c r="B37" s="18" t="inlineStr">
        <is>
          <t>Bookkeeping (Pilot/Bench)</t>
        </is>
      </c>
      <c r="C37" s="18" t="inlineStr">
        <is>
          <t>monthly</t>
        </is>
      </c>
      <c r="D37" s="18" t="inlineStr">
        <is>
          <t>$450/mo</t>
        </is>
      </c>
      <c r="E37" s="57" t="n">
        <v>1350</v>
      </c>
      <c r="F37" s="57" t="n">
        <v>1350</v>
      </c>
      <c r="G37" s="57" t="n">
        <v>5400</v>
      </c>
      <c r="H37" s="57" t="n">
        <v>5400</v>
      </c>
      <c r="I37" s="57" t="n">
        <v>5400</v>
      </c>
      <c r="J37" s="33" t="inlineStr"/>
    </row>
    <row r="38">
      <c r="B38" s="18" t="inlineStr">
        <is>
          <t>CPA (yr-end + advisory)</t>
        </is>
      </c>
      <c r="C38" s="18" t="inlineStr">
        <is>
          <t>annual</t>
        </is>
      </c>
      <c r="D38" s="18" t="inlineStr">
        <is>
          <t>$2k/yr</t>
        </is>
      </c>
      <c r="E38" s="57" t="n">
        <v>500</v>
      </c>
      <c r="F38" s="57" t="n">
        <v>500</v>
      </c>
      <c r="G38" s="57" t="n">
        <v>2000</v>
      </c>
      <c r="H38" s="57" t="n">
        <v>2000</v>
      </c>
      <c r="I38" s="57" t="n">
        <v>2000</v>
      </c>
      <c r="J38" s="33" t="inlineStr">
        <is>
          <t>Pilot quarter share</t>
        </is>
      </c>
    </row>
    <row r="39">
      <c r="B39" s="18" t="inlineStr">
        <is>
          <t>Lawyer (initial setup + redlines)</t>
        </is>
      </c>
      <c r="C39" s="18" t="inlineStr">
        <is>
          <t>one-time</t>
        </is>
      </c>
      <c r="D39" s="18" t="inlineStr">
        <is>
          <t>$8k</t>
        </is>
      </c>
      <c r="E39" s="57" t="n">
        <v>8000</v>
      </c>
      <c r="F39" s="57" t="n">
        <v>8000</v>
      </c>
      <c r="G39" s="57" t="n">
        <v>3000</v>
      </c>
      <c r="H39" s="57" t="n">
        <v>3000</v>
      </c>
      <c r="I39" s="57" t="n">
        <v>3000</v>
      </c>
      <c r="J39" s="33" t="inlineStr">
        <is>
          <t>Bigger yr0; smaller ongoing</t>
        </is>
      </c>
    </row>
    <row r="40">
      <c r="B40" s="18" t="inlineStr">
        <is>
          <t>GitHub Enterprise + Copilot</t>
        </is>
      </c>
      <c r="C40" s="18" t="inlineStr">
        <is>
          <t>monthly</t>
        </is>
      </c>
      <c r="D40" s="18" t="inlineStr">
        <is>
          <t>$50/user</t>
        </is>
      </c>
      <c r="E40" s="57" t="n">
        <v>0</v>
      </c>
      <c r="F40" s="57">
        <f>50*3*3</f>
        <v/>
      </c>
      <c r="G40" s="57" t="n">
        <v>0</v>
      </c>
      <c r="H40" s="57">
        <f>50*5*12</f>
        <v/>
      </c>
      <c r="I40" s="57">
        <f>50*5*12</f>
        <v/>
      </c>
      <c r="J40" s="33" t="inlineStr">
        <is>
          <t>Free via Founders Hub yr1-2</t>
        </is>
      </c>
    </row>
    <row r="41">
      <c r="B41" s="18" t="inlineStr">
        <is>
          <t>Microsoft 365</t>
        </is>
      </c>
      <c r="C41" s="18" t="inlineStr">
        <is>
          <t>monthly</t>
        </is>
      </c>
      <c r="D41" s="18" t="inlineStr">
        <is>
          <t>$30/user</t>
        </is>
      </c>
      <c r="E41" s="57" t="n">
        <v>0</v>
      </c>
      <c r="F41" s="57">
        <f>30*3*3</f>
        <v/>
      </c>
      <c r="G41" s="57" t="n">
        <v>0</v>
      </c>
      <c r="H41" s="57">
        <f>30*5*12</f>
        <v/>
      </c>
      <c r="I41" s="57">
        <f>30*5*12</f>
        <v/>
      </c>
      <c r="J41" s="33" t="inlineStr">
        <is>
          <t>Limited free seats via Founders Hub</t>
        </is>
      </c>
    </row>
    <row r="42">
      <c r="B42" s="18" t="inlineStr">
        <is>
          <t>Founder time included free (15%)</t>
        </is>
      </c>
      <c r="C42" s="18" t="inlineStr">
        <is>
          <t>monthly</t>
        </is>
      </c>
      <c r="D42" s="18" t="inlineStr">
        <is>
          <t>$375/hr × 12hr</t>
        </is>
      </c>
      <c r="E42" s="57" t="n">
        <v>13500</v>
      </c>
      <c r="F42" s="57" t="n">
        <v>13500</v>
      </c>
      <c r="G42" s="57" t="n">
        <v>54000</v>
      </c>
      <c r="H42" s="57" t="n">
        <v>54000</v>
      </c>
      <c r="I42" s="57" t="n">
        <v>54000</v>
      </c>
      <c r="J42" s="33" t="inlineStr">
        <is>
          <t>Investment; not cash cost but real time</t>
        </is>
      </c>
    </row>
    <row r="43">
      <c r="B43" s="5" t="inlineStr">
        <is>
          <t>TOTAL</t>
        </is>
      </c>
      <c r="C43" s="58" t="inlineStr"/>
      <c r="D43" s="58" t="inlineStr"/>
      <c r="E43" s="59">
        <f>SUM(E18:E42)</f>
        <v/>
      </c>
      <c r="F43" s="59">
        <f>SUM(F18:F42)</f>
        <v/>
      </c>
      <c r="G43" s="59">
        <f>SUM(G18:G42)</f>
        <v/>
      </c>
      <c r="H43" s="59">
        <f>SUM(H18:H42)</f>
        <v/>
      </c>
      <c r="I43" s="59">
        <f>SUM(I18:I42)</f>
        <v/>
      </c>
      <c r="J43" s="58" t="n"/>
    </row>
    <row r="45">
      <c r="B45" s="37" t="inlineStr">
        <is>
          <t>Bottom Line</t>
        </is>
      </c>
      <c r="C45" s="98" t="n"/>
      <c r="D45" s="98" t="n"/>
      <c r="E45" s="98" t="n"/>
      <c r="F45" s="98" t="n"/>
      <c r="G45" s="98" t="n"/>
      <c r="H45" s="98" t="n"/>
      <c r="I45" s="98" t="n"/>
      <c r="J45" s="98" t="n"/>
    </row>
    <row r="46">
      <c r="B46" s="6" t="inlineStr">
        <is>
          <t>Pilot cost with all credits applied</t>
        </is>
      </c>
      <c r="C46" s="60">
        <f>E43</f>
        <v/>
      </c>
      <c r="D46" s="102" t="inlineStr">
        <is>
          <t>What pilot really costs you</t>
        </is>
      </c>
      <c r="E46" s="98" t="n"/>
      <c r="F46" s="98" t="n"/>
      <c r="G46" s="98" t="n"/>
      <c r="H46" s="98" t="n"/>
      <c r="I46" s="98" t="n"/>
      <c r="J46" s="98" t="n"/>
    </row>
    <row r="47">
      <c r="B47" s="6" t="inlineStr">
        <is>
          <t>Pilot cost without any credits</t>
        </is>
      </c>
      <c r="C47" s="60">
        <f>F43</f>
        <v/>
      </c>
      <c r="D47" s="102" t="inlineStr">
        <is>
          <t>Worst-case if no credits applied</t>
        </is>
      </c>
      <c r="E47" s="98" t="n"/>
      <c r="F47" s="98" t="n"/>
      <c r="G47" s="98" t="n"/>
      <c r="H47" s="98" t="n"/>
      <c r="I47" s="98" t="n"/>
      <c r="J47" s="98" t="n"/>
    </row>
    <row r="48">
      <c r="B48" s="6" t="inlineStr">
        <is>
          <t>Credits saved during pilot</t>
        </is>
      </c>
      <c r="C48" s="60">
        <f>F43-E43</f>
        <v/>
      </c>
      <c r="D48" s="102" t="inlineStr">
        <is>
          <t>Value of stacked startup programs</t>
        </is>
      </c>
      <c r="E48" s="98" t="n"/>
      <c r="F48" s="98" t="n"/>
      <c r="G48" s="98" t="n"/>
      <c r="H48" s="98" t="n"/>
      <c r="I48" s="98" t="n"/>
      <c r="J48" s="98" t="n"/>
    </row>
    <row r="50">
      <c r="B50" s="6" t="inlineStr">
        <is>
          <t>Year-1 cost with credits</t>
        </is>
      </c>
      <c r="C50" s="60">
        <f>G43</f>
        <v/>
      </c>
      <c r="D50" s="102" t="inlineStr">
        <is>
          <t>Year-1 spend covered by credits</t>
        </is>
      </c>
      <c r="E50" s="98" t="n"/>
      <c r="F50" s="98" t="n"/>
      <c r="G50" s="98" t="n"/>
      <c r="H50" s="98" t="n"/>
      <c r="I50" s="98" t="n"/>
      <c r="J50" s="98" t="n"/>
    </row>
    <row r="51">
      <c r="B51" s="6" t="inlineStr">
        <is>
          <t>Year-1 cost without credits</t>
        </is>
      </c>
      <c r="C51" s="60">
        <f>H43</f>
        <v/>
      </c>
      <c r="D51" s="102" t="inlineStr"/>
      <c r="E51" s="98" t="n"/>
      <c r="F51" s="98" t="n"/>
      <c r="G51" s="98" t="n"/>
      <c r="H51" s="98" t="n"/>
      <c r="I51" s="98" t="n"/>
      <c r="J51" s="98" t="n"/>
    </row>
    <row r="52">
      <c r="B52" s="6" t="inlineStr">
        <is>
          <t>Year-1 credits saved</t>
        </is>
      </c>
      <c r="C52" s="60">
        <f>H43-G43</f>
        <v/>
      </c>
      <c r="D52" s="102" t="inlineStr">
        <is>
          <t>Value extracted from startup programs</t>
        </is>
      </c>
      <c r="E52" s="98" t="n"/>
      <c r="F52" s="98" t="n"/>
      <c r="G52" s="98" t="n"/>
      <c r="H52" s="98" t="n"/>
      <c r="I52" s="98" t="n"/>
      <c r="J52" s="98" t="n"/>
    </row>
    <row r="54">
      <c r="B54" s="6" t="inlineStr">
        <is>
          <t>Year-2 cost (credits expired)</t>
        </is>
      </c>
      <c r="C54" s="60">
        <f>I43</f>
        <v/>
      </c>
      <c r="D54" s="102" t="inlineStr">
        <is>
          <t>Real run-rate when Founders Hub expires</t>
        </is>
      </c>
      <c r="E54" s="98" t="n"/>
      <c r="F54" s="98" t="n"/>
      <c r="G54" s="98" t="n"/>
      <c r="H54" s="98" t="n"/>
      <c r="I54" s="98" t="n"/>
      <c r="J54" s="98" t="n"/>
    </row>
    <row r="56">
      <c r="B56" s="6" t="inlineStr">
        <is>
          <t>Pilot revenue (from Pricing sheet)</t>
        </is>
      </c>
      <c r="C56" s="60">
        <f>Pricing!C6</f>
        <v/>
      </c>
      <c r="D56" s="102" t="inlineStr"/>
      <c r="E56" s="98" t="n"/>
      <c r="F56" s="98" t="n"/>
      <c r="G56" s="98" t="n"/>
      <c r="H56" s="98" t="n"/>
      <c r="I56" s="98" t="n"/>
      <c r="J56" s="98" t="n"/>
    </row>
    <row r="57">
      <c r="B57" s="26" t="inlineStr">
        <is>
          <t>Pilot margin with credits</t>
        </is>
      </c>
      <c r="C57" s="60">
        <f>Pricing!C6-E43</f>
        <v/>
      </c>
      <c r="D57" s="102" t="inlineStr">
        <is>
          <t>Cash retained from pilot fee</t>
        </is>
      </c>
      <c r="E57" s="98" t="n"/>
      <c r="F57" s="98" t="n"/>
      <c r="G57" s="98" t="n"/>
      <c r="H57" s="98" t="n"/>
      <c r="I57" s="98" t="n"/>
      <c r="J57" s="98" t="n"/>
    </row>
    <row r="58">
      <c r="B58" s="26" t="inlineStr">
        <is>
          <t>Pilot margin %</t>
        </is>
      </c>
      <c r="C58" s="62">
        <f>(Pricing!C6-E43)/Pricing!C6</f>
        <v/>
      </c>
      <c r="D58" s="102" t="inlineStr"/>
      <c r="E58" s="98" t="n"/>
      <c r="F58" s="98" t="n"/>
      <c r="G58" s="98" t="n"/>
      <c r="H58" s="98" t="n"/>
      <c r="I58" s="98" t="n"/>
      <c r="J58" s="98" t="n"/>
    </row>
    <row r="59">
      <c r="B59" s="6" t="inlineStr">
        <is>
          <t>Year-1 ACV</t>
        </is>
      </c>
      <c r="C59" s="60">
        <f>Pricing!C29</f>
        <v/>
      </c>
      <c r="D59" s="102" t="inlineStr"/>
      <c r="E59" s="98" t="n"/>
      <c r="F59" s="98" t="n"/>
      <c r="G59" s="98" t="n"/>
      <c r="H59" s="98" t="n"/>
      <c r="I59" s="98" t="n"/>
      <c r="J59" s="98" t="n"/>
    </row>
    <row r="60">
      <c r="B60" s="26" t="inlineStr">
        <is>
          <t>Year-1 margin with credits</t>
        </is>
      </c>
      <c r="C60" s="60">
        <f>Pricing!C29-G43</f>
        <v/>
      </c>
      <c r="D60" s="102" t="inlineStr"/>
      <c r="E60" s="98" t="n"/>
      <c r="F60" s="98" t="n"/>
      <c r="G60" s="98" t="n"/>
      <c r="H60" s="98" t="n"/>
      <c r="I60" s="98" t="n"/>
      <c r="J60" s="98" t="n"/>
    </row>
    <row r="61">
      <c r="B61" s="26" t="inlineStr">
        <is>
          <t>Year-1 margin %</t>
        </is>
      </c>
      <c r="C61" s="62">
        <f>(Pricing!C29-G43)/Pricing!C29</f>
        <v/>
      </c>
      <c r="D61" s="102" t="inlineStr"/>
      <c r="E61" s="98" t="n"/>
      <c r="F61" s="98" t="n"/>
      <c r="G61" s="98" t="n"/>
      <c r="H61" s="98" t="n"/>
      <c r="I61" s="98" t="n"/>
      <c r="J61" s="98" t="n"/>
    </row>
  </sheetData>
  <mergeCells count="16">
    <mergeCell ref="D46:J46"/>
    <mergeCell ref="D61:J61"/>
    <mergeCell ref="D54:J54"/>
    <mergeCell ref="D56:J56"/>
    <mergeCell ref="D50:J50"/>
    <mergeCell ref="D48:J48"/>
    <mergeCell ref="B45:J45"/>
    <mergeCell ref="D58:J58"/>
    <mergeCell ref="D59:J59"/>
    <mergeCell ref="D52:J52"/>
    <mergeCell ref="D47:J47"/>
    <mergeCell ref="D60:J60"/>
    <mergeCell ref="D57:J57"/>
    <mergeCell ref="B5:E5"/>
    <mergeCell ref="D51:J51"/>
    <mergeCell ref="B16:J16"/>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B2:F52"/>
  <sheetViews>
    <sheetView showGridLines="0" workbookViewId="0">
      <selection activeCell="A1" sqref="A1"/>
    </sheetView>
  </sheetViews>
  <sheetFormatPr baseColWidth="8" defaultRowHeight="15"/>
  <cols>
    <col width="2" customWidth="1" min="1" max="1"/>
    <col width="38" customWidth="1" min="2" max="2"/>
    <col width="70" customWidth="1" min="3" max="3"/>
    <col width="30" customWidth="1" min="4" max="4"/>
    <col width="20" customWidth="1" min="5" max="5"/>
    <col width="20" customWidth="1" min="6" max="6"/>
  </cols>
  <sheetData>
    <row r="2">
      <c r="B2" s="1" t="inlineStr">
        <is>
          <t>Business Case — PHS (Greenfield AI / Modernization Play)</t>
        </is>
      </c>
    </row>
    <row r="3">
      <c r="B3" s="2" t="inlineStr">
        <is>
          <t>CDAO buyer. Azure+Databricks modernization in flight. No AI strategy = the OPPORTUNITY.</t>
        </is>
      </c>
    </row>
    <row r="5">
      <c r="B5" s="37" t="inlineStr">
        <is>
          <t>1. Prospect Snapshot</t>
        </is>
      </c>
      <c r="C5" s="98" t="n"/>
      <c r="D5" s="98" t="n"/>
      <c r="E5" s="98" t="n"/>
      <c r="F5" s="98" t="n"/>
    </row>
    <row r="6">
      <c r="B6" s="29" t="inlineStr">
        <is>
          <t>Organization</t>
        </is>
      </c>
      <c r="C6" s="18" t="inlineStr">
        <is>
          <t>PHS (Phoenix Health System) — healthcare provider</t>
        </is>
      </c>
      <c r="D6" s="64" t="n"/>
      <c r="E6" s="64" t="n"/>
      <c r="F6" s="35" t="n"/>
    </row>
    <row r="7">
      <c r="B7" s="29" t="inlineStr">
        <is>
          <t>Primary buyer</t>
        </is>
      </c>
      <c r="C7" s="18" t="inlineStr">
        <is>
          <t>CDAO</t>
        </is>
      </c>
      <c r="D7" s="64" t="n"/>
      <c r="E7" s="64" t="n"/>
      <c r="F7" s="35" t="n"/>
    </row>
    <row r="8">
      <c r="B8" s="29" t="inlineStr">
        <is>
          <t>Secondary buyer</t>
        </is>
      </c>
      <c r="C8" s="18" t="inlineStr">
        <is>
          <t>IT sourcing leader (peer, owns AMS outsourcing wave)</t>
        </is>
      </c>
      <c r="D8" s="64" t="n"/>
      <c r="E8" s="64" t="n"/>
      <c r="F8" s="35" t="n"/>
    </row>
    <row r="9">
      <c r="B9" s="29" t="inlineStr">
        <is>
          <t>Stage of AI maturity</t>
        </is>
      </c>
      <c r="C9" s="18" t="inlineStr">
        <is>
          <t>ZERO — no strategy, no plan, no use cases, no roadmap</t>
        </is>
      </c>
      <c r="D9" s="64" t="n"/>
      <c r="E9" s="64" t="n"/>
      <c r="F9" s="35" t="n"/>
    </row>
    <row r="10">
      <c r="B10" s="29" t="inlineStr">
        <is>
          <t>Modernization context</t>
        </is>
      </c>
      <c r="C10" s="18" t="inlineStr">
        <is>
          <t>Just outsourced AMS for legacy analytics; Azure + Databricks platform planned</t>
        </is>
      </c>
      <c r="D10" s="64" t="n"/>
      <c r="E10" s="64" t="n"/>
      <c r="F10" s="35" t="n"/>
    </row>
    <row r="11">
      <c r="B11" s="29" t="inlineStr">
        <is>
          <t>Budget posture</t>
        </is>
      </c>
      <c r="C11" s="18" t="inlineStr">
        <is>
          <t>Modernization budget already approved and flowing</t>
        </is>
      </c>
      <c r="D11" s="64" t="n"/>
      <c r="E11" s="64" t="n"/>
      <c r="F11" s="35" t="n"/>
    </row>
    <row r="12">
      <c r="B12" s="29" t="inlineStr">
        <is>
          <t>Org pressure</t>
        </is>
      </c>
      <c r="C12" s="18" t="inlineStr">
        <is>
          <t>Board asking 'what is our AI strategy?' — CDAO needs an answer fast</t>
        </is>
      </c>
      <c r="D12" s="64" t="n"/>
      <c r="E12" s="64" t="n"/>
      <c r="F12" s="35" t="n"/>
    </row>
    <row r="14">
      <c r="B14" s="37" t="inlineStr">
        <is>
          <t>2. The Reframe — 'No Plan Exists' is the OPPORTUNITY</t>
        </is>
      </c>
      <c r="C14" s="98" t="n"/>
      <c r="D14" s="98" t="n"/>
      <c r="E14" s="98" t="n"/>
      <c r="F14" s="98" t="n"/>
    </row>
    <row r="15">
      <c r="B15" s="29" t="inlineStr">
        <is>
          <t>Common reaction</t>
        </is>
      </c>
      <c r="C15" s="18" t="inlineStr">
        <is>
          <t>'Long sales cycle, need to educate, no use cases means no urgency.' WRONG.</t>
        </is>
      </c>
      <c r="D15" s="64" t="n"/>
      <c r="E15" s="64" t="n"/>
      <c r="F15" s="35" t="n"/>
    </row>
    <row r="16">
      <c r="B16" s="29" t="inlineStr">
        <is>
          <t>Correct reading</t>
        </is>
      </c>
      <c r="C16" s="18" t="inlineStr">
        <is>
          <t>Greenfield + budget flowing + board pressure = IDEAL fit. They need a fast credible AI path.</t>
        </is>
      </c>
      <c r="D16" s="64" t="n"/>
      <c r="E16" s="64" t="n"/>
      <c r="F16" s="35" t="n"/>
    </row>
    <row r="17">
      <c r="B17" s="29" t="inlineStr">
        <is>
          <t>AbarVa's role</t>
        </is>
      </c>
      <c r="C17" s="18" t="inlineStr">
        <is>
          <t>Not a tool — the OPERATING SYSTEM for their AI strategy. We bring the use case catalog (24 waves of industry genome), the execution framework, the roadmap.</t>
        </is>
      </c>
      <c r="D17" s="64" t="n"/>
      <c r="E17" s="64" t="n"/>
      <c r="F17" s="35" t="n"/>
    </row>
    <row r="18">
      <c r="B18" s="29" t="inlineStr">
        <is>
          <t>By month 3</t>
        </is>
      </c>
      <c r="C18" s="18" t="inlineStr">
        <is>
          <t>CDAO walks into board with: documented AI strategy + 12-month roadmap + 3 Moves in flight + identified value pipeline.</t>
        </is>
      </c>
      <c r="D18" s="64" t="n"/>
      <c r="E18" s="64" t="n"/>
      <c r="F18" s="35" t="n"/>
    </row>
    <row r="19">
      <c r="B19" s="29" t="inlineStr">
        <is>
          <t>Azure+Databricks fit</t>
        </is>
      </c>
      <c r="C19" s="18" t="inlineStr">
        <is>
          <t>Their platform investment is your enabler. AbarVa is the workflow layer that turns the platform into delivered programs. Don't compete for budget — be the layer that makes their other investment deliver.</t>
        </is>
      </c>
      <c r="D19" s="64" t="n"/>
      <c r="E19" s="64" t="n"/>
      <c r="F19" s="35" t="n"/>
    </row>
    <row r="21">
      <c r="B21" s="37" t="inlineStr">
        <is>
          <t>3. The Pitch (sequenced)</t>
        </is>
      </c>
      <c r="C21" s="98" t="n"/>
      <c r="D21" s="98" t="n"/>
      <c r="E21" s="98" t="n"/>
      <c r="F21" s="98" t="n"/>
    </row>
    <row r="22">
      <c r="B22" s="8" t="inlineStr">
        <is>
          <t>Step</t>
        </is>
      </c>
      <c r="C22" s="8" t="inlineStr">
        <is>
          <t>What you say</t>
        </is>
      </c>
      <c r="D22" s="8" t="inlineStr">
        <is>
          <t>Why</t>
        </is>
      </c>
    </row>
    <row r="23">
      <c r="B23" s="18" t="inlineStr">
        <is>
          <t>Open</t>
        </is>
      </c>
      <c r="C23" s="18" t="inlineStr">
        <is>
          <t>'Your Azure+Databricks platform will be amazing. The question is what programs run on it. Most systems take 12-18 months to land their first 3 AI programs because they build strategy from scratch. We have a faster path.'</t>
        </is>
      </c>
      <c r="D23" s="18" t="inlineStr">
        <is>
          <t>Reframes product → outcome</t>
        </is>
      </c>
    </row>
    <row r="24">
      <c r="B24" s="18" t="inlineStr">
        <is>
          <t>Anchor</t>
        </is>
      </c>
      <c r="C24" s="18" t="inlineStr">
        <is>
          <t>'AbarVa is the operating system for AI program execution. We bring the use case catalog from 24 waves of healthcare patterns, an execution framework (Moves), sourcing intelligence (Source), executive visibility (Tower).'</t>
        </is>
      </c>
      <c r="D24" s="18" t="inlineStr">
        <is>
          <t>Strategy-and-platform-in-one</t>
        </is>
      </c>
    </row>
    <row r="25">
      <c r="B25" s="18" t="inlineStr">
        <is>
          <t>Differentiate</t>
        </is>
      </c>
      <c r="C25" s="18" t="inlineStr">
        <is>
          <t>'Not a consulting engagement that produces a deck. Not a tool waiting for you to figure out what to do. We're the layer that turns your Azure+Databricks investment into 3 executed programs in 90 days.'</t>
        </is>
      </c>
      <c r="D25" s="18" t="inlineStr">
        <is>
          <t>Kills consulting + tool frames</t>
        </is>
      </c>
    </row>
    <row r="26">
      <c r="B26" s="18" t="inlineStr">
        <is>
          <t>Close</t>
        </is>
      </c>
      <c r="C26" s="18" t="inlineStr">
        <is>
          <t>'90-day pilot, $300k, fixed scope, auto-converts on documented success criteria. &lt;1.5% of your annual function budget. Board gets proof, not promises.'</t>
        </is>
      </c>
      <c r="D26" s="18" t="inlineStr">
        <is>
          <t>Risk-bounded + outcome-anchored</t>
        </is>
      </c>
    </row>
    <row r="28">
      <c r="B28" s="37" t="inlineStr">
        <is>
          <t>4. PHS-Specific Value Levers</t>
        </is>
      </c>
      <c r="C28" s="98" t="n"/>
      <c r="D28" s="98" t="n"/>
      <c r="E28" s="98" t="n"/>
      <c r="F28" s="98" t="n"/>
    </row>
    <row r="29">
      <c r="B29" s="8" t="inlineStr">
        <is>
          <t>Lever</t>
        </is>
      </c>
      <c r="C29" s="8" t="inlineStr">
        <is>
          <t>Order-of-magnitude (PHS-scale)</t>
        </is>
      </c>
      <c r="D29" s="8" t="inlineStr">
        <is>
          <t>AbarVa enables how</t>
        </is>
      </c>
    </row>
    <row r="30">
      <c r="B30" s="18" t="inlineStr">
        <is>
          <t>Denials reduction</t>
        </is>
      </c>
      <c r="C30" s="18" t="inlineStr">
        <is>
          <t>1% on ~$4B revenue = $40M annually</t>
        </is>
      </c>
      <c r="D30" s="18" t="inlineStr">
        <is>
          <t>Pattern discovery on denial drivers; Move execution on appeals workflow</t>
        </is>
      </c>
    </row>
    <row r="31">
      <c r="B31" s="18" t="inlineStr">
        <is>
          <t>Length of stay</t>
        </is>
      </c>
      <c r="C31" s="18" t="inlineStr">
        <is>
          <t>0.1 day on ~50k discharges = ~$5-8M</t>
        </is>
      </c>
      <c r="D31" s="18" t="inlineStr">
        <is>
          <t>Pattern detection on LOS drivers by service line; Moves on discharge planning</t>
        </is>
      </c>
    </row>
    <row r="32">
      <c r="B32" s="18" t="inlineStr">
        <is>
          <t>Supply chain consolidation</t>
        </is>
      </c>
      <c r="C32" s="18" t="inlineStr">
        <is>
          <t>5% on supply spend (~$200M) = $10M</t>
        </is>
      </c>
      <c r="D32" s="18" t="inlineStr">
        <is>
          <t>Source module direct value; vendor pattern intelligence</t>
        </is>
      </c>
    </row>
    <row r="33">
      <c r="B33" s="18" t="inlineStr">
        <is>
          <t>Workforce / agency labor</t>
        </is>
      </c>
      <c r="C33" s="18" t="inlineStr">
        <is>
          <t>2% of agency spend (~$50M) = $1M</t>
        </is>
      </c>
      <c r="D33" s="18" t="inlineStr">
        <is>
          <t>Workforce pattern discovery + scheduling Moves</t>
        </is>
      </c>
    </row>
    <row r="34">
      <c r="B34" s="18" t="inlineStr">
        <is>
          <t>Prior auth turnaround</t>
        </is>
      </c>
      <c r="C34" s="18" t="inlineStr">
        <is>
          <t>2-day reduction + volume optimization</t>
        </is>
      </c>
      <c r="D34" s="18" t="inlineStr">
        <is>
          <t>Intelligence + agent draft + human approval</t>
        </is>
      </c>
    </row>
    <row r="35">
      <c r="B35" s="18" t="inlineStr">
        <is>
          <t>Care coordination</t>
        </is>
      </c>
      <c r="C35" s="18" t="inlineStr">
        <is>
          <t>Quality outcome + readmission cost reduction</t>
        </is>
      </c>
      <c r="D35" s="18" t="inlineStr">
        <is>
          <t>Pattern → Move on handoff failure modes</t>
        </is>
      </c>
    </row>
    <row r="37">
      <c r="B37" s="37" t="inlineStr">
        <is>
          <t>5. The IT Sourcing Wedge (secondary buyer)</t>
        </is>
      </c>
      <c r="C37" s="98" t="n"/>
      <c r="D37" s="98" t="n"/>
      <c r="E37" s="98" t="n"/>
      <c r="F37" s="98" t="n"/>
    </row>
    <row r="38">
      <c r="B38" s="29" t="inlineStr">
        <is>
          <t>Their colleague's pain</t>
        </is>
      </c>
      <c r="C38" s="18" t="inlineStr">
        <is>
          <t>Outsourcing wave in progress — needs vendor intelligence, contract analysis, sourcing decision support</t>
        </is>
      </c>
      <c r="D38" s="64" t="n"/>
      <c r="E38" s="64" t="n"/>
      <c r="F38" s="35" t="n"/>
    </row>
    <row r="39">
      <c r="B39" s="29" t="inlineStr">
        <is>
          <t>AbarVa Source module value</t>
        </is>
      </c>
      <c r="C39" s="18" t="inlineStr">
        <is>
          <t>Vendor-pattern analysis, RFP support, contract performance tracking — directly addresses what colleague needs TODAY</t>
        </is>
      </c>
      <c r="D39" s="64" t="n"/>
      <c r="E39" s="64" t="n"/>
      <c r="F39" s="35" t="n"/>
    </row>
    <row r="40">
      <c r="B40" s="29" t="inlineStr">
        <is>
          <t>Play</t>
        </is>
      </c>
      <c r="C40" s="18" t="inlineStr">
        <is>
          <t>Bundle Source as pilot add-on ($35-50k/mo separate line). Both buyers share CFO. Combined budget easier than separate buys.</t>
        </is>
      </c>
      <c r="D40" s="64" t="n"/>
      <c r="E40" s="64" t="n"/>
      <c r="F40" s="35" t="n"/>
    </row>
    <row r="41">
      <c r="B41" s="29" t="inlineStr">
        <is>
          <t>Narrative</t>
        </is>
      </c>
      <c r="C41" s="18" t="inlineStr">
        <is>
          <t>'AbarVa core lands your AI strategy. AbarVa Source addresses your IT sourcing wave. One platform, two leaders, one CFO conversation.'</t>
        </is>
      </c>
      <c r="D41" s="64" t="n"/>
      <c r="E41" s="64" t="n"/>
      <c r="F41" s="35" t="n"/>
    </row>
    <row r="43">
      <c r="B43" s="37" t="inlineStr">
        <is>
          <t>6. Pilot Success Criteria (PHS-specific)</t>
        </is>
      </c>
      <c r="C43" s="98" t="n"/>
      <c r="D43" s="98" t="n"/>
      <c r="E43" s="98" t="n"/>
      <c r="F43" s="98" t="n"/>
    </row>
    <row r="44">
      <c r="B44" s="8" t="inlineStr">
        <is>
          <t>Criterion</t>
        </is>
      </c>
      <c r="C44" s="8" t="inlineStr">
        <is>
          <t>Target</t>
        </is>
      </c>
      <c r="D44" s="8" t="inlineStr">
        <is>
          <t>Why</t>
        </is>
      </c>
    </row>
    <row r="45">
      <c r="B45" s="18" t="inlineStr">
        <is>
          <t>Moves at execution stage</t>
        </is>
      </c>
      <c r="C45" s="18" t="inlineStr">
        <is>
          <t>3 Moves at execution by day 60</t>
        </is>
      </c>
      <c r="D45" s="18" t="inlineStr">
        <is>
          <t>End-to-end demonstration</t>
        </is>
      </c>
    </row>
    <row r="46">
      <c r="B46" s="18" t="inlineStr">
        <is>
          <t>Identified value pipeline</t>
        </is>
      </c>
      <c r="C46" s="18" t="inlineStr">
        <is>
          <t>$10M+ across 2-3 healthcare levers</t>
        </is>
      </c>
      <c r="D46" s="18" t="inlineStr">
        <is>
          <t>Justifies year-1 to CFO</t>
        </is>
      </c>
    </row>
    <row r="47">
      <c r="B47" s="18" t="inlineStr">
        <is>
          <t>AI strategy artifact</t>
        </is>
      </c>
      <c r="C47" s="18" t="inlineStr">
        <is>
          <t>1 documented AI strategy + 12-month roadmap (board-ready)</t>
        </is>
      </c>
      <c r="D47" s="18" t="inlineStr">
        <is>
          <t>Solves CDAO's #1 problem</t>
        </is>
      </c>
    </row>
    <row r="48">
      <c r="B48" s="18" t="inlineStr">
        <is>
          <t>Active named users</t>
        </is>
      </c>
      <c r="C48" s="18" t="inlineStr">
        <is>
          <t>8 of 10 weekly active</t>
        </is>
      </c>
      <c r="D48" s="18" t="inlineStr">
        <is>
          <t>Adoption proof</t>
        </is>
      </c>
    </row>
    <row r="49">
      <c r="B49" s="18" t="inlineStr">
        <is>
          <t>Source pilot deliverable</t>
        </is>
      </c>
      <c r="C49" s="18" t="inlineStr">
        <is>
          <t>1 sourcing decision supported via AbarVa Source</t>
        </is>
      </c>
      <c r="D49" s="18" t="inlineStr">
        <is>
          <t>Validates wedge for sourcing colleague</t>
        </is>
      </c>
    </row>
    <row r="50">
      <c r="B50" s="18" t="inlineStr">
        <is>
          <t>Decision audit completeness</t>
        </is>
      </c>
      <c r="C50" s="18" t="inlineStr">
        <is>
          <t>100% consequential actions evidenced</t>
        </is>
      </c>
      <c r="D50" s="18" t="inlineStr">
        <is>
          <t>AI Liability + audit</t>
        </is>
      </c>
    </row>
    <row r="51">
      <c r="B51" s="18" t="inlineStr">
        <is>
          <t>Board pack</t>
        </is>
      </c>
      <c r="C51" s="18" t="inlineStr">
        <is>
          <t>Q1 board presentation supported by AbarVa-generated artifacts</t>
        </is>
      </c>
      <c r="D51" s="18" t="inlineStr">
        <is>
          <t>Career win for CDAO</t>
        </is>
      </c>
    </row>
    <row r="52">
      <c r="B52" s="18" t="inlineStr">
        <is>
          <t>NPS from pilot users</t>
        </is>
      </c>
      <c r="C52" s="18" t="inlineStr">
        <is>
          <t>≥ 40</t>
        </is>
      </c>
      <c r="D52" s="18" t="inlineStr">
        <is>
          <t>Renewal predictor</t>
        </is>
      </c>
    </row>
  </sheetData>
  <mergeCells count="22">
    <mergeCell ref="C17:F17"/>
    <mergeCell ref="C39:F39"/>
    <mergeCell ref="C8:F8"/>
    <mergeCell ref="C7:F7"/>
    <mergeCell ref="C38:F38"/>
    <mergeCell ref="C19:F19"/>
    <mergeCell ref="B21:F21"/>
    <mergeCell ref="C18:F18"/>
    <mergeCell ref="B43:F43"/>
    <mergeCell ref="C6:F6"/>
    <mergeCell ref="C15:F15"/>
    <mergeCell ref="B14:F14"/>
    <mergeCell ref="B28:F28"/>
    <mergeCell ref="B37:F37"/>
    <mergeCell ref="C16:F16"/>
    <mergeCell ref="C41:F41"/>
    <mergeCell ref="C10:F10"/>
    <mergeCell ref="C40:F40"/>
    <mergeCell ref="C9:F9"/>
    <mergeCell ref="C12:F12"/>
    <mergeCell ref="B5:F5"/>
    <mergeCell ref="C11:F11"/>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B2:F62"/>
  <sheetViews>
    <sheetView showGridLines="0" workbookViewId="0">
      <selection activeCell="A1" sqref="A1"/>
    </sheetView>
  </sheetViews>
  <sheetFormatPr baseColWidth="8" defaultRowHeight="15"/>
  <cols>
    <col width="2" customWidth="1" min="1" max="1"/>
    <col width="38" customWidth="1" min="2" max="2"/>
    <col width="75" customWidth="1" min="3" max="3"/>
    <col width="30" customWidth="1" min="4" max="4"/>
    <col width="20" customWidth="1" min="5" max="5"/>
    <col width="20" customWidth="1" min="6" max="6"/>
  </cols>
  <sheetData>
    <row r="2">
      <c r="B2" s="1" t="inlineStr">
        <is>
          <t>Business Case — Surekha @ Morgan Street Holdings (NEW LEADER PLAY)</t>
        </is>
      </c>
    </row>
    <row r="3">
      <c r="B3" s="2" t="inlineStr">
        <is>
          <t>VP/CXO walking into a new place — IT delivery + data + innovation. STRONGEST archetype for AbarVa: blank slate, mandate to set direction, first-100-days pressure.</t>
        </is>
      </c>
    </row>
    <row r="5">
      <c r="B5" s="37" t="inlineStr">
        <is>
          <t>1. Why this is the STRONGEST archetype for AbarVa</t>
        </is>
      </c>
      <c r="C5" s="98" t="n"/>
      <c r="D5" s="98" t="n"/>
      <c r="E5" s="98" t="n"/>
      <c r="F5" s="98" t="n"/>
    </row>
    <row r="6">
      <c r="B6" s="29" t="inlineStr">
        <is>
          <t>Blank slate</t>
        </is>
      </c>
      <c r="C6" s="18" t="inlineStr">
        <is>
          <t>No incumbent vendors to displace. No political baggage from prior decisions.</t>
        </is>
      </c>
      <c r="D6" s="64" t="n"/>
      <c r="E6" s="64" t="n"/>
      <c r="F6" s="35" t="n"/>
    </row>
    <row r="7">
      <c r="B7" s="29" t="inlineStr">
        <is>
          <t>First-100-days mandate</t>
        </is>
      </c>
      <c r="C7" s="18" t="inlineStr">
        <is>
          <t>She NEEDS to show direction fast. Time-pressure is your friend.</t>
        </is>
      </c>
      <c r="D7" s="64" t="n"/>
      <c r="E7" s="64" t="n"/>
      <c r="F7" s="35" t="n"/>
    </row>
    <row r="8">
      <c r="B8" s="29" t="inlineStr">
        <is>
          <t>Built-in budget</t>
        </is>
      </c>
      <c r="C8" s="18" t="inlineStr">
        <is>
          <t>Every new CXO gets a 'set up your function' budget allocation. Spending is expected.</t>
        </is>
      </c>
      <c r="D8" s="64" t="n"/>
      <c r="E8" s="64" t="n"/>
      <c r="F8" s="35" t="n"/>
    </row>
    <row r="9">
      <c r="B9" s="29" t="inlineStr">
        <is>
          <t>Lower procurement scrutiny</t>
        </is>
      </c>
      <c r="C9" s="18" t="inlineStr">
        <is>
          <t>Early decisions framed as 'establishing operating model,' not RFP fatigue.</t>
        </is>
      </c>
      <c r="D9" s="64" t="n"/>
      <c r="E9" s="64" t="n"/>
      <c r="F9" s="35" t="n"/>
    </row>
    <row r="10">
      <c r="B10" s="29" t="inlineStr">
        <is>
          <t>She IS the decision authority</t>
        </is>
      </c>
      <c r="C10" s="18" t="inlineStr">
        <is>
          <t>On her function's tooling. Fast decision cycle.</t>
        </is>
      </c>
      <c r="D10" s="64" t="n"/>
      <c r="E10" s="64" t="n"/>
      <c r="F10" s="35" t="n"/>
    </row>
    <row r="11">
      <c r="B11" s="29" t="inlineStr">
        <is>
          <t>Maximum political incentive</t>
        </is>
      </c>
      <c r="C11" s="18" t="inlineStr">
        <is>
          <t>Her wins now define her tenure. She's optimizing for visible early outcomes.</t>
        </is>
      </c>
      <c r="D11" s="64" t="n"/>
      <c r="E11" s="64" t="n"/>
      <c r="F11" s="35" t="n"/>
    </row>
    <row r="12">
      <c r="B12" s="29" t="inlineStr">
        <is>
          <t>Compares against transformation budget</t>
        </is>
      </c>
      <c r="C12" s="18" t="inlineStr">
        <is>
          <t>$5-20M total function spend, not a software line item. Price sensitivity is different.</t>
        </is>
      </c>
      <c r="D12" s="64" t="n"/>
      <c r="E12" s="64" t="n"/>
      <c r="F12" s="35" t="n"/>
    </row>
    <row r="14">
      <c r="B14" s="37" t="inlineStr">
        <is>
          <t>2. The Pitch — 'How to be a successful new leader' (not a tool pitch)</t>
        </is>
      </c>
      <c r="C14" s="98" t="n"/>
      <c r="D14" s="98" t="n"/>
      <c r="E14" s="98" t="n"/>
      <c r="F14" s="98" t="n"/>
    </row>
    <row r="15">
      <c r="B15" s="29" t="inlineStr">
        <is>
          <t>Frame</t>
        </is>
      </c>
      <c r="C15" s="18" t="inlineStr">
        <is>
          <t>First 100 days. Foundation. Walking in with a plan.</t>
        </is>
      </c>
      <c r="D15" s="64" t="n"/>
      <c r="E15" s="64" t="n"/>
      <c r="F15" s="35" t="n"/>
    </row>
    <row r="16">
      <c r="B16" s="29" t="inlineStr">
        <is>
          <t>Opening</t>
        </is>
      </c>
      <c r="C16" s="18" t="inlineStr">
        <is>
          <t>'You have three pressures: define an AI strategy your CEO/board can rally behind, show early wins that justify your hire, set up an operating model that scales.'</t>
        </is>
      </c>
      <c r="D16" s="64" t="n"/>
      <c r="E16" s="64" t="n"/>
      <c r="F16" s="35" t="n"/>
    </row>
    <row r="17">
      <c r="B17" s="29" t="inlineStr">
        <is>
          <t>Reframe</t>
        </is>
      </c>
      <c r="C17" s="18" t="inlineStr">
        <is>
          <t>'Most leaders in your shoes spend 6 months on strategy + workshops + roadmap building. AbarVa lets you skip that.'</t>
        </is>
      </c>
      <c r="D17" s="64" t="n"/>
      <c r="E17" s="64" t="n"/>
      <c r="F17" s="35" t="n"/>
    </row>
    <row r="18">
      <c r="B18" s="29" t="inlineStr">
        <is>
          <t>Anchor</t>
        </is>
      </c>
      <c r="C18" s="18" t="inlineStr">
        <is>
          <t>'In 90 days you walk into your CEO with: a documented AI strategy, a prioritized 12-month roadmap pulled from 24 industry waves, 3 Moves in flight with measured outcomes, and an audit-grade decision trail. Your first quarterly board update writes itself.'</t>
        </is>
      </c>
      <c r="D18" s="64" t="n"/>
      <c r="E18" s="64" t="n"/>
      <c r="F18" s="35" t="n"/>
    </row>
    <row r="19">
      <c r="B19" s="29" t="inlineStr">
        <is>
          <t>Close</t>
        </is>
      </c>
      <c r="C19" s="18" t="inlineStr">
        <is>
          <t>'$300k pilot is less than the salary of 2-3 staff you'd hire to build this framework manually. Year-1 is your operating model — not a project budget line.'</t>
        </is>
      </c>
      <c r="D19" s="64" t="n"/>
      <c r="E19" s="64" t="n"/>
      <c r="F19" s="35" t="n"/>
    </row>
    <row r="21">
      <c r="B21" s="37" t="inlineStr">
        <is>
          <t>3. Why she pays $300k + $950k (different math than CDAO buyers)</t>
        </is>
      </c>
      <c r="C21" s="98" t="n"/>
      <c r="D21" s="98" t="n"/>
      <c r="E21" s="98" t="n"/>
      <c r="F21" s="98" t="n"/>
    </row>
    <row r="22">
      <c r="B22" s="8" t="inlineStr">
        <is>
          <t>Concept</t>
        </is>
      </c>
      <c r="C22" s="8" t="inlineStr">
        <is>
          <t>Reframe for new leader</t>
        </is>
      </c>
    </row>
    <row r="23">
      <c r="B23" s="18" t="inlineStr">
        <is>
          <t>Pilot fee = $300k</t>
        </is>
      </c>
      <c r="C23" s="18" t="inlineStr">
        <is>
          <t>Insurance against first-year underperformance. Career investment, not budget line.</t>
        </is>
      </c>
    </row>
    <row r="24">
      <c r="B24" s="18" t="inlineStr">
        <is>
          <t>Year-1 ACV = $950k</t>
        </is>
      </c>
      <c r="C24" s="18" t="inlineStr">
        <is>
          <t>The operating model for her function. NOT a project. NOT a software purchase.</t>
        </is>
      </c>
    </row>
    <row r="25">
      <c r="B25" s="18" t="inlineStr">
        <is>
          <t>$1.25M over 15mo</t>
        </is>
      </c>
      <c r="C25" s="18" t="inlineStr">
        <is>
          <t>Less than salary of 2-3 senior hires she'd otherwise need to build this manually.</t>
        </is>
      </c>
    </row>
    <row r="26">
      <c r="B26" s="18" t="inlineStr">
        <is>
          <t>Comparison baseline</t>
        </is>
      </c>
      <c r="C26" s="18" t="inlineStr">
        <is>
          <t>Her TOTAL function transformation budget ($5-20M typical). $1.25M = 6-25% of that.</t>
        </is>
      </c>
    </row>
    <row r="27">
      <c r="B27" s="18" t="inlineStr">
        <is>
          <t>Risk frame</t>
        </is>
      </c>
      <c r="C27" s="18" t="inlineStr">
        <is>
          <t>Highest career risk = under-delivering year 1. AbarVa is risk mitigation, not risk addition.</t>
        </is>
      </c>
    </row>
    <row r="29">
      <c r="B29" s="37" t="inlineStr">
        <is>
          <t>4. Surekha-specific Success Criteria (tied to HER win)</t>
        </is>
      </c>
      <c r="C29" s="98" t="n"/>
      <c r="D29" s="98" t="n"/>
      <c r="E29" s="98" t="n"/>
      <c r="F29" s="98" t="n"/>
    </row>
    <row r="30">
      <c r="B30" s="8" t="inlineStr">
        <is>
          <t>Criterion</t>
        </is>
      </c>
      <c r="C30" s="8" t="inlineStr">
        <is>
          <t>Target</t>
        </is>
      </c>
      <c r="D30" s="8" t="inlineStr">
        <is>
          <t>Why</t>
        </is>
      </c>
    </row>
    <row r="31">
      <c r="B31" s="18" t="inlineStr">
        <is>
          <t>100-day plan documented</t>
        </is>
      </c>
      <c r="C31" s="18" t="inlineStr">
        <is>
          <t>Day 30</t>
        </is>
      </c>
      <c r="D31" s="18" t="inlineStr">
        <is>
          <t>Proves she's moving fast; AbarVa enabled it</t>
        </is>
      </c>
    </row>
    <row r="32">
      <c r="B32" s="18" t="inlineStr">
        <is>
          <t>3 Moves at execution stage</t>
        </is>
      </c>
      <c r="C32" s="18" t="inlineStr">
        <is>
          <t>Day 60</t>
        </is>
      </c>
      <c r="D32" s="18" t="inlineStr">
        <is>
          <t>Visible early wins for her CEO</t>
        </is>
      </c>
    </row>
    <row r="33">
      <c r="B33" s="18" t="inlineStr">
        <is>
          <t>AI strategy artifact + roadmap</t>
        </is>
      </c>
      <c r="C33" s="18" t="inlineStr">
        <is>
          <t>Day 90 — board-ready</t>
        </is>
      </c>
      <c r="D33" s="18" t="inlineStr">
        <is>
          <t>Her first quarterly board update</t>
        </is>
      </c>
    </row>
    <row r="34">
      <c r="B34" s="18" t="inlineStr">
        <is>
          <t>Identified value pipeline</t>
        </is>
      </c>
      <c r="C34" s="18" t="inlineStr">
        <is>
          <t>$5-10M (or equiv: efficiency, capability, time-to-market)</t>
        </is>
      </c>
      <c r="D34" s="18" t="inlineStr">
        <is>
          <t>Justifies year-1 to CFO</t>
        </is>
      </c>
    </row>
    <row r="35">
      <c r="B35" s="18" t="inlineStr">
        <is>
          <t>Operating model documented</t>
        </is>
      </c>
      <c r="C35" s="18" t="inlineStr">
        <is>
          <t>Day 90</t>
        </is>
      </c>
      <c r="D35" s="18" t="inlineStr">
        <is>
          <t>Defines how her function works going forward</t>
        </is>
      </c>
    </row>
    <row r="36">
      <c r="B36" s="18" t="inlineStr">
        <is>
          <t>External case study</t>
        </is>
      </c>
      <c r="C36" s="18" t="inlineStr">
        <is>
          <t>1 published by month 6</t>
        </is>
      </c>
      <c r="D36" s="18" t="inlineStr">
        <is>
          <t>Her personal brand investment</t>
        </is>
      </c>
    </row>
    <row r="37">
      <c r="B37" s="18" t="inlineStr">
        <is>
          <t>Active named users</t>
        </is>
      </c>
      <c r="C37" s="18" t="inlineStr">
        <is>
          <t>8 of 10 weekly</t>
        </is>
      </c>
      <c r="D37" s="18" t="inlineStr">
        <is>
          <t>Adoption = adoption = adoption</t>
        </is>
      </c>
    </row>
    <row r="38">
      <c r="B38" s="18" t="inlineStr">
        <is>
          <t>Decision audit completeness</t>
        </is>
      </c>
      <c r="C38" s="18" t="inlineStr">
        <is>
          <t>100% consequential actions evidenced</t>
        </is>
      </c>
      <c r="D38" s="18" t="inlineStr">
        <is>
          <t>Protects her politically</t>
        </is>
      </c>
    </row>
    <row r="40">
      <c r="B40" s="37" t="inlineStr">
        <is>
          <t>5. TIMING — Act NOW, not in 3 months</t>
        </is>
      </c>
      <c r="C40" s="98" t="n"/>
      <c r="D40" s="98" t="n"/>
      <c r="E40" s="98" t="n"/>
      <c r="F40" s="98" t="n"/>
    </row>
    <row r="41">
      <c r="B41" s="29" t="inlineStr">
        <is>
          <t>Urgency</t>
        </is>
      </c>
      <c r="C41" s="18" t="inlineStr">
        <is>
          <t>If you wait, she will commit to Big 4 consulting ($2-5M, 6 months, deck deliverable) — you lose.</t>
        </is>
      </c>
      <c r="D41" s="64" t="n"/>
      <c r="E41" s="64" t="n"/>
      <c r="F41" s="35" t="n"/>
    </row>
    <row r="42">
      <c r="B42" s="29" t="inlineStr">
        <is>
          <t>Or</t>
        </is>
      </c>
      <c r="C42" s="18" t="inlineStr">
        <is>
          <t>She'll establish vendor relationships with incumbents — you lose embedding.</t>
        </is>
      </c>
      <c r="D42" s="64" t="n"/>
      <c r="E42" s="64" t="n"/>
      <c r="F42" s="35" t="n"/>
    </row>
    <row r="43">
      <c r="B43" s="29" t="inlineStr">
        <is>
          <t>Or</t>
        </is>
      </c>
      <c r="C43" s="18" t="inlineStr">
        <is>
          <t>She'll get pulled to other priorities — you wait another quarter.</t>
        </is>
      </c>
      <c r="D43" s="64" t="n"/>
      <c r="E43" s="64" t="n"/>
      <c r="F43" s="35" t="n"/>
    </row>
    <row r="44">
      <c r="B44" s="29" t="inlineStr">
        <is>
          <t>Sweet spot</t>
        </is>
      </c>
      <c r="C44" s="18" t="inlineStr">
        <is>
          <t>BEFORE she's committed her year-1 spend plan. If you land her now, you're embedded in her operating model.</t>
        </is>
      </c>
      <c r="D44" s="64" t="n"/>
      <c r="E44" s="64" t="n"/>
      <c r="F44" s="35" t="n"/>
    </row>
    <row r="45">
      <c r="B45" s="29" t="inlineStr">
        <is>
          <t>How</t>
        </is>
      </c>
      <c r="C45" s="18" t="inlineStr">
        <is>
          <t>Reach out THIS WEEK. 'Heard you joined — congrats. I have a 100-day framework for IT/data/innovation leaders that I'd love to walk through. 30 minutes.'</t>
        </is>
      </c>
      <c r="D45" s="64" t="n"/>
      <c r="E45" s="64" t="n"/>
      <c r="F45" s="35" t="n"/>
    </row>
    <row r="47">
      <c r="B47" s="37" t="inlineStr">
        <is>
          <t>6. What AbarVa specifically brings (the unfair advantage)</t>
        </is>
      </c>
      <c r="C47" s="98" t="n"/>
      <c r="D47" s="98" t="n"/>
      <c r="E47" s="98" t="n"/>
      <c r="F47" s="98" t="n"/>
    </row>
    <row r="48">
      <c r="B48" s="29" t="inlineStr">
        <is>
          <t>Industry corpus (24 waves)</t>
        </is>
      </c>
      <c r="C48" s="18" t="inlineStr">
        <is>
          <t>Use case catalog she'd otherwise need 6 months of workshops to build. Instant playbook.</t>
        </is>
      </c>
      <c r="D48" s="64" t="n"/>
      <c r="E48" s="64" t="n"/>
      <c r="F48" s="35" t="n"/>
    </row>
    <row r="49">
      <c r="B49" s="29" t="inlineStr">
        <is>
          <t>Modules (Intelligence/Moves/Source/Tower)</t>
        </is>
      </c>
      <c r="C49" s="18" t="inlineStr">
        <is>
          <t>Pre-built framework that maps to her function (delivery, data, innovation).</t>
        </is>
      </c>
      <c r="D49" s="64" t="n"/>
      <c r="E49" s="64" t="n"/>
      <c r="F49" s="35" t="n"/>
    </row>
    <row r="50">
      <c r="B50" s="29" t="inlineStr">
        <is>
          <t>Context/data plane</t>
        </is>
      </c>
      <c r="C50" s="18" t="inlineStr">
        <is>
          <t>Her data stays in her tenant — clean answer for IT security/governance.</t>
        </is>
      </c>
      <c r="D50" s="64" t="n"/>
      <c r="E50" s="64" t="n"/>
      <c r="F50" s="35" t="n"/>
    </row>
    <row r="51">
      <c r="B51" s="29" t="inlineStr">
        <is>
          <t>Move execution</t>
        </is>
      </c>
      <c r="C51" s="18" t="inlineStr">
        <is>
          <t>Visible early wins on real programs, not slide-ware.</t>
        </is>
      </c>
      <c r="D51" s="64" t="n"/>
      <c r="E51" s="64" t="n"/>
      <c r="F51" s="35" t="n"/>
    </row>
    <row r="52">
      <c r="B52" s="29" t="inlineStr">
        <is>
          <t>Evidence ledger</t>
        </is>
      </c>
      <c r="C52" s="18" t="inlineStr">
        <is>
          <t>Decision audit trail that protects her in board/audit reviews.</t>
        </is>
      </c>
      <c r="D52" s="64" t="n"/>
      <c r="E52" s="64" t="n"/>
      <c r="F52" s="35" t="n"/>
    </row>
    <row r="53">
      <c r="B53" s="29" t="inlineStr">
        <is>
          <t>Sourcing intelligence</t>
        </is>
      </c>
      <c r="C53" s="18" t="inlineStr">
        <is>
          <t>Her IT vendor portfolio can be optimized — quick win for CFO conversation.</t>
        </is>
      </c>
      <c r="D53" s="64" t="n"/>
      <c r="E53" s="64" t="n"/>
      <c r="F53" s="35" t="n"/>
    </row>
    <row r="54">
      <c r="B54" s="29" t="inlineStr">
        <is>
          <t>Founder-level engagement</t>
        </is>
      </c>
      <c r="C54" s="18" t="inlineStr">
        <is>
          <t>10% included founder time = white-glove for her first quarter (where it matters most).</t>
        </is>
      </c>
      <c r="D54" s="64" t="n"/>
      <c r="E54" s="64" t="n"/>
      <c r="F54" s="35" t="n"/>
    </row>
    <row r="56">
      <c r="B56" s="37" t="inlineStr">
        <is>
          <t>7. Outreach Plan</t>
        </is>
      </c>
      <c r="C56" s="98" t="n"/>
      <c r="D56" s="98" t="n"/>
      <c r="E56" s="98" t="n"/>
      <c r="F56" s="98" t="n"/>
    </row>
    <row r="57">
      <c r="B57" s="29" t="inlineStr">
        <is>
          <t>Week 1</t>
        </is>
      </c>
      <c r="C57" s="18" t="inlineStr">
        <is>
          <t>LinkedIn message: congrats + offer 30-min 100-day framework walkthrough. Attach a 2-page teaser.</t>
        </is>
      </c>
      <c r="D57" s="64" t="n"/>
      <c r="E57" s="64" t="n"/>
      <c r="F57" s="35" t="n"/>
    </row>
    <row r="58">
      <c r="B58" s="29" t="inlineStr">
        <is>
          <t>Week 2</t>
        </is>
      </c>
      <c r="C58" s="18" t="inlineStr">
        <is>
          <t>Discovery call (30 min): listen for her actual mandate, top 3 pressures, board ask, budget posture.</t>
        </is>
      </c>
      <c r="D58" s="64" t="n"/>
      <c r="E58" s="64" t="n"/>
      <c r="F58" s="35" t="n"/>
    </row>
    <row r="59">
      <c r="B59" s="29" t="inlineStr">
        <is>
          <t>Week 3</t>
        </is>
      </c>
      <c r="C59" s="18" t="inlineStr">
        <is>
          <t>Customized 1-pager: 'Here's what your first 100 days could look like with AbarVa.'</t>
        </is>
      </c>
      <c r="D59" s="64" t="n"/>
      <c r="E59" s="64" t="n"/>
      <c r="F59" s="35" t="n"/>
    </row>
    <row r="60">
      <c r="B60" s="29" t="inlineStr">
        <is>
          <t>Week 4</t>
        </is>
      </c>
      <c r="C60" s="18" t="inlineStr">
        <is>
          <t>Joint working session (90 min): walk through industry corpus + 3 candidate Moves for Morgan Street.</t>
        </is>
      </c>
      <c r="D60" s="64" t="n"/>
      <c r="E60" s="64" t="n"/>
      <c r="F60" s="35" t="n"/>
    </row>
    <row r="61">
      <c r="B61" s="29" t="inlineStr">
        <is>
          <t>Week 5-6</t>
        </is>
      </c>
      <c r="C61" s="18" t="inlineStr">
        <is>
          <t>Proposal: pilot SOW with her name on the success criteria.</t>
        </is>
      </c>
      <c r="D61" s="64" t="n"/>
      <c r="E61" s="64" t="n"/>
      <c r="F61" s="35" t="n"/>
    </row>
    <row r="62">
      <c r="B62" s="29" t="inlineStr">
        <is>
          <t>Week 7+</t>
        </is>
      </c>
      <c r="C62" s="18" t="inlineStr">
        <is>
          <t>Negotiate + sign + kick off.</t>
        </is>
      </c>
      <c r="D62" s="64" t="n"/>
      <c r="E62" s="64" t="n"/>
      <c r="F62" s="35" t="n"/>
    </row>
  </sheetData>
  <mergeCells count="37">
    <mergeCell ref="C52:F52"/>
    <mergeCell ref="C48:F48"/>
    <mergeCell ref="C61:F61"/>
    <mergeCell ref="C17:F17"/>
    <mergeCell ref="B47:F47"/>
    <mergeCell ref="C8:F8"/>
    <mergeCell ref="C7:F7"/>
    <mergeCell ref="C19:F19"/>
    <mergeCell ref="C57:F57"/>
    <mergeCell ref="B56:F56"/>
    <mergeCell ref="B21:F21"/>
    <mergeCell ref="C18:F18"/>
    <mergeCell ref="C53:F53"/>
    <mergeCell ref="C49:F49"/>
    <mergeCell ref="C6:F6"/>
    <mergeCell ref="C62:F62"/>
    <mergeCell ref="C15:F15"/>
    <mergeCell ref="B14:F14"/>
    <mergeCell ref="C42:F42"/>
    <mergeCell ref="C58:F58"/>
    <mergeCell ref="B29:F29"/>
    <mergeCell ref="C45:F45"/>
    <mergeCell ref="C16:F16"/>
    <mergeCell ref="C54:F54"/>
    <mergeCell ref="C41:F41"/>
    <mergeCell ref="C10:F10"/>
    <mergeCell ref="B40:F40"/>
    <mergeCell ref="C50:F50"/>
    <mergeCell ref="C44:F44"/>
    <mergeCell ref="C9:F9"/>
    <mergeCell ref="C43:F43"/>
    <mergeCell ref="C12:F12"/>
    <mergeCell ref="B5:F5"/>
    <mergeCell ref="C59:F59"/>
    <mergeCell ref="C11:F11"/>
    <mergeCell ref="C51:F51"/>
    <mergeCell ref="C60:F60"/>
  </mergeCell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B2:F53"/>
  <sheetViews>
    <sheetView showGridLines="0" workbookViewId="0">
      <selection activeCell="A1" sqref="A1"/>
    </sheetView>
  </sheetViews>
  <sheetFormatPr baseColWidth="8" defaultRowHeight="15"/>
  <cols>
    <col width="2" customWidth="1" min="1" max="1"/>
    <col width="38" customWidth="1" min="2" max="2"/>
    <col width="75" customWidth="1" min="3" max="3"/>
    <col width="30" customWidth="1" min="4" max="4"/>
    <col width="20" customWidth="1" min="5" max="5"/>
    <col width="20" customWidth="1" min="6" max="6"/>
  </cols>
  <sheetData>
    <row r="2">
      <c r="B2" s="1" t="inlineStr">
        <is>
          <t>Business Case — KK @ Delta (CTO; $3B IT spend; AI-Led Product Development Focus)</t>
        </is>
      </c>
    </row>
    <row r="3">
      <c r="B3" s="2" t="inlineStr">
        <is>
          <t>CTO with $3B IT + 100s of millions in app dev. Burning need: AI-led product development. HONEST read on AbarVa fit + how to play.</t>
        </is>
      </c>
    </row>
    <row r="5">
      <c r="B5" s="37" t="inlineStr">
        <is>
          <t>1. Prospect Snapshot — KK @ Delta</t>
        </is>
      </c>
      <c r="C5" s="98" t="n"/>
      <c r="D5" s="98" t="n"/>
      <c r="E5" s="98" t="n"/>
      <c r="F5" s="98" t="n"/>
    </row>
    <row r="6">
      <c r="B6" s="29" t="inlineStr">
        <is>
          <t>Buyer</t>
        </is>
      </c>
      <c r="C6" s="18" t="inlineStr">
        <is>
          <t>KK — CTO, owns IT infrastructure</t>
        </is>
      </c>
      <c r="D6" s="64" t="n"/>
      <c r="E6" s="64" t="n"/>
      <c r="F6" s="35" t="n"/>
    </row>
    <row r="7">
      <c r="B7" s="29" t="inlineStr">
        <is>
          <t>Budget</t>
        </is>
      </c>
      <c r="C7" s="18" t="inlineStr">
        <is>
          <t>$3B IT spend; $100s of millions in app/product development</t>
        </is>
      </c>
      <c r="D7" s="64" t="n"/>
      <c r="E7" s="64" t="n"/>
      <c r="F7" s="35" t="n"/>
    </row>
    <row r="8">
      <c r="B8" s="29" t="inlineStr">
        <is>
          <t>Modernization context</t>
        </is>
      </c>
      <c r="C8" s="18" t="inlineStr">
        <is>
          <t>AWS-related modernization in flight</t>
        </is>
      </c>
      <c r="D8" s="64" t="n"/>
      <c r="E8" s="64" t="n"/>
      <c r="F8" s="35" t="n"/>
    </row>
    <row r="9">
      <c r="B9" s="29" t="inlineStr">
        <is>
          <t>AI ownership</t>
        </is>
      </c>
      <c r="C9" s="18" t="inlineStr">
        <is>
          <t>Not in CTO scope traditionally — but AI-LED PRODUCT DEVELOPMENT is high on his agenda</t>
        </is>
      </c>
      <c r="D9" s="64" t="n"/>
      <c r="E9" s="64" t="n"/>
      <c r="F9" s="35" t="n"/>
    </row>
    <row r="10">
      <c r="B10" s="29" t="inlineStr">
        <is>
          <t>Burning need</t>
        </is>
      </c>
      <c r="C10" s="18" t="inlineStr">
        <is>
          <t>How to operationalize AI in software delivery at $100s-of-millions scale</t>
        </is>
      </c>
      <c r="D10" s="64" t="n"/>
      <c r="E10" s="64" t="n"/>
      <c r="F10" s="35" t="n"/>
    </row>
    <row r="11">
      <c r="B11" s="29" t="inlineStr">
        <is>
          <t>Other levers</t>
        </is>
      </c>
      <c r="C11" s="18" t="inlineStr">
        <is>
          <t>IMS / managed services consolidation; modernization program discipline</t>
        </is>
      </c>
      <c r="D11" s="64" t="n"/>
      <c r="E11" s="64" t="n"/>
      <c r="F11" s="35" t="n"/>
    </row>
    <row r="13">
      <c r="B13" s="37" t="inlineStr">
        <is>
          <t>2. HONEST READ — Where AbarVa fits + where it doesn't</t>
        </is>
      </c>
      <c r="C13" s="98" t="n"/>
      <c r="D13" s="98" t="n"/>
      <c r="E13" s="98" t="n"/>
      <c r="F13" s="98" t="n"/>
    </row>
    <row r="14">
      <c r="B14" s="29" t="inlineStr">
        <is>
          <t>Context layer fit</t>
        </is>
      </c>
      <c r="C14" s="18" t="inlineStr">
        <is>
          <t>STRONG. Any $3B IT shop has data silos / decision sprawl. AbarVa's broker/context-layer story is appealing.</t>
        </is>
      </c>
      <c r="D14" s="64" t="n"/>
      <c r="E14" s="64" t="n"/>
      <c r="F14" s="35" t="n"/>
    </row>
    <row r="15">
      <c r="B15" s="29" t="inlineStr">
        <is>
          <t>Industry corpus fit</t>
        </is>
      </c>
      <c r="C15" s="18" t="inlineStr">
        <is>
          <t>PARTIAL. Corpus today = healthcare/banking/retail BUSINESS workflows. NOT software-delivery patterns. Don't oversell.</t>
        </is>
      </c>
      <c r="D15" s="64" t="n"/>
      <c r="E15" s="64" t="n"/>
      <c r="F15" s="35" t="n"/>
    </row>
    <row r="16">
      <c r="B16" s="29" t="inlineStr">
        <is>
          <t>AI-led product dev fit</t>
        </is>
      </c>
      <c r="C16" s="18" t="inlineStr">
        <is>
          <t>AbarVa is NOT a developer productivity tool (Copilot/Cursor/Claude Code own that).</t>
        </is>
      </c>
      <c r="D16" s="64" t="n"/>
      <c r="E16" s="64" t="n"/>
      <c r="F16" s="35" t="n"/>
    </row>
    <row r="17">
      <c r="B17" s="29" t="inlineStr">
        <is>
          <t>Where AbarVa CAN play</t>
        </is>
      </c>
      <c r="C17" s="18" t="inlineStr">
        <is>
          <t>Governance + measurement + program management LAYER ABOVE the developer-AI tools. Not the methodology itself.</t>
        </is>
      </c>
      <c r="D17" s="64" t="n"/>
      <c r="E17" s="64" t="n"/>
      <c r="F17" s="35" t="n"/>
    </row>
    <row r="18">
      <c r="B18" s="29" t="inlineStr">
        <is>
          <t>Honest gap</t>
        </is>
      </c>
      <c r="C18" s="18" t="inlineStr">
        <is>
          <t>Software-engineering / AI-led-dev patterns aren't in your corpus today. If KK's primary itch is methodology, you don't scratch it directly.</t>
        </is>
      </c>
      <c r="D18" s="64" t="n"/>
      <c r="E18" s="64" t="n"/>
      <c r="F18" s="35" t="n"/>
    </row>
    <row r="20">
      <c r="B20" s="37" t="inlineStr">
        <is>
          <t>3. Three Plays (ranked by honesty + defensibility)</t>
        </is>
      </c>
      <c r="C20" s="98" t="n"/>
      <c r="D20" s="98" t="n"/>
      <c r="E20" s="98" t="n"/>
      <c r="F20" s="98" t="n"/>
    </row>
    <row r="21">
      <c r="B21" s="8" t="inlineStr">
        <is>
          <t>Play</t>
        </is>
      </c>
      <c r="C21" s="8" t="inlineStr">
        <is>
          <t>Pitch</t>
        </is>
      </c>
      <c r="D21" s="8" t="inlineStr">
        <is>
          <t>Risk</t>
        </is>
      </c>
    </row>
    <row r="22">
      <c r="B22" s="18" t="inlineStr">
        <is>
          <t>Play A: Governance/Measurement Layer (RECOMMENDED)</t>
        </is>
      </c>
      <c r="C22" s="18" t="inlineStr">
        <is>
          <t>'Copilot/Cursor/Claude Code give individual devs productivity. Bigger problem is at the PROGRAM level — which projects to AI-accelerate, methodology rollout, risk governance, true ROI measurement, vendor sprawl. AbarVa is the operating layer ABOVE the developer-AI tools.'</t>
        </is>
      </c>
      <c r="D22" s="18" t="inlineStr">
        <is>
          <t>Most defensible. Positions AbarVa where it actually plays.</t>
        </is>
      </c>
    </row>
    <row r="23">
      <c r="B23" s="18" t="inlineStr">
        <is>
          <t>Play B: Methodology Rollout Program OS</t>
        </is>
      </c>
      <c r="C23" s="18" t="inlineStr">
        <is>
          <t>'AI-led product development isn't a tool — it's a transformation program. New methodology, measurement, vendor portfolio, training, governance. AbarVa is the Move execution OS that turns methodology into measured outcomes across your $3B IT estate.'</t>
        </is>
      </c>
      <c r="D23" s="18" t="inlineStr">
        <is>
          <t>Lighter on what AbarVa specifically provides; heavier on program-management value.</t>
        </is>
      </c>
    </row>
    <row r="24">
      <c r="B24" s="18" t="inlineStr">
        <is>
          <t>Play C: Source-Module Wedge</t>
        </is>
      </c>
      <c r="C24" s="18" t="inlineStr">
        <is>
          <t>'You spend $3B in IT. Your AI dev tooling alone will be $20-50M annually. AbarVa Source gives you vendor portfolio intelligence to make those choices, measure those contracts, rationalize the spend.'</t>
        </is>
      </c>
      <c r="D24" s="18" t="inlineStr">
        <is>
          <t>Smallest deal but most defensible. Source-only at $50k/mo.</t>
        </is>
      </c>
    </row>
    <row r="26">
      <c r="B26" s="37" t="inlineStr">
        <is>
          <t>4. The Strategic Decision for AbarVa — Build a 'Software Delivery' Corpus Wave?</t>
        </is>
      </c>
      <c r="C26" s="98" t="n"/>
      <c r="D26" s="98" t="n"/>
      <c r="E26" s="98" t="n"/>
      <c r="F26" s="98" t="n"/>
    </row>
    <row r="27">
      <c r="B27" s="29" t="inlineStr">
        <is>
          <t>Why consider it</t>
        </is>
      </c>
      <c r="C27" s="18" t="inlineStr">
        <is>
          <t>Every large enterprise CTO faces this. 5-10 similar prospects. CTO TAM is bigger than just CDAO TAM.</t>
        </is>
      </c>
      <c r="D27" s="64" t="n"/>
      <c r="E27" s="64" t="n"/>
      <c r="F27" s="35" t="n"/>
    </row>
    <row r="28">
      <c r="B28" s="29" t="inlineStr">
        <is>
          <t>Investment</t>
        </is>
      </c>
      <c r="C28" s="18" t="inlineStr">
        <is>
          <t>~6-12 weeks to research + structure + author a software-delivery / AI-led-dev corpus wave.</t>
        </is>
      </c>
      <c r="D28" s="64" t="n"/>
      <c r="E28" s="64" t="n"/>
      <c r="F28" s="35" t="n"/>
    </row>
    <row r="29">
      <c r="B29" s="29" t="inlineStr">
        <is>
          <t>Strategic value</t>
        </is>
      </c>
      <c r="C29" s="18" t="inlineStr">
        <is>
          <t>Unlocks CTO-buyer segment. Differentiates AbarVa from generic AI workflow platforms.</t>
        </is>
      </c>
      <c r="D29" s="64" t="n"/>
      <c r="E29" s="64" t="n"/>
      <c r="F29" s="35" t="n"/>
    </row>
    <row r="30">
      <c r="B30" s="29" t="inlineStr">
        <is>
          <t>Risk if you DON'T</t>
        </is>
      </c>
      <c r="C30" s="18" t="inlineStr">
        <is>
          <t>Lose KK + similar deals because you can't credibly speak to their primary pain.</t>
        </is>
      </c>
      <c r="D30" s="64" t="n"/>
      <c r="E30" s="64" t="n"/>
      <c r="F30" s="35" t="n"/>
    </row>
    <row r="31">
      <c r="B31" s="29" t="inlineStr">
        <is>
          <t>Decision</t>
        </is>
      </c>
      <c r="C31" s="18" t="inlineStr">
        <is>
          <t>[OPEN] If pursuing KK-class deals, this is worth funding. If KK is one-off, skip.</t>
        </is>
      </c>
      <c r="D31" s="64" t="n"/>
      <c r="E31" s="64" t="n"/>
      <c r="F31" s="35" t="n"/>
    </row>
    <row r="32">
      <c r="B32" s="29" t="inlineStr">
        <is>
          <t>Watch-out</t>
        </is>
      </c>
      <c r="C32" s="18" t="inlineStr">
        <is>
          <t>Don't pretend the corpus is there when it isn't. Lose credibility once = lose forever.</t>
        </is>
      </c>
      <c r="D32" s="64" t="n"/>
      <c r="E32" s="64" t="n"/>
      <c r="F32" s="35" t="n"/>
    </row>
    <row r="34">
      <c r="B34" s="37" t="inlineStr">
        <is>
          <t>5. KK-Specific Value Levers (HONEST)</t>
        </is>
      </c>
      <c r="C34" s="98" t="n"/>
      <c r="D34" s="98" t="n"/>
      <c r="E34" s="98" t="n"/>
      <c r="F34" s="98" t="n"/>
    </row>
    <row r="35">
      <c r="B35" s="8" t="inlineStr">
        <is>
          <t>Lever</t>
        </is>
      </c>
      <c r="C35" s="8" t="inlineStr">
        <is>
          <t>Order-of-magnitude</t>
        </is>
      </c>
      <c r="D35" s="8" t="inlineStr">
        <is>
          <t>AbarVa enables how</t>
        </is>
      </c>
      <c r="E35" s="8" t="inlineStr">
        <is>
          <t>Confidence</t>
        </is>
      </c>
    </row>
    <row r="36">
      <c r="B36" s="18" t="inlineStr">
        <is>
          <t>AWS modernization program acceleration</t>
        </is>
      </c>
      <c r="C36" s="18" t="inlineStr">
        <is>
          <t>20-30% timeline reduction = $10-50M opportunity cost</t>
        </is>
      </c>
      <c r="D36" s="18" t="inlineStr">
        <is>
          <t>Moves = program execution OS</t>
        </is>
      </c>
      <c r="E36" s="18" t="inlineStr">
        <is>
          <t>HIGH</t>
        </is>
      </c>
    </row>
    <row r="37">
      <c r="B37" s="18" t="inlineStr">
        <is>
          <t>IMS / vendor consolidation</t>
        </is>
      </c>
      <c r="C37" s="18" t="inlineStr">
        <is>
          <t>5-10% on large IMS contracts = $5-10M</t>
        </is>
      </c>
      <c r="D37" s="18" t="inlineStr">
        <is>
          <t>Source = vendor intelligence</t>
        </is>
      </c>
      <c r="E37" s="18" t="inlineStr">
        <is>
          <t>HIGH</t>
        </is>
      </c>
    </row>
    <row r="38">
      <c r="B38" s="18" t="inlineStr">
        <is>
          <t>AI dev tool vendor management</t>
        </is>
      </c>
      <c r="C38" s="18" t="inlineStr">
        <is>
          <t>Rationalize $20-50M AI dev tooling spend</t>
        </is>
      </c>
      <c r="D38" s="18" t="inlineStr">
        <is>
          <t>Source module + decision audit</t>
        </is>
      </c>
      <c r="E38" s="18" t="inlineStr">
        <is>
          <t>MEDIUM-HIGH</t>
        </is>
      </c>
    </row>
    <row r="39">
      <c r="B39" s="18" t="inlineStr">
        <is>
          <t>AI-led product dev measurement/governance</t>
        </is>
      </c>
      <c r="C39" s="18" t="inlineStr">
        <is>
          <t>Avoid blown investment, document ROI</t>
        </is>
      </c>
      <c r="D39" s="18" t="inlineStr">
        <is>
          <t>Tower + evidence ledger</t>
        </is>
      </c>
      <c r="E39" s="18" t="inlineStr">
        <is>
          <t>MEDIUM (depends on corpus investment)</t>
        </is>
      </c>
    </row>
    <row r="40">
      <c r="B40" s="18" t="inlineStr">
        <is>
          <t>Decision audit for AI in production code</t>
        </is>
      </c>
      <c r="C40" s="18" t="inlineStr">
        <is>
          <t>Avoid security/IP/compliance issues</t>
        </is>
      </c>
      <c r="D40" s="18" t="inlineStr">
        <is>
          <t>Evidence ledger + AI Liability framework</t>
        </is>
      </c>
      <c r="E40" s="18" t="inlineStr">
        <is>
          <t>HIGH</t>
        </is>
      </c>
    </row>
    <row r="41">
      <c r="B41" s="18" t="inlineStr">
        <is>
          <t>Methodology rollout as managed program</t>
        </is>
      </c>
      <c r="C41" s="18" t="inlineStr">
        <is>
          <t>Faster, measurable transformation</t>
        </is>
      </c>
      <c r="D41" s="18" t="inlineStr">
        <is>
          <t>Moves + Tower</t>
        </is>
      </c>
      <c r="E41" s="18" t="inlineStr">
        <is>
          <t>MEDIUM</t>
        </is>
      </c>
    </row>
    <row r="43">
      <c r="B43" s="37" t="inlineStr">
        <is>
          <t>6. Stretch-Lane Pilot SOW (Two Lanes)</t>
        </is>
      </c>
      <c r="C43" s="98" t="n"/>
      <c r="D43" s="98" t="n"/>
      <c r="E43" s="98" t="n"/>
      <c r="F43" s="98" t="n"/>
    </row>
    <row r="44">
      <c r="B44" s="8" t="inlineStr">
        <is>
          <t>Lane</t>
        </is>
      </c>
      <c r="C44" s="8" t="inlineStr">
        <is>
          <t>Scope</t>
        </is>
      </c>
      <c r="D44" s="8" t="inlineStr">
        <is>
          <t>Priority</t>
        </is>
      </c>
    </row>
    <row r="45">
      <c r="B45" s="18" t="inlineStr">
        <is>
          <t>Lane A (CTO core, P0)</t>
        </is>
      </c>
      <c r="C45" s="18" t="inlineStr">
        <is>
          <t>Modernization program execution + Source module for IMS contracts. 2 Moves at execution by day 60. $5-10M identified value pipeline.</t>
        </is>
      </c>
      <c r="D45" s="18" t="inlineStr">
        <is>
          <t>P0 — must deliver</t>
        </is>
      </c>
    </row>
    <row r="46">
      <c r="B46" s="18" t="inlineStr">
        <is>
          <t>Lane B (AI-led dev measurement, P1)</t>
        </is>
      </c>
      <c r="C46" s="18" t="inlineStr">
        <is>
          <t>1 Move scoped on 'AI development program governance/measurement.' Pilot the AI Liability framework + evidence ledger on actual dev work. Roadmap drafted for full methodology rollout.</t>
        </is>
      </c>
      <c r="D46" s="18" t="inlineStr">
        <is>
          <t>P1 — stretch / explore</t>
        </is>
      </c>
    </row>
    <row r="47">
      <c r="B47" s="18" t="inlineStr">
        <is>
          <t>Lane C (Future, if corpus invested)</t>
        </is>
      </c>
      <c r="C47" s="18" t="inlineStr">
        <is>
          <t>Once software-delivery corpus wave is authored, expand Lane B into a full methodology + governance + measurement Move portfolio.</t>
        </is>
      </c>
      <c r="D47" s="18" t="inlineStr">
        <is>
          <t>Future — depends on corpus decision</t>
        </is>
      </c>
    </row>
    <row r="49">
      <c r="B49" s="37" t="inlineStr">
        <is>
          <t>7. What to Say When KK Pushes — 'But you don't solve our methodology problem'</t>
        </is>
      </c>
      <c r="C49" s="98" t="n"/>
      <c r="D49" s="98" t="n"/>
      <c r="E49" s="98" t="n"/>
      <c r="F49" s="98" t="n"/>
    </row>
    <row r="50">
      <c r="B50" s="29" t="inlineStr">
        <is>
          <t>Acknowledge honestly</t>
        </is>
      </c>
      <c r="C50" s="18" t="inlineStr">
        <is>
          <t>'You're right. Methodology = GitHub Copilot's / Anthropic Claude Code's / your consulting partner's problem. We solve the layer ABOVE — knowing what to do with all that, measuring it, governing it.'</t>
        </is>
      </c>
      <c r="D50" s="64" t="n"/>
      <c r="E50" s="64" t="n"/>
      <c r="F50" s="35" t="n"/>
    </row>
    <row r="51">
      <c r="B51" s="29" t="inlineStr">
        <is>
          <t>Pivot to value</t>
        </is>
      </c>
      <c r="C51" s="18" t="inlineStr">
        <is>
          <t>'You can have the best methodology in the world. If you can't measure ROI across 1000 developers and 50 projects, you can't justify the next $50M investment. AbarVa is that measurement + governance layer.'</t>
        </is>
      </c>
      <c r="D51" s="64" t="n"/>
      <c r="E51" s="64" t="n"/>
      <c r="F51" s="35" t="n"/>
    </row>
    <row r="52">
      <c r="B52" s="29" t="inlineStr">
        <is>
          <t>Offer Lane B as test</t>
        </is>
      </c>
      <c r="C52" s="18" t="inlineStr">
        <is>
          <t>'Let's pilot the measurement/governance framework on a real AI-dev program. If it works, we scale. If it doesn't, you've learned at $300k.'</t>
        </is>
      </c>
      <c r="D52" s="64" t="n"/>
      <c r="E52" s="64" t="n"/>
      <c r="F52" s="35" t="n"/>
    </row>
    <row r="53">
      <c r="B53" s="29" t="inlineStr">
        <is>
          <t>Don't oversell</t>
        </is>
      </c>
      <c r="C53" s="18" t="inlineStr">
        <is>
          <t>If KK's primary itch is methodology itself and Lane B doesn't move him, walk. Don't promise corpus you don't have. Disappointment 6 months in kills renewal AND reference.</t>
        </is>
      </c>
      <c r="D53" s="64" t="n"/>
      <c r="E53" s="64" t="n"/>
      <c r="F53" s="35" t="n"/>
    </row>
  </sheetData>
  <mergeCells count="28">
    <mergeCell ref="C52:F52"/>
    <mergeCell ref="C17:F17"/>
    <mergeCell ref="C8:F8"/>
    <mergeCell ref="C7:F7"/>
    <mergeCell ref="C32:F32"/>
    <mergeCell ref="C28:F28"/>
    <mergeCell ref="C18:F18"/>
    <mergeCell ref="B43:F43"/>
    <mergeCell ref="C53:F53"/>
    <mergeCell ref="C6:F6"/>
    <mergeCell ref="C30:F30"/>
    <mergeCell ref="C15:F15"/>
    <mergeCell ref="C14:F14"/>
    <mergeCell ref="B13:F13"/>
    <mergeCell ref="B34:F34"/>
    <mergeCell ref="C29:F29"/>
    <mergeCell ref="C16:F16"/>
    <mergeCell ref="C10:F10"/>
    <mergeCell ref="C50:F50"/>
    <mergeCell ref="B49:F49"/>
    <mergeCell ref="C9:F9"/>
    <mergeCell ref="C31:F31"/>
    <mergeCell ref="B20:F20"/>
    <mergeCell ref="B5:F5"/>
    <mergeCell ref="C11:F11"/>
    <mergeCell ref="C51:F51"/>
    <mergeCell ref="C27:F27"/>
    <mergeCell ref="B26:F26"/>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B2:F43"/>
  <sheetViews>
    <sheetView showGridLines="0" workbookViewId="0">
      <selection activeCell="A1" sqref="A1"/>
    </sheetView>
  </sheetViews>
  <sheetFormatPr baseColWidth="8" defaultRowHeight="15"/>
  <cols>
    <col width="2" customWidth="1" min="1" max="1"/>
    <col width="16" customWidth="1" min="2" max="2"/>
    <col width="42" customWidth="1" min="3" max="3"/>
    <col width="50" customWidth="1" min="4" max="4"/>
    <col width="28" customWidth="1" min="5" max="5"/>
    <col width="10" customWidth="1" min="6" max="6"/>
  </cols>
  <sheetData>
    <row r="2">
      <c r="B2" s="1" t="inlineStr">
        <is>
          <t>Security Pack — F500 Vendor Questionnaire Pre-Fill</t>
        </is>
      </c>
    </row>
    <row r="3">
      <c r="B3" s="2" t="inlineStr">
        <is>
          <t>Your canonical answers. Update once, reuse across every deal.</t>
        </is>
      </c>
    </row>
    <row r="5">
      <c r="B5" s="8" t="inlineStr">
        <is>
          <t>Domain</t>
        </is>
      </c>
      <c r="C5" s="8" t="inlineStr">
        <is>
          <t>Question</t>
        </is>
      </c>
      <c r="D5" s="8" t="inlineStr">
        <is>
          <t>Answer</t>
        </is>
      </c>
      <c r="E5" s="8" t="inlineStr">
        <is>
          <t>Evidence/Reference</t>
        </is>
      </c>
      <c r="F5" s="8" t="inlineStr">
        <is>
          <t>Status</t>
        </is>
      </c>
    </row>
    <row r="6">
      <c r="B6" s="29" t="inlineStr">
        <is>
          <t>Corporate</t>
        </is>
      </c>
      <c r="C6" s="18" t="inlineStr">
        <is>
          <t>Legal entity name and jurisdiction</t>
        </is>
      </c>
      <c r="D6" s="18" t="inlineStr">
        <is>
          <t>AbarVa Inc., Delaware C-Corporation</t>
        </is>
      </c>
      <c r="E6" s="18" t="inlineStr">
        <is>
          <t>Certificate of Incorporation</t>
        </is>
      </c>
      <c r="F6" s="18" t="inlineStr">
        <is>
          <t>TODO</t>
        </is>
      </c>
    </row>
    <row r="7">
      <c r="B7" s="29" t="inlineStr">
        <is>
          <t>Corporate</t>
        </is>
      </c>
      <c r="C7" s="18" t="inlineStr">
        <is>
          <t>Year founded</t>
        </is>
      </c>
      <c r="D7" s="18" t="inlineStr">
        <is>
          <t>2026</t>
        </is>
      </c>
      <c r="E7" s="18" t="inlineStr">
        <is>
          <t>Certificate of Incorporation</t>
        </is>
      </c>
      <c r="F7" s="18" t="inlineStr">
        <is>
          <t>TODO</t>
        </is>
      </c>
    </row>
    <row r="8">
      <c r="B8" s="29" t="inlineStr">
        <is>
          <t>Corporate</t>
        </is>
      </c>
      <c r="C8" s="18" t="inlineStr">
        <is>
          <t>Number of employees</t>
        </is>
      </c>
      <c r="D8" s="18" t="inlineStr">
        <is>
          <t>1 founder (scaling planned post-pilot)</t>
        </is>
      </c>
      <c r="E8" s="18" t="inlineStr">
        <is>
          <t>Internal</t>
        </is>
      </c>
      <c r="F8" s="18" t="inlineStr">
        <is>
          <t>Done</t>
        </is>
      </c>
    </row>
    <row r="9">
      <c r="B9" s="29" t="inlineStr">
        <is>
          <t>Corporate</t>
        </is>
      </c>
      <c r="C9" s="18" t="inlineStr">
        <is>
          <t>D&amp;B / DUNS number</t>
        </is>
      </c>
      <c r="D9" s="18" t="inlineStr">
        <is>
          <t>TBD — apply post-incorporation</t>
        </is>
      </c>
      <c r="E9" s="18" t="inlineStr">
        <is>
          <t>Dun &amp; Bradstreet</t>
        </is>
      </c>
      <c r="F9" s="18" t="inlineStr">
        <is>
          <t>TODO</t>
        </is>
      </c>
    </row>
    <row r="10">
      <c r="B10" s="29" t="inlineStr">
        <is>
          <t>Insurance</t>
        </is>
      </c>
      <c r="C10" s="18" t="inlineStr">
        <is>
          <t>General liability coverage</t>
        </is>
      </c>
      <c r="D10" s="18" t="inlineStr">
        <is>
          <t>$2-5M (to be bound pre-signing)</t>
        </is>
      </c>
      <c r="E10" s="18" t="inlineStr">
        <is>
          <t>COI from Vouch/Founder Shield</t>
        </is>
      </c>
      <c r="F10" s="18" t="inlineStr">
        <is>
          <t>TODO</t>
        </is>
      </c>
    </row>
    <row r="11">
      <c r="B11" s="29" t="inlineStr">
        <is>
          <t>Insurance</t>
        </is>
      </c>
      <c r="C11" s="18" t="inlineStr">
        <is>
          <t>Cyber liability coverage</t>
        </is>
      </c>
      <c r="D11" s="18" t="inlineStr">
        <is>
          <t>$2-5M (to be bound pre-signing)</t>
        </is>
      </c>
      <c r="E11" s="18" t="inlineStr">
        <is>
          <t>COI from Vouch/Founder Shield</t>
        </is>
      </c>
      <c r="F11" s="18" t="inlineStr">
        <is>
          <t>TODO</t>
        </is>
      </c>
    </row>
    <row r="12">
      <c r="B12" s="29" t="inlineStr">
        <is>
          <t>Insurance</t>
        </is>
      </c>
      <c r="C12" s="18" t="inlineStr">
        <is>
          <t>Professional liability / E&amp;O</t>
        </is>
      </c>
      <c r="D12" s="18" t="inlineStr">
        <is>
          <t>$2-5M (to be bound pre-signing)</t>
        </is>
      </c>
      <c r="E12" s="18" t="inlineStr">
        <is>
          <t>COI from Vouch/Founder Shield</t>
        </is>
      </c>
      <c r="F12" s="18" t="inlineStr">
        <is>
          <t>TODO</t>
        </is>
      </c>
    </row>
    <row r="13">
      <c r="B13" s="29" t="inlineStr">
        <is>
          <t>Compliance</t>
        </is>
      </c>
      <c r="C13" s="18" t="inlineStr">
        <is>
          <t>SOC 2 Type 1</t>
        </is>
      </c>
      <c r="D13" s="18" t="inlineStr">
        <is>
          <t>In progress via Vanta/Drata, target [date]</t>
        </is>
      </c>
      <c r="E13" s="18" t="inlineStr">
        <is>
          <t>Auditor letter</t>
        </is>
      </c>
      <c r="F13" s="18" t="inlineStr">
        <is>
          <t>TODO</t>
        </is>
      </c>
    </row>
    <row r="14">
      <c r="B14" s="29" t="inlineStr">
        <is>
          <t>Compliance</t>
        </is>
      </c>
      <c r="C14" s="18" t="inlineStr">
        <is>
          <t>SOC 2 Type 2</t>
        </is>
      </c>
      <c r="D14" s="18" t="inlineStr">
        <is>
          <t>Roadmap: observation period starting [date]</t>
        </is>
      </c>
      <c r="E14" s="18" t="inlineStr">
        <is>
          <t>Roadmap doc</t>
        </is>
      </c>
      <c r="F14" s="18" t="inlineStr">
        <is>
          <t>TODO</t>
        </is>
      </c>
    </row>
    <row r="15">
      <c r="B15" s="29" t="inlineStr">
        <is>
          <t>Compliance</t>
        </is>
      </c>
      <c r="C15" s="18" t="inlineStr">
        <is>
          <t>ISO 27001</t>
        </is>
      </c>
      <c r="D15" s="18" t="inlineStr">
        <is>
          <t>Not currently certified</t>
        </is>
      </c>
      <c r="E15" s="18" t="inlineStr">
        <is>
          <t>—</t>
        </is>
      </c>
      <c r="F15" s="18" t="inlineStr">
        <is>
          <t>Done</t>
        </is>
      </c>
    </row>
    <row r="16">
      <c r="B16" s="29" t="inlineStr">
        <is>
          <t>Compliance</t>
        </is>
      </c>
      <c r="C16" s="18" t="inlineStr">
        <is>
          <t>HIPAA / BAA capable</t>
        </is>
      </c>
      <c r="D16" s="18" t="inlineStr">
        <is>
          <t>Available on request via PHI/PII addendum + BAA</t>
        </is>
      </c>
      <c r="E16" s="18" t="inlineStr">
        <is>
          <t>BAA template</t>
        </is>
      </c>
      <c r="F16" s="18" t="inlineStr">
        <is>
          <t>TODO</t>
        </is>
      </c>
    </row>
    <row r="17">
      <c r="B17" s="29" t="inlineStr">
        <is>
          <t>Compliance</t>
        </is>
      </c>
      <c r="C17" s="18" t="inlineStr">
        <is>
          <t>GDPR DPA available</t>
        </is>
      </c>
      <c r="D17" s="18" t="inlineStr">
        <is>
          <t>Yes, IAPP-based template</t>
        </is>
      </c>
      <c r="E17" s="18" t="inlineStr">
        <is>
          <t>DPA template</t>
        </is>
      </c>
      <c r="F17" s="18" t="inlineStr">
        <is>
          <t>TODO</t>
        </is>
      </c>
    </row>
    <row r="18">
      <c r="B18" s="29" t="inlineStr">
        <is>
          <t>Compliance</t>
        </is>
      </c>
      <c r="C18" s="18" t="inlineStr">
        <is>
          <t>Subprocessor list published</t>
        </is>
      </c>
      <c r="D18" s="18" t="inlineStr">
        <is>
          <t>abarva.com/subprocessors</t>
        </is>
      </c>
      <c r="E18" s="18" t="inlineStr">
        <is>
          <t>Web page</t>
        </is>
      </c>
      <c r="F18" s="18" t="inlineStr">
        <is>
          <t>TODO</t>
        </is>
      </c>
    </row>
    <row r="19">
      <c r="B19" s="29" t="inlineStr">
        <is>
          <t>Architecture</t>
        </is>
      </c>
      <c r="C19" s="18" t="inlineStr">
        <is>
          <t>Multi-tenant or single-tenant data isolation?</t>
        </is>
      </c>
      <c r="D19" s="18" t="inlineStr">
        <is>
          <t>Hybrid: multi-tenant control plane (Vercel) + per-client single-tenant data plane (client Azure subscription)</t>
        </is>
      </c>
      <c r="E19" s="18" t="inlineStr">
        <is>
          <t>Architecture ADR</t>
        </is>
      </c>
      <c r="F19" s="18" t="inlineStr">
        <is>
          <t>TODO</t>
        </is>
      </c>
    </row>
    <row r="20">
      <c r="B20" s="29" t="inlineStr">
        <is>
          <t>Architecture</t>
        </is>
      </c>
      <c r="C20" s="18" t="inlineStr">
        <is>
          <t>Where does customer data reside?</t>
        </is>
      </c>
      <c r="D20" s="18" t="inlineStr">
        <is>
          <t>In customer's Azure tenant (region of customer choice). Data never leaves customer tenant.</t>
        </is>
      </c>
      <c r="E20" s="18" t="inlineStr">
        <is>
          <t>Architecture diagram</t>
        </is>
      </c>
      <c r="F20" s="18" t="inlineStr">
        <is>
          <t>TODO</t>
        </is>
      </c>
    </row>
    <row r="21">
      <c r="B21" s="29" t="inlineStr">
        <is>
          <t>Architecture</t>
        </is>
      </c>
      <c r="C21" s="18" t="inlineStr">
        <is>
          <t>Encryption at rest</t>
        </is>
      </c>
      <c r="D21" s="18" t="inlineStr">
        <is>
          <t>AES-256 via Azure platform encryption + optional CMK</t>
        </is>
      </c>
      <c r="E21" s="18" t="inlineStr">
        <is>
          <t>Azure docs</t>
        </is>
      </c>
      <c r="F21" s="18" t="inlineStr">
        <is>
          <t>Done</t>
        </is>
      </c>
    </row>
    <row r="22">
      <c r="B22" s="29" t="inlineStr">
        <is>
          <t>Architecture</t>
        </is>
      </c>
      <c r="C22" s="18" t="inlineStr">
        <is>
          <t>Encryption in transit</t>
        </is>
      </c>
      <c r="D22" s="18" t="inlineStr">
        <is>
          <t>TLS 1.2+ end-to-end</t>
        </is>
      </c>
      <c r="E22" s="18" t="inlineStr">
        <is>
          <t>Vercel + Azure defaults</t>
        </is>
      </c>
      <c r="F22" s="18" t="inlineStr">
        <is>
          <t>Done</t>
        </is>
      </c>
    </row>
    <row r="23">
      <c r="B23" s="29" t="inlineStr">
        <is>
          <t>Architecture</t>
        </is>
      </c>
      <c r="C23" s="18" t="inlineStr">
        <is>
          <t>Customer-managed keys (CMK / BYOK)</t>
        </is>
      </c>
      <c r="D23" s="18" t="inlineStr">
        <is>
          <t>Available via Azure Key Vault on request</t>
        </is>
      </c>
      <c r="E23" s="18" t="inlineStr">
        <is>
          <t>Implementation plan</t>
        </is>
      </c>
      <c r="F23" s="18" t="inlineStr">
        <is>
          <t>TODO</t>
        </is>
      </c>
    </row>
    <row r="24">
      <c r="B24" s="29" t="inlineStr">
        <is>
          <t>Access</t>
        </is>
      </c>
      <c r="C24" s="18" t="inlineStr">
        <is>
          <t>SSO support (SAML / OIDC)</t>
        </is>
      </c>
      <c r="D24" s="18" t="inlineStr">
        <is>
          <t>Yes via Clerk Organizations — supports Entra ID, Okta, Ping, Google Workspace</t>
        </is>
      </c>
      <c r="E24" s="18" t="inlineStr">
        <is>
          <t>Clerk docs</t>
        </is>
      </c>
      <c r="F24" s="18" t="inlineStr">
        <is>
          <t>TODO</t>
        </is>
      </c>
    </row>
    <row r="25">
      <c r="B25" s="29" t="inlineStr">
        <is>
          <t>Access</t>
        </is>
      </c>
      <c r="C25" s="18" t="inlineStr">
        <is>
          <t>SCIM provisioning</t>
        </is>
      </c>
      <c r="D25" s="18" t="inlineStr">
        <is>
          <t>Yes via Clerk</t>
        </is>
      </c>
      <c r="E25" s="18" t="inlineStr">
        <is>
          <t>Clerk docs</t>
        </is>
      </c>
      <c r="F25" s="18" t="inlineStr">
        <is>
          <t>TODO</t>
        </is>
      </c>
    </row>
    <row r="26">
      <c r="B26" s="29" t="inlineStr">
        <is>
          <t>Access</t>
        </is>
      </c>
      <c r="C26" s="18" t="inlineStr">
        <is>
          <t>MFA enforcement</t>
        </is>
      </c>
      <c r="D26" s="18" t="inlineStr">
        <is>
          <t>Required for all users via Clerk</t>
        </is>
      </c>
      <c r="E26" s="18" t="inlineStr">
        <is>
          <t>Clerk policy</t>
        </is>
      </c>
      <c r="F26" s="18" t="inlineStr">
        <is>
          <t>TODO</t>
        </is>
      </c>
    </row>
    <row r="27">
      <c r="B27" s="29" t="inlineStr">
        <is>
          <t>Access</t>
        </is>
      </c>
      <c r="C27" s="18" t="inlineStr">
        <is>
          <t>RBAC granularity</t>
        </is>
      </c>
      <c r="D27" s="18" t="inlineStr">
        <is>
          <t>Role-based (admin, maestro, contributor, viewer) + per-user RLS on data plane</t>
        </is>
      </c>
      <c r="E27" s="18" t="inlineStr">
        <is>
          <t>Roles matrix</t>
        </is>
      </c>
      <c r="F27" s="18" t="inlineStr">
        <is>
          <t>TODO</t>
        </is>
      </c>
    </row>
    <row r="28">
      <c r="B28" s="29" t="inlineStr">
        <is>
          <t>Operations</t>
        </is>
      </c>
      <c r="C28" s="18" t="inlineStr">
        <is>
          <t>Uptime SLA offered</t>
        </is>
      </c>
      <c r="D28" s="18" t="inlineStr">
        <is>
          <t>99.5% monthly, credits up to 25% of monthly fee</t>
        </is>
      </c>
      <c r="E28" s="18" t="inlineStr">
        <is>
          <t>MSA section</t>
        </is>
      </c>
      <c r="F28" s="18" t="inlineStr">
        <is>
          <t>TODO</t>
        </is>
      </c>
    </row>
    <row r="29">
      <c r="B29" s="29" t="inlineStr">
        <is>
          <t>Operations</t>
        </is>
      </c>
      <c r="C29" s="18" t="inlineStr">
        <is>
          <t>RPO / RTO</t>
        </is>
      </c>
      <c r="D29" s="18" t="inlineStr">
        <is>
          <t>RPO 1 hour / RTO 4 hours</t>
        </is>
      </c>
      <c r="E29" s="18" t="inlineStr">
        <is>
          <t>DR runbook</t>
        </is>
      </c>
      <c r="F29" s="18" t="inlineStr">
        <is>
          <t>TODO</t>
        </is>
      </c>
    </row>
    <row r="30">
      <c r="B30" s="29" t="inlineStr">
        <is>
          <t>Operations</t>
        </is>
      </c>
      <c r="C30" s="18" t="inlineStr">
        <is>
          <t>Backup frequency and retention</t>
        </is>
      </c>
      <c r="D30" s="18" t="inlineStr">
        <is>
          <t>Daily snapshots, 30-day retention; weekly snapshots, 12-month retention</t>
        </is>
      </c>
      <c r="E30" s="18" t="inlineStr">
        <is>
          <t>Backup policy</t>
        </is>
      </c>
      <c r="F30" s="18" t="inlineStr">
        <is>
          <t>TODO</t>
        </is>
      </c>
    </row>
    <row r="31">
      <c r="B31" s="29" t="inlineStr">
        <is>
          <t>Operations</t>
        </is>
      </c>
      <c r="C31" s="18" t="inlineStr">
        <is>
          <t>Incident response SLA</t>
        </is>
      </c>
      <c r="D31" s="18" t="inlineStr">
        <is>
          <t>P1 1h response / 4h target restore; P2 next business day</t>
        </is>
      </c>
      <c r="E31" s="18" t="inlineStr">
        <is>
          <t>IR plan</t>
        </is>
      </c>
      <c r="F31" s="18" t="inlineStr">
        <is>
          <t>TODO</t>
        </is>
      </c>
    </row>
    <row r="32">
      <c r="B32" s="29" t="inlineStr">
        <is>
          <t>Operations</t>
        </is>
      </c>
      <c r="C32" s="18" t="inlineStr">
        <is>
          <t>Breach notification SLA</t>
        </is>
      </c>
      <c r="D32" s="18" t="inlineStr">
        <is>
          <t>72 hours from confirmed breach</t>
        </is>
      </c>
      <c r="E32" s="18" t="inlineStr">
        <is>
          <t>IR plan</t>
        </is>
      </c>
      <c r="F32" s="18" t="inlineStr">
        <is>
          <t>TODO</t>
        </is>
      </c>
    </row>
    <row r="33">
      <c r="B33" s="29" t="inlineStr">
        <is>
          <t>Operations</t>
        </is>
      </c>
      <c r="C33" s="18" t="inlineStr">
        <is>
          <t>Status page</t>
        </is>
      </c>
      <c r="D33" s="18" t="inlineStr">
        <is>
          <t>status.abarva.com (statuspage.io)</t>
        </is>
      </c>
      <c r="E33" s="18" t="inlineStr">
        <is>
          <t>Status page</t>
        </is>
      </c>
      <c r="F33" s="18" t="inlineStr">
        <is>
          <t>TODO</t>
        </is>
      </c>
    </row>
    <row r="34">
      <c r="B34" s="29" t="inlineStr">
        <is>
          <t>Operations</t>
        </is>
      </c>
      <c r="C34" s="18" t="inlineStr">
        <is>
          <t>Audit log retention</t>
        </is>
      </c>
      <c r="D34" s="18" t="inlineStr">
        <is>
          <t>12-24 months in Azure Immutable Blob Storage</t>
        </is>
      </c>
      <c r="E34" s="18" t="inlineStr">
        <is>
          <t>Audit log policy</t>
        </is>
      </c>
      <c r="F34" s="18" t="inlineStr">
        <is>
          <t>TODO</t>
        </is>
      </c>
    </row>
    <row r="35">
      <c r="B35" s="29" t="inlineStr">
        <is>
          <t>Security testing</t>
        </is>
      </c>
      <c r="C35" s="18" t="inlineStr">
        <is>
          <t>External penetration test cadence</t>
        </is>
      </c>
      <c r="D35" s="18" t="inlineStr">
        <is>
          <t>Annual via Cobalt/Bishop Fox; first test scheduled [date]</t>
        </is>
      </c>
      <c r="E35" s="18" t="inlineStr">
        <is>
          <t>Pen test report</t>
        </is>
      </c>
      <c r="F35" s="18" t="inlineStr">
        <is>
          <t>TODO</t>
        </is>
      </c>
    </row>
    <row r="36">
      <c r="B36" s="29" t="inlineStr">
        <is>
          <t>Security testing</t>
        </is>
      </c>
      <c r="C36" s="18" t="inlineStr">
        <is>
          <t>Internal vulnerability scanning</t>
        </is>
      </c>
      <c r="D36" s="18" t="inlineStr">
        <is>
          <t>Continuous via Vanta/Drata monitoring</t>
        </is>
      </c>
      <c r="E36" s="18" t="inlineStr">
        <is>
          <t>Vanta dashboard</t>
        </is>
      </c>
      <c r="F36" s="18" t="inlineStr">
        <is>
          <t>TODO</t>
        </is>
      </c>
    </row>
    <row r="37">
      <c r="B37" s="29" t="inlineStr">
        <is>
          <t>Personnel</t>
        </is>
      </c>
      <c r="C37" s="18" t="inlineStr">
        <is>
          <t>Background checks on personnel</t>
        </is>
      </c>
      <c r="D37" s="18" t="inlineStr">
        <is>
          <t>All personnel undergo standard background checks (Checkr)</t>
        </is>
      </c>
      <c r="E37" s="18" t="inlineStr">
        <is>
          <t>Checkr policy</t>
        </is>
      </c>
      <c r="F37" s="18" t="inlineStr">
        <is>
          <t>TODO</t>
        </is>
      </c>
    </row>
    <row r="38">
      <c r="B38" s="29" t="inlineStr">
        <is>
          <t>Personnel</t>
        </is>
      </c>
      <c r="C38" s="18" t="inlineStr">
        <is>
          <t>Security awareness training</t>
        </is>
      </c>
      <c r="D38" s="18" t="inlineStr">
        <is>
          <t>Annual via Vanta/Drata training module</t>
        </is>
      </c>
      <c r="E38" s="18" t="inlineStr">
        <is>
          <t>Training records</t>
        </is>
      </c>
      <c r="F38" s="18" t="inlineStr">
        <is>
          <t>TODO</t>
        </is>
      </c>
    </row>
    <row r="39">
      <c r="B39" s="29" t="inlineStr">
        <is>
          <t>Data</t>
        </is>
      </c>
      <c r="C39" s="18" t="inlineStr">
        <is>
          <t>Data return on termination</t>
        </is>
      </c>
      <c r="D39" s="18" t="inlineStr">
        <is>
          <t>Yes, within 30 days; written certification of deletion</t>
        </is>
      </c>
      <c r="E39" s="18" t="inlineStr">
        <is>
          <t>Termination runbook</t>
        </is>
      </c>
      <c r="F39" s="18" t="inlineStr">
        <is>
          <t>TODO</t>
        </is>
      </c>
    </row>
    <row r="40">
      <c r="B40" s="29" t="inlineStr">
        <is>
          <t>Data</t>
        </is>
      </c>
      <c r="C40" s="18" t="inlineStr">
        <is>
          <t>PHI/PII handling</t>
        </is>
      </c>
      <c r="D40" s="18" t="inlineStr">
        <is>
          <t>Pre-ingest scanner (Presidio); quarantine on detection; no PHI without prior BAA</t>
        </is>
      </c>
      <c r="E40" s="18" t="inlineStr">
        <is>
          <t>Scanner config</t>
        </is>
      </c>
      <c r="F40" s="18" t="inlineStr">
        <is>
          <t>TODO</t>
        </is>
      </c>
    </row>
    <row r="41">
      <c r="B41" s="29" t="inlineStr">
        <is>
          <t>AI / LLM</t>
        </is>
      </c>
      <c r="C41" s="18" t="inlineStr">
        <is>
          <t>Sub-processors used for AI inference</t>
        </is>
      </c>
      <c r="D41" s="18" t="inlineStr">
        <is>
          <t>Anthropic Claude, OpenAI (model details on request)</t>
        </is>
      </c>
      <c r="E41" s="18" t="inlineStr">
        <is>
          <t>Subprocessor page</t>
        </is>
      </c>
      <c r="F41" s="18" t="inlineStr">
        <is>
          <t>Done</t>
        </is>
      </c>
    </row>
    <row r="42">
      <c r="B42" s="29" t="inlineStr">
        <is>
          <t>AI / LLM</t>
        </is>
      </c>
      <c r="C42" s="18" t="inlineStr">
        <is>
          <t>Customer data used for model training</t>
        </is>
      </c>
      <c r="D42" s="18" t="inlineStr">
        <is>
          <t>Never. Zero data retention with all AI providers.</t>
        </is>
      </c>
      <c r="E42" s="18" t="inlineStr">
        <is>
          <t>Provider DPA + AI policy</t>
        </is>
      </c>
      <c r="F42" s="18" t="inlineStr">
        <is>
          <t>TODO</t>
        </is>
      </c>
    </row>
    <row r="43">
      <c r="B43" s="29" t="inlineStr">
        <is>
          <t>AI / LLM</t>
        </is>
      </c>
      <c r="C43" s="18" t="inlineStr">
        <is>
          <t>Prompt and output logging</t>
        </is>
      </c>
      <c r="D43" s="18" t="inlineStr">
        <is>
          <t>Logged in customer's data plane only; never sent to AbarVa control plane</t>
        </is>
      </c>
      <c r="E43" s="18" t="inlineStr">
        <is>
          <t>Logging architecture</t>
        </is>
      </c>
      <c r="F43" s="18" t="inlineStr">
        <is>
          <t>TODO</t>
        </is>
      </c>
    </row>
  </sheetData>
  <conditionalFormatting sqref="F6:F93">
    <cfRule type="cellIs" priority="1" operator="equal" dxfId="6">
      <formula>"TODO"</formula>
    </cfRule>
    <cfRule type="cellIs" priority="2" operator="equal" dxfId="7">
      <formula>"Done"</formula>
    </cfRule>
    <cfRule type="cellIs" priority="3" operator="equal" dxfId="9">
      <formula>"N/A"</formula>
    </cfRule>
  </conditionalFormatting>
  <dataValidations count="1">
    <dataValidation sqref="F6:F93" showDropDown="0" showInputMessage="0" showErrorMessage="0" allowBlank="0" type="list">
      <formula1>"TODO,Done,N/A"</formula1>
    </dataValidation>
  </dataValidation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B2:G35"/>
  <sheetViews>
    <sheetView showGridLines="0" workbookViewId="0">
      <selection activeCell="A1" sqref="A1"/>
    </sheetView>
  </sheetViews>
  <sheetFormatPr baseColWidth="8" defaultRowHeight="15"/>
  <cols>
    <col width="2" customWidth="1" min="1" max="1"/>
    <col width="6" customWidth="1" min="2" max="2"/>
    <col width="22" customWidth="1" min="3" max="3"/>
    <col width="38" customWidth="1" min="4" max="4"/>
    <col width="42" customWidth="1" min="5" max="5"/>
    <col width="38" customWidth="1" min="6" max="6"/>
    <col width="38" customWidth="1" min="7" max="7"/>
  </cols>
  <sheetData>
    <row r="2">
      <c r="B2" s="1" t="inlineStr">
        <is>
          <t>Contract Redline Brief — 8 Non-Negotiables</t>
        </is>
      </c>
    </row>
    <row r="3">
      <c r="B3" s="2" t="inlineStr">
        <is>
          <t>Apply to every client MSA. Hold the line on top 3 (Liability, IP, MFN). Walk if needed.</t>
        </is>
      </c>
    </row>
    <row r="5">
      <c r="B5" s="8" t="inlineStr">
        <is>
          <t>#</t>
        </is>
      </c>
      <c r="C5" s="8" t="inlineStr">
        <is>
          <t>Clause</t>
        </is>
      </c>
      <c r="D5" s="8" t="inlineStr">
        <is>
          <t>Client default position</t>
        </is>
      </c>
      <c r="E5" s="8" t="inlineStr">
        <is>
          <t>Your must-change</t>
        </is>
      </c>
      <c r="F5" s="8" t="inlineStr">
        <is>
          <t>Fallback position</t>
        </is>
      </c>
      <c r="G5" s="8" t="inlineStr">
        <is>
          <t>Why it matters</t>
        </is>
      </c>
    </row>
    <row r="6">
      <c r="B6" s="8" t="inlineStr">
        <is>
          <t>1</t>
        </is>
      </c>
      <c r="C6" s="18" t="inlineStr">
        <is>
          <t>Liability cap</t>
        </is>
      </c>
      <c r="D6" s="18" t="inlineStr">
        <is>
          <t>Unlimited, or 'greater of $5M or fees paid'</t>
        </is>
      </c>
      <c r="E6" s="18" t="inlineStr">
        <is>
          <t>Cap at 12 months of fees paid in trailing period. Mutual.</t>
        </is>
      </c>
      <c r="F6" s="18" t="inlineStr">
        <is>
          <t>18-24 months. Anything &gt;2x ARR is dangerous.</t>
        </is>
      </c>
      <c r="G6" s="18" t="inlineStr">
        <is>
          <t>$900k ACV unlimited = bet-the-company on every bug.</t>
        </is>
      </c>
    </row>
    <row r="7">
      <c r="B7" s="8" t="inlineStr">
        <is>
          <t>2</t>
        </is>
      </c>
      <c r="C7" s="18" t="inlineStr">
        <is>
          <t>Indemnity scope</t>
        </is>
      </c>
      <c r="D7" s="18" t="inlineStr">
        <is>
          <t>Vendor indemnifies for 'any and all claims arising from services'</t>
        </is>
      </c>
      <c r="E7" s="18" t="inlineStr">
        <is>
          <t>Only: (a) third-party IP infringement by product, (b) gross negligence/willful misconduct, (c) breach of confidentiality. Mutual.</t>
        </is>
      </c>
      <c r="F7" s="18" t="inlineStr">
        <is>
          <t>Add data breach caused by your negligence, capped at liability cap.</t>
        </is>
      </c>
      <c r="G7" s="18" t="inlineStr">
        <is>
          <t>Broad indemnity = you owe their legal fees for anything a third party sues them over.</t>
        </is>
      </c>
    </row>
    <row r="8">
      <c r="B8" s="8" t="inlineStr">
        <is>
          <t>3</t>
        </is>
      </c>
      <c r="C8" s="18" t="inlineStr">
        <is>
          <t>IP ownership</t>
        </is>
      </c>
      <c r="D8" s="18" t="inlineStr">
        <is>
          <t>All work product, deliverables, derivatives, and improvements belong to Client</t>
        </is>
      </c>
      <c r="E8" s="18" t="inlineStr">
        <is>
          <t>AbarVa retains all IP in platform including improvements/learnings. Client owns only (a) their data, (b) their configs/content.</t>
        </is>
      </c>
      <c r="F8" s="18" t="inlineStr">
        <is>
          <t>Carve perpetual royalty-free license to them for anything custom; you still own it.</t>
        </is>
      </c>
      <c r="G8" s="18" t="inlineStr">
        <is>
          <t>This clause alone can kill the company. Forks = death.</t>
        </is>
      </c>
    </row>
    <row r="9">
      <c r="B9" s="8" t="inlineStr">
        <is>
          <t>4</t>
        </is>
      </c>
      <c r="C9" s="18" t="inlineStr">
        <is>
          <t>Most-favored-nation</t>
        </is>
      </c>
      <c r="D9" s="18" t="inlineStr">
        <is>
          <t>'Vendor warrants pricing is no higher than offered to similarly-situated customers'</t>
        </is>
      </c>
      <c r="E9" s="18" t="inlineStr">
        <is>
          <t>Strike entirely.</t>
        </is>
      </c>
      <c r="F9" s="18" t="inlineStr">
        <is>
          <t>Limit to: same product, same scope, same volume, same term — never comparable.</t>
        </is>
      </c>
      <c r="G9" s="18" t="inlineStr">
        <is>
          <t>Locks pricing forever. Future discount = retroactive refund.</t>
        </is>
      </c>
    </row>
    <row r="10">
      <c r="B10" s="8" t="inlineStr">
        <is>
          <t>5</t>
        </is>
      </c>
      <c r="C10" s="18" t="inlineStr">
        <is>
          <t>Termination for convenience</t>
        </is>
      </c>
      <c r="D10" s="18" t="inlineStr">
        <is>
          <t>Client may terminate any time with 30 days notice</t>
        </is>
      </c>
      <c r="E10" s="18" t="inlineStr">
        <is>
          <t>Pilot: no T4C (both committed). Year contract: 90-day notice; refund prepaid unused; no refund on setup fees.</t>
        </is>
      </c>
      <c r="F10" s="18" t="inlineStr">
        <is>
          <t>T4C after month 6 with 3-month kill fee.</t>
        </is>
      </c>
      <c r="G10" s="18" t="inlineStr">
        <is>
          <t>Without this, they extract value and walk. You've sunk implementation cost.</t>
        </is>
      </c>
    </row>
    <row r="11">
      <c r="B11" s="8" t="inlineStr">
        <is>
          <t>6</t>
        </is>
      </c>
      <c r="C11" s="18" t="inlineStr">
        <is>
          <t>Service levels &amp; credits</t>
        </is>
      </c>
      <c r="D11" s="18" t="inlineStr">
        <is>
          <t>99.9% uptime, escalating credits to 100% of monthly fee, breach = termination</t>
        </is>
      </c>
      <c r="E11" s="18" t="inlineStr">
        <is>
          <t>99.5% monthly. Exclusions for maintenance/force majeure/third-party. Credit cap 25%. Breach not a termination trigger unless 3 consecutive months.</t>
        </is>
      </c>
      <c r="F11" s="18" t="inlineStr">
        <is>
          <t>99.7% with cap at 50%.</t>
        </is>
      </c>
      <c r="G11" s="18" t="inlineStr">
        <is>
          <t>Solo founder can't deliver 99.99%. Don't promise it.</t>
        </is>
      </c>
    </row>
    <row r="12">
      <c r="B12" s="8" t="inlineStr">
        <is>
          <t>7</t>
        </is>
      </c>
      <c r="C12" s="18" t="inlineStr">
        <is>
          <t>Audit rights</t>
        </is>
      </c>
      <c r="D12" s="18" t="inlineStr">
        <is>
          <t>Client may audit Vendor books/systems/processes at any time on 5 days notice</t>
        </is>
      </c>
      <c r="E12" s="18" t="inlineStr">
        <is>
          <t>Once per year, mutually scheduled, scope limited to security/contract compliance, at requesting party cost, via mutually-agreed third party under NDA.</t>
        </is>
      </c>
      <c r="F12" s="18" t="inlineStr">
        <is>
          <t>Twice per year max.</t>
        </is>
      </c>
      <c r="G12" s="18" t="inlineStr">
        <is>
          <t>Without limits, audit fishing eats weeks of founder time.</t>
        </is>
      </c>
    </row>
    <row r="13">
      <c r="B13" s="8" t="inlineStr">
        <is>
          <t>8</t>
        </is>
      </c>
      <c r="C13" s="18" t="inlineStr">
        <is>
          <t>Assignment / change of control</t>
        </is>
      </c>
      <c r="D13" s="18" t="inlineStr">
        <is>
          <t>Vendor may not assign without Client consent</t>
        </is>
      </c>
      <c r="E13" s="18" t="inlineStr">
        <is>
          <t>Either party may assign in change of control, merger, or sale of substantially all assets, without consent.</t>
        </is>
      </c>
      <c r="F13" s="18" t="inlineStr">
        <is>
          <t>Consent not unreasonably withheld + deemed-granted if no response in 30 days.</t>
        </is>
      </c>
      <c r="G13" s="18" t="inlineStr">
        <is>
          <t>Without this carveout, every acquirer needs every customer sign-off. Kills exit.</t>
        </is>
      </c>
    </row>
    <row r="16">
      <c r="B16" s="37" t="inlineStr">
        <is>
          <t>Sleeper Clauses — also watch for</t>
        </is>
      </c>
      <c r="C16" s="98" t="n"/>
      <c r="D16" s="98" t="n"/>
      <c r="E16" s="98" t="n"/>
      <c r="F16" s="98" t="n"/>
      <c r="G16" s="98" t="n"/>
    </row>
    <row r="17">
      <c r="B17" s="16" t="inlineStr">
        <is>
          <t>☐</t>
        </is>
      </c>
      <c r="C17" s="78" t="inlineStr">
        <is>
          <t>'Vendor shall comply with all Client policies, as updated from time to time' — refuse 'updated'; bind only to policies listed at signing</t>
        </is>
      </c>
      <c r="D17" s="98" t="n"/>
      <c r="E17" s="98" t="n"/>
      <c r="F17" s="98" t="n"/>
      <c r="G17" s="98" t="n"/>
    </row>
    <row r="18">
      <c r="B18" s="16" t="inlineStr">
        <is>
          <t>☐</t>
        </is>
      </c>
      <c r="C18" s="78" t="inlineStr">
        <is>
          <t>'Time is of the essence' — strike (makes every deadline a breach trigger)</t>
        </is>
      </c>
      <c r="D18" s="98" t="n"/>
      <c r="E18" s="98" t="n"/>
      <c r="F18" s="98" t="n"/>
      <c r="G18" s="98" t="n"/>
    </row>
    <row r="19">
      <c r="B19" s="16" t="inlineStr">
        <is>
          <t>☐</t>
        </is>
      </c>
      <c r="C19" s="78" t="inlineStr">
        <is>
          <t>'Vendor's personnel shall be subject to Client's approval' — limit to 'reasonable cause' or strike</t>
        </is>
      </c>
      <c r="D19" s="98" t="n"/>
      <c r="E19" s="98" t="n"/>
      <c r="F19" s="98" t="n"/>
      <c r="G19" s="98" t="n"/>
    </row>
    <row r="20">
      <c r="B20" s="16" t="inlineStr">
        <is>
          <t>☐</t>
        </is>
      </c>
      <c r="C20" s="78" t="inlineStr">
        <is>
          <t>Background check OK; resist drug testing as solo founder</t>
        </is>
      </c>
      <c r="D20" s="98" t="n"/>
      <c r="E20" s="98" t="n"/>
      <c r="F20" s="98" t="n"/>
      <c r="G20" s="98" t="n"/>
    </row>
    <row r="21">
      <c r="B21" s="16" t="inlineStr">
        <is>
          <t>☐</t>
        </is>
      </c>
      <c r="C21" s="78" t="inlineStr">
        <is>
          <t>Insurance amounts $10M+ — push back, match your binder ($2-5M), bump at year-2 if needed</t>
        </is>
      </c>
      <c r="D21" s="98" t="n"/>
      <c r="E21" s="98" t="n"/>
      <c r="F21" s="98" t="n"/>
      <c r="G21" s="98" t="n"/>
    </row>
    <row r="22">
      <c r="B22" s="16" t="inlineStr">
        <is>
          <t>☐</t>
        </is>
      </c>
      <c r="C22" s="78" t="inlineStr">
        <is>
          <t>'Vendor shall not work with competitors' — refuse; or limit to one named competitor for term</t>
        </is>
      </c>
      <c r="D22" s="98" t="n"/>
      <c r="E22" s="98" t="n"/>
      <c r="F22" s="98" t="n"/>
      <c r="G22" s="98" t="n"/>
    </row>
    <row r="23">
      <c r="B23" s="16" t="inlineStr">
        <is>
          <t>☐</t>
        </is>
      </c>
      <c r="C23" s="78" t="inlineStr">
        <is>
          <t>Source code escrow — accept; specify Iron Mountain; release triggers limited to bankruptcy/cessation</t>
        </is>
      </c>
      <c r="D23" s="98" t="n"/>
      <c r="E23" s="98" t="n"/>
      <c r="F23" s="98" t="n"/>
      <c r="G23" s="98" t="n"/>
    </row>
    <row r="24">
      <c r="B24" s="16" t="inlineStr">
        <is>
          <t>☐</t>
        </is>
      </c>
      <c r="C24" s="78" t="inlineStr">
        <is>
          <t>Right to inject security tools into your systems — refuse; security must stay in your control</t>
        </is>
      </c>
      <c r="D24" s="98" t="n"/>
      <c r="E24" s="98" t="n"/>
      <c r="F24" s="98" t="n"/>
      <c r="G24" s="98" t="n"/>
    </row>
    <row r="25">
      <c r="B25" s="16" t="inlineStr">
        <is>
          <t>☐</t>
        </is>
      </c>
      <c r="C25" s="78" t="inlineStr">
        <is>
          <t>Liquidated damages (pre-set penalties) — strike; use SLA credits instead</t>
        </is>
      </c>
      <c r="D25" s="98" t="n"/>
      <c r="E25" s="98" t="n"/>
      <c r="F25" s="98" t="n"/>
      <c r="G25" s="98" t="n"/>
    </row>
    <row r="26">
      <c r="B26" s="16" t="inlineStr">
        <is>
          <t>☐</t>
        </is>
      </c>
      <c r="C26" s="78" t="inlineStr">
        <is>
          <t>'Services will meet Client business requirements' (subjective) — change to 'materially conform to documented specs'</t>
        </is>
      </c>
      <c r="D26" s="98" t="n"/>
      <c r="E26" s="98" t="n"/>
      <c r="F26" s="98" t="n"/>
      <c r="G26" s="98" t="n"/>
    </row>
    <row r="27">
      <c r="B27" s="16" t="inlineStr">
        <is>
          <t>☐</t>
        </is>
      </c>
      <c r="C27" s="78" t="inlineStr">
        <is>
          <t>Data location/sovereignty for international clients — pre-think: 'Data resides in [region] Azure; cross-region not supported without addendum'</t>
        </is>
      </c>
      <c r="D27" s="98" t="n"/>
      <c r="E27" s="98" t="n"/>
      <c r="F27" s="98" t="n"/>
      <c r="G27" s="98" t="n"/>
    </row>
    <row r="30">
      <c r="B30" s="37" t="inlineStr">
        <is>
          <t>NDA-Specific Redlines (usually arrives first)</t>
        </is>
      </c>
      <c r="C30" s="98" t="n"/>
      <c r="D30" s="98" t="n"/>
      <c r="E30" s="98" t="n"/>
      <c r="F30" s="98" t="n"/>
      <c r="G30" s="98" t="n"/>
    </row>
    <row r="31">
      <c r="B31" s="16" t="inlineStr">
        <is>
          <t>☐</t>
        </is>
      </c>
      <c r="C31" s="78" t="inlineStr">
        <is>
          <t>Strike any IP-assignment clause ('IP created during evaluation belongs to Client')</t>
        </is>
      </c>
      <c r="D31" s="98" t="n"/>
      <c r="E31" s="98" t="n"/>
      <c r="F31" s="98" t="n"/>
      <c r="G31" s="98" t="n"/>
    </row>
    <row r="32">
      <c r="B32" s="16" t="inlineStr">
        <is>
          <t>☐</t>
        </is>
      </c>
      <c r="C32" s="78" t="inlineStr">
        <is>
          <t>Strike or narrow non-solicit of customers (blocks you from competitors)</t>
        </is>
      </c>
      <c r="D32" s="98" t="n"/>
      <c r="E32" s="98" t="n"/>
      <c r="F32" s="98" t="n"/>
      <c r="G32" s="98" t="n"/>
    </row>
    <row r="33">
      <c r="B33" s="16" t="inlineStr">
        <is>
          <t>☐</t>
        </is>
      </c>
      <c r="C33" s="78" t="inlineStr">
        <is>
          <t>Add publicity carveout: 'Vendor may include Client in customer list and use logo with prior written consent'</t>
        </is>
      </c>
      <c r="D33" s="98" t="n"/>
      <c r="E33" s="98" t="n"/>
      <c r="F33" s="98" t="n"/>
      <c r="G33" s="98" t="n"/>
    </row>
    <row r="34">
      <c r="B34" s="16" t="inlineStr">
        <is>
          <t>☐</t>
        </is>
      </c>
      <c r="C34" s="78" t="inlineStr">
        <is>
          <t>Cap term at 2-3 years (not 5+)</t>
        </is>
      </c>
      <c r="D34" s="98" t="n"/>
      <c r="E34" s="98" t="n"/>
      <c r="F34" s="98" t="n"/>
      <c r="G34" s="98" t="n"/>
    </row>
    <row r="35">
      <c r="B35" s="16" t="inlineStr">
        <is>
          <t>☐</t>
        </is>
      </c>
      <c r="C35" s="78" t="inlineStr">
        <is>
          <t>Insist on residual knowledge clause (protects what you remember in your head)</t>
        </is>
      </c>
      <c r="D35" s="98" t="n"/>
      <c r="E35" s="98" t="n"/>
      <c r="F35" s="98" t="n"/>
      <c r="G35" s="98" t="n"/>
    </row>
  </sheetData>
  <mergeCells count="18">
    <mergeCell ref="B16:G16"/>
    <mergeCell ref="C35:G35"/>
    <mergeCell ref="C21:G21"/>
    <mergeCell ref="C20:G20"/>
    <mergeCell ref="C34:G34"/>
    <mergeCell ref="C32:G32"/>
    <mergeCell ref="C24:G24"/>
    <mergeCell ref="B30:G30"/>
    <mergeCell ref="C33:G33"/>
    <mergeCell ref="C25:G25"/>
    <mergeCell ref="C27:G27"/>
    <mergeCell ref="C19:G19"/>
    <mergeCell ref="C31:G31"/>
    <mergeCell ref="C23:G23"/>
    <mergeCell ref="C22:G22"/>
    <mergeCell ref="C18:G18"/>
    <mergeCell ref="C17:G17"/>
    <mergeCell ref="C26:G26"/>
  </mergeCell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B2:I20"/>
  <sheetViews>
    <sheetView showGridLines="0" workbookViewId="0">
      <selection activeCell="A1" sqref="A1"/>
    </sheetView>
  </sheetViews>
  <sheetFormatPr baseColWidth="8" defaultRowHeight="15"/>
  <cols>
    <col width="2" customWidth="1" min="1" max="1"/>
    <col width="5" customWidth="1" min="2" max="2"/>
    <col width="50" customWidth="1" min="3" max="3"/>
    <col width="12" customWidth="1" min="4" max="4"/>
    <col width="10" customWidth="1" min="5" max="5"/>
    <col width="8" customWidth="1" min="6" max="6"/>
    <col width="60" customWidth="1" min="7" max="7"/>
    <col width="10" customWidth="1" min="8" max="8"/>
    <col width="12" customWidth="1" min="9" max="9"/>
  </cols>
  <sheetData>
    <row r="2">
      <c r="B2" s="1" t="inlineStr">
        <is>
          <t>Risk Register</t>
        </is>
      </c>
    </row>
    <row r="3">
      <c r="B3" s="2" t="inlineStr">
        <is>
          <t>Likelihood × Impact (1=Low, 5=High). Score = L × I. Sort descending to triage.</t>
        </is>
      </c>
    </row>
    <row r="5">
      <c r="B5" s="8" t="inlineStr">
        <is>
          <t>#</t>
        </is>
      </c>
      <c r="C5" s="8" t="inlineStr">
        <is>
          <t>Risk</t>
        </is>
      </c>
      <c r="D5" s="8" t="inlineStr">
        <is>
          <t>Likelihood (1-5)</t>
        </is>
      </c>
      <c r="E5" s="8" t="inlineStr">
        <is>
          <t>Impact (1-5)</t>
        </is>
      </c>
      <c r="F5" s="8" t="inlineStr">
        <is>
          <t>Score</t>
        </is>
      </c>
      <c r="G5" s="8" t="inlineStr">
        <is>
          <t>Mitigation</t>
        </is>
      </c>
      <c r="H5" s="8" t="inlineStr">
        <is>
          <t>Owner</t>
        </is>
      </c>
      <c r="I5" s="8" t="inlineStr">
        <is>
          <t>Status</t>
        </is>
      </c>
    </row>
    <row r="6">
      <c r="B6" s="9" t="n">
        <v>1</v>
      </c>
      <c r="C6" s="18" t="inlineStr">
        <is>
          <t>Client demands unlimited liability — refuses to budge</t>
        </is>
      </c>
      <c r="D6" s="9" t="n">
        <v>4</v>
      </c>
      <c r="E6" s="9" t="n">
        <v>5</v>
      </c>
      <c r="F6" s="30">
        <f>D6*E6</f>
        <v/>
      </c>
      <c r="G6" s="18" t="inlineStr">
        <is>
          <t>Walk if pushed past 2x ACV cap; have lawyer pre-script position</t>
        </is>
      </c>
      <c r="H6" s="18" t="inlineStr">
        <is>
          <t>Anand</t>
        </is>
      </c>
      <c r="I6" s="18" t="inlineStr">
        <is>
          <t>Open</t>
        </is>
      </c>
    </row>
    <row r="7">
      <c r="B7" s="9" t="n">
        <v>2</v>
      </c>
      <c r="C7" s="18" t="inlineStr">
        <is>
          <t>Client IP clause assigns improvements to them</t>
        </is>
      </c>
      <c r="D7" s="9" t="n">
        <v>4</v>
      </c>
      <c r="E7" s="9" t="n">
        <v>5</v>
      </c>
      <c r="F7" s="30">
        <f>D7*E7</f>
        <v/>
      </c>
      <c r="G7" s="18" t="inlineStr">
        <is>
          <t>Hard-stop redline; carve perpetual license instead</t>
        </is>
      </c>
      <c r="H7" s="18" t="inlineStr">
        <is>
          <t>Anand</t>
        </is>
      </c>
      <c r="I7" s="18" t="inlineStr">
        <is>
          <t>Open</t>
        </is>
      </c>
    </row>
    <row r="8">
      <c r="B8" s="9" t="n">
        <v>3</v>
      </c>
      <c r="C8" s="18" t="inlineStr">
        <is>
          <t>Net 60/90 payment terms starve cash</t>
        </is>
      </c>
      <c r="D8" s="9" t="n">
        <v>5</v>
      </c>
      <c r="E8" s="9" t="n">
        <v>4</v>
      </c>
      <c r="F8" s="30">
        <f>D8*E8</f>
        <v/>
      </c>
      <c r="G8" s="18" t="inlineStr">
        <is>
          <t>Insist on Net 30 or annual pre-pay; offer 7.5% discount for pre-pay</t>
        </is>
      </c>
      <c r="H8" s="18" t="inlineStr">
        <is>
          <t>Anand</t>
        </is>
      </c>
      <c r="I8" s="18" t="inlineStr">
        <is>
          <t>Open</t>
        </is>
      </c>
    </row>
    <row r="9">
      <c r="B9" s="9" t="n">
        <v>4</v>
      </c>
      <c r="C9" s="18" t="inlineStr">
        <is>
          <t>Solo founder = key-person risk in their security review</t>
        </is>
      </c>
      <c r="D9" s="9" t="n">
        <v>5</v>
      </c>
      <c r="E9" s="9" t="n">
        <v>3</v>
      </c>
      <c r="F9" s="30">
        <f>D9*E9</f>
        <v/>
      </c>
      <c r="G9" s="18" t="inlineStr">
        <is>
          <t>Address in SOW with documented runbooks; commit to hire by month 6</t>
        </is>
      </c>
      <c r="H9" s="18" t="inlineStr">
        <is>
          <t>Anand</t>
        </is>
      </c>
      <c r="I9" s="18" t="inlineStr">
        <is>
          <t>Open</t>
        </is>
      </c>
    </row>
    <row r="10">
      <c r="B10" s="9" t="n">
        <v>5</v>
      </c>
      <c r="C10" s="18" t="inlineStr">
        <is>
          <t>Token consumption blows past cap, eats margin</t>
        </is>
      </c>
      <c r="D10" s="9" t="n">
        <v>4</v>
      </c>
      <c r="E10" s="9" t="n">
        <v>4</v>
      </c>
      <c r="F10" s="30">
        <f>D10*E10</f>
        <v/>
      </c>
      <c r="G10" s="18" t="inlineStr">
        <is>
          <t>Hard cap in code; weekly meter shared with client; overage at cost+20%</t>
        </is>
      </c>
      <c r="H10" s="18" t="inlineStr">
        <is>
          <t>Anand</t>
        </is>
      </c>
      <c r="I10" s="18" t="inlineStr">
        <is>
          <t>Open</t>
        </is>
      </c>
    </row>
    <row r="11">
      <c r="B11" s="9" t="n">
        <v>6</v>
      </c>
      <c r="C11" s="18" t="inlineStr">
        <is>
          <t>Accidental PHI upload by client user — no BAA in place</t>
        </is>
      </c>
      <c r="D11" s="9" t="n">
        <v>3</v>
      </c>
      <c r="E11" s="9" t="n">
        <v>5</v>
      </c>
      <c r="F11" s="30">
        <f>D11*E11</f>
        <v/>
      </c>
      <c r="G11" s="18" t="inlineStr">
        <is>
          <t>Presidio pre-ingest scanner + quarantine + AUP language in SOW</t>
        </is>
      </c>
      <c r="H11" s="18" t="inlineStr">
        <is>
          <t>Anand</t>
        </is>
      </c>
      <c r="I11" s="18" t="inlineStr">
        <is>
          <t>Open</t>
        </is>
      </c>
    </row>
    <row r="12">
      <c r="B12" s="9" t="n">
        <v>7</v>
      </c>
      <c r="C12" s="18" t="inlineStr">
        <is>
          <t>SOC 2 not done by pilot signing</t>
        </is>
      </c>
      <c r="D12" s="9" t="n">
        <v>4</v>
      </c>
      <c r="E12" s="9" t="n">
        <v>3</v>
      </c>
      <c r="F12" s="30">
        <f>D12*E12</f>
        <v/>
      </c>
      <c r="G12" s="18" t="inlineStr">
        <is>
          <t>Type 1 'in progress with Vanta, target [date]' usually sufficient</t>
        </is>
      </c>
      <c r="H12" s="18" t="inlineStr">
        <is>
          <t>Anand</t>
        </is>
      </c>
      <c r="I12" s="18" t="inlineStr">
        <is>
          <t>Open</t>
        </is>
      </c>
    </row>
    <row r="13">
      <c r="B13" s="9" t="n">
        <v>8</v>
      </c>
      <c r="C13" s="18" t="inlineStr">
        <is>
          <t>Pen test scheduling slips into pilot window</t>
        </is>
      </c>
      <c r="D13" s="9" t="n">
        <v>4</v>
      </c>
      <c r="E13" s="9" t="n">
        <v>3</v>
      </c>
      <c r="F13" s="30">
        <f>D13*E13</f>
        <v/>
      </c>
      <c r="G13" s="18" t="inlineStr">
        <is>
          <t>Book Cobalt 4 weeks out; share report under NDA mid-pilot if needed</t>
        </is>
      </c>
      <c r="H13" s="18" t="inlineStr">
        <is>
          <t>Anand</t>
        </is>
      </c>
      <c r="I13" s="18" t="inlineStr">
        <is>
          <t>Open</t>
        </is>
      </c>
    </row>
    <row r="14">
      <c r="B14" s="9" t="n">
        <v>9</v>
      </c>
      <c r="C14" s="18" t="inlineStr">
        <is>
          <t>SSO integration with client Entra ID hits unknown edge case</t>
        </is>
      </c>
      <c r="D14" s="9" t="n">
        <v>3</v>
      </c>
      <c r="E14" s="9" t="n">
        <v>4</v>
      </c>
      <c r="F14" s="30">
        <f>D14*E14</f>
        <v/>
      </c>
      <c r="G14" s="18" t="inlineStr">
        <is>
          <t>Clerk B2B handles 95%; budget 2-day spike before kickoff for testing</t>
        </is>
      </c>
      <c r="H14" s="18" t="inlineStr">
        <is>
          <t>Anand</t>
        </is>
      </c>
      <c r="I14" s="18" t="inlineStr">
        <is>
          <t>Open</t>
        </is>
      </c>
    </row>
    <row r="15">
      <c r="B15" s="9" t="n">
        <v>10</v>
      </c>
      <c r="C15" s="18" t="inlineStr">
        <is>
          <t>Client demands custom feature fork during pilot</t>
        </is>
      </c>
      <c r="D15" s="9" t="n">
        <v>5</v>
      </c>
      <c r="E15" s="9" t="n">
        <v>4</v>
      </c>
      <c r="F15" s="30">
        <f>D15*E15</f>
        <v/>
      </c>
      <c r="G15" s="18" t="inlineStr">
        <is>
          <t>SOW language: AbarVa owns roadmap; custom = change order at $400/hr or roadmap inclusion</t>
        </is>
      </c>
      <c r="H15" s="18" t="inlineStr">
        <is>
          <t>Anand</t>
        </is>
      </c>
      <c r="I15" s="18" t="inlineStr">
        <is>
          <t>Open</t>
        </is>
      </c>
    </row>
    <row r="16">
      <c r="B16" s="9" t="n">
        <v>11</v>
      </c>
      <c r="C16" s="18" t="inlineStr">
        <is>
          <t>Insurance underwriting delayed past signing date</t>
        </is>
      </c>
      <c r="D16" s="9" t="n">
        <v>3</v>
      </c>
      <c r="E16" s="9" t="n">
        <v>4</v>
      </c>
      <c r="F16" s="30">
        <f>D16*E16</f>
        <v/>
      </c>
      <c r="G16" s="18" t="inlineStr">
        <is>
          <t>Quote in Week 1; bind 2 weeks before; have COI ready</t>
        </is>
      </c>
      <c r="H16" s="18" t="inlineStr">
        <is>
          <t>Anand</t>
        </is>
      </c>
      <c r="I16" s="18" t="inlineStr">
        <is>
          <t>Open</t>
        </is>
      </c>
    </row>
    <row r="17">
      <c r="B17" s="9" t="n">
        <v>12</v>
      </c>
      <c r="C17" s="18" t="inlineStr">
        <is>
          <t>Lawyer fees blow past $10k budget on first deal</t>
        </is>
      </c>
      <c r="D17" s="9" t="n">
        <v>3</v>
      </c>
      <c r="E17" s="9" t="n">
        <v>2</v>
      </c>
      <c r="F17" s="30">
        <f>D17*E17</f>
        <v/>
      </c>
      <c r="G17" s="18" t="inlineStr">
        <is>
          <t>Cap engagement at fixed fee; redline brief reduces back-and-forth</t>
        </is>
      </c>
      <c r="H17" s="18" t="inlineStr">
        <is>
          <t>Anand</t>
        </is>
      </c>
      <c r="I17" s="18" t="inlineStr">
        <is>
          <t>Open</t>
        </is>
      </c>
    </row>
    <row r="18">
      <c r="B18" s="9" t="n">
        <v>13</v>
      </c>
      <c r="C18" s="18" t="inlineStr">
        <is>
          <t>Pilot success criteria are vague — month-3 conversion stalls</t>
        </is>
      </c>
      <c r="D18" s="9" t="n">
        <v>4</v>
      </c>
      <c r="E18" s="9" t="n">
        <v>5</v>
      </c>
      <c r="F18" s="30">
        <f>D18*E18</f>
        <v/>
      </c>
      <c r="G18" s="18" t="inlineStr">
        <is>
          <t>Lock criteria pre-signing; auto-convert unless opt-out with cause</t>
        </is>
      </c>
      <c r="H18" s="18" t="inlineStr">
        <is>
          <t>Anand</t>
        </is>
      </c>
      <c r="I18" s="18" t="inlineStr">
        <is>
          <t>Open</t>
        </is>
      </c>
    </row>
    <row r="19">
      <c r="B19" s="9" t="n">
        <v>14</v>
      </c>
      <c r="C19" s="18" t="inlineStr">
        <is>
          <t>Founder time consumed by operations, no time for product</t>
        </is>
      </c>
      <c r="D19" s="9" t="n">
        <v>5</v>
      </c>
      <c r="E19" s="9" t="n">
        <v>4</v>
      </c>
      <c r="F19" s="30">
        <f>D19*E19</f>
        <v/>
      </c>
      <c r="G19" s="18" t="inlineStr">
        <is>
          <t>Build admin/ops surface for self-service; weekly cadence not daily</t>
        </is>
      </c>
      <c r="H19" s="18" t="inlineStr">
        <is>
          <t>Anand</t>
        </is>
      </c>
      <c r="I19" s="18" t="inlineStr">
        <is>
          <t>Open</t>
        </is>
      </c>
    </row>
    <row r="20">
      <c r="B20" s="9" t="n">
        <v>15</v>
      </c>
      <c r="C20" s="18" t="inlineStr">
        <is>
          <t>Client requires CMK/BYOK on day 1</t>
        </is>
      </c>
      <c r="D20" s="9" t="n">
        <v>2</v>
      </c>
      <c r="E20" s="9" t="n">
        <v>3</v>
      </c>
      <c r="F20" s="30">
        <f>D20*E20</f>
        <v/>
      </c>
      <c r="G20" s="18" t="inlineStr">
        <is>
          <t>Azure Key Vault path documented; build only if asked</t>
        </is>
      </c>
      <c r="H20" s="18" t="inlineStr">
        <is>
          <t>Anand</t>
        </is>
      </c>
      <c r="I20" s="18" t="inlineStr">
        <is>
          <t>Open</t>
        </is>
      </c>
    </row>
  </sheetData>
  <conditionalFormatting sqref="F6:F70">
    <cfRule type="cellIs" priority="1" operator="greaterThanOrEqual" dxfId="10">
      <formula>15</formula>
    </cfRule>
    <cfRule type="cellIs" priority="2" operator="between" dxfId="11">
      <formula>8</formula>
      <formula>14</formula>
    </cfRule>
    <cfRule type="cellIs" priority="3" operator="lessThanOrEqual" dxfId="12">
      <formula>7</formula>
    </cfRule>
  </conditionalFormatting>
  <dataValidations count="1">
    <dataValidation sqref="I6:I70" showDropDown="0" showInputMessage="0" showErrorMessage="0" allowBlank="0" type="list">
      <formula1>"Open,Mitigated,Accepted,Closed"</formula1>
    </dataValidation>
  </dataValidation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M14"/>
  <sheetViews>
    <sheetView showGridLines="0" workbookViewId="0">
      <selection activeCell="A1" sqref="A1"/>
    </sheetView>
  </sheetViews>
  <sheetFormatPr baseColWidth="8" defaultRowHeight="15"/>
  <cols>
    <col width="18.88999938964844" customWidth="1" min="1" max="1"/>
    <col width="18.32999992370605" customWidth="1" min="2" max="2"/>
    <col width="18.32999992370605" customWidth="1" min="3" max="3"/>
    <col width="18.32999992370605" customWidth="1" min="4" max="4"/>
    <col width="18.88999938964844" customWidth="1" min="5" max="5"/>
    <col width="18.88999938964844" customWidth="1" min="6" max="6"/>
    <col width="18.88999938964844" customWidth="1" min="7" max="7"/>
    <col width="18.88999938964844" customWidth="1" min="8" max="8"/>
  </cols>
  <sheetData>
    <row r="1" ht="24" customHeight="1">
      <c r="A1" s="169" t="inlineStr">
        <is>
          <t>AbarVa Azure Environment Operating Model - Execution Dashboard</t>
        </is>
      </c>
      <c r="B1" s="98" t="n"/>
      <c r="C1" s="98" t="n"/>
      <c r="D1" s="98" t="n"/>
      <c r="E1" s="98" t="n"/>
      <c r="F1" s="98" t="n"/>
      <c r="G1" s="98" t="n"/>
      <c r="H1" s="98" t="n"/>
      <c r="I1" s="167" t="n"/>
      <c r="J1" s="167" t="n"/>
      <c r="K1" s="167" t="n"/>
      <c r="L1" s="167" t="n"/>
      <c r="M1" s="167" t="n"/>
    </row>
    <row r="2" ht="18" customHeight="1">
      <c r="A2" s="170" t="inlineStr">
        <is>
          <t>Product Dev / Product Preview / Product Prod are AbarVa product environments. Each pilot client later gets Client Preprod and Client Prod private data-plane environments.</t>
        </is>
      </c>
      <c r="B2" s="98" t="n"/>
      <c r="C2" s="98" t="n"/>
      <c r="D2" s="98" t="n"/>
      <c r="E2" s="98" t="n"/>
      <c r="F2" s="98" t="n"/>
      <c r="G2" s="98" t="n"/>
      <c r="H2" s="98" t="n"/>
      <c r="I2" s="167" t="n"/>
      <c r="J2" s="167" t="n"/>
      <c r="K2" s="167" t="n"/>
      <c r="L2" s="167" t="n"/>
      <c r="M2" s="167" t="n"/>
    </row>
    <row r="3" ht="9" customHeight="1"/>
    <row r="4" ht="21" customHeight="1">
      <c r="A4" s="136" t="inlineStr">
        <is>
          <t>Metric</t>
        </is>
      </c>
      <c r="B4" s="137" t="inlineStr">
        <is>
          <t>Current Target</t>
        </is>
      </c>
      <c r="C4" s="137" t="inlineStr">
        <is>
          <t>Owner</t>
        </is>
      </c>
      <c r="D4" s="138" t="inlineStr">
        <is>
          <t>Status</t>
        </is>
      </c>
      <c r="F4" s="136" t="inlineStr">
        <is>
          <t>Decision</t>
        </is>
      </c>
      <c r="G4" s="137" t="inlineStr">
        <is>
          <t>Recommendation</t>
        </is>
      </c>
      <c r="H4" s="138" t="inlineStr">
        <is>
          <t>Why it matters</t>
        </is>
      </c>
    </row>
    <row r="5" ht="43.5" customHeight="1">
      <c r="A5" s="158" t="inlineStr">
        <is>
          <t>Product environment model</t>
        </is>
      </c>
      <c r="B5" s="159" t="inlineStr">
        <is>
          <t>Dev + Product Preview + Product Prod</t>
        </is>
      </c>
      <c r="C5" s="159" t="inlineStr">
        <is>
          <t>AbarVa Product / Platform</t>
        </is>
      </c>
      <c r="D5" s="160" t="inlineStr">
        <is>
          <t>Approved</t>
        </is>
      </c>
      <c r="F5" s="158" t="inlineStr">
        <is>
          <t>Environment naming</t>
        </is>
      </c>
      <c r="G5" s="159" t="inlineStr">
        <is>
          <t>Use Product Preview, not generic Preprod</t>
        </is>
      </c>
      <c r="H5" s="160" t="inlineStr">
        <is>
          <t>Avoid confusion with client preprod.</t>
        </is>
      </c>
    </row>
    <row r="6" ht="43.5" customHeight="1">
      <c r="A6" s="161" t="inlineStr">
        <is>
          <t>Client environment model</t>
        </is>
      </c>
      <c r="B6" s="162" t="inlineStr">
        <is>
          <t>Client Preprod + Client Prod per pilot/client</t>
        </is>
      </c>
      <c r="C6" s="162" t="inlineStr">
        <is>
          <t>AbarVa + Client Governance</t>
        </is>
      </c>
      <c r="D6" s="163" t="inlineStr">
        <is>
          <t>Planned</t>
        </is>
      </c>
      <c r="F6" s="161" t="inlineStr">
        <is>
          <t>Client data</t>
        </is>
      </c>
      <c r="G6" s="162" t="inlineStr">
        <is>
          <t>Never place real client data in Product Dev</t>
        </is>
      </c>
      <c r="H6" s="163" t="inlineStr">
        <is>
          <t>Protects pilot trust and isolation.</t>
        </is>
      </c>
    </row>
    <row r="7" ht="43.5" customHeight="1">
      <c r="A7" s="161" t="inlineStr">
        <is>
          <t>Current gating condition</t>
        </is>
      </c>
      <c r="B7" s="162" t="inlineStr">
        <is>
          <t>Clear active development backlog and approve this operating model</t>
        </is>
      </c>
      <c r="C7" s="162" t="inlineStr">
        <is>
          <t>Founder / Engineering</t>
        </is>
      </c>
      <c r="D7" s="163" t="inlineStr">
        <is>
          <t>Active execution</t>
        </is>
      </c>
      <c r="F7" s="161" t="inlineStr">
        <is>
          <t>Agent access</t>
        </is>
      </c>
      <c r="G7" s="162" t="inlineStr">
        <is>
          <t>Continue additive PR slices before Azure mutation</t>
        </is>
      </c>
      <c r="H7" s="163" t="inlineStr">
        <is>
          <t>Three repo-governance slices merged; actual Azure subscription creation still requires explicit approval.</t>
        </is>
      </c>
    </row>
    <row r="8" ht="43.5" customHeight="1">
      <c r="A8" s="161" t="inlineStr">
        <is>
          <t>Data posture</t>
        </is>
      </c>
      <c r="B8" s="162" t="inlineStr">
        <is>
          <t>No PHI/PII; synthetic/dev-only; client data only in client private planes</t>
        </is>
      </c>
      <c r="C8" s="162" t="inlineStr">
        <is>
          <t>Data Governance</t>
        </is>
      </c>
      <c r="D8" s="163" t="inlineStr">
        <is>
          <t>Policy scaffolded</t>
        </is>
      </c>
      <c r="F8" s="161" t="inlineStr">
        <is>
          <t>Data readiness</t>
        </is>
      </c>
      <c r="G8" s="162" t="inlineStr">
        <is>
          <t>Separate upload, parse, commit, index, retrieve, cite, agent_ready</t>
        </is>
      </c>
      <c r="H8" s="163" t="inlineStr">
        <is>
          <t>Prevents false readiness claims.</t>
        </is>
      </c>
    </row>
    <row r="9" ht="43.5" customHeight="1">
      <c r="A9" s="161" t="inlineStr">
        <is>
          <t>Deployment posture</t>
        </is>
      </c>
      <c r="B9" s="162" t="inlineStr">
        <is>
          <t>Azure Container Apps, ACR image digest, ACA jobs for private data-plane writes</t>
        </is>
      </c>
      <c r="C9" s="162" t="inlineStr">
        <is>
          <t>Platform Engineering</t>
        </is>
      </c>
      <c r="D9" s="163" t="inlineStr">
        <is>
          <t>Pattern proven in lab</t>
        </is>
      </c>
      <c r="F9" s="161" t="inlineStr">
        <is>
          <t>Client deployment</t>
        </is>
      </c>
      <c r="G9" s="162" t="inlineStr">
        <is>
          <t>Client preprod before client prod</t>
        </is>
      </c>
      <c r="H9" s="163" t="inlineStr">
        <is>
          <t>Gives UAT and migration rehearsal.</t>
        </is>
      </c>
    </row>
    <row r="10" ht="43.5" customHeight="1">
      <c r="A10" s="161" t="inlineStr">
        <is>
          <t>Governance posture</t>
        </is>
      </c>
      <c r="B10" s="162" t="inlineStr">
        <is>
          <t>Release records, migration replay, tenant isolation, context governance</t>
        </is>
      </c>
      <c r="C10" s="162" t="inlineStr">
        <is>
          <t>Engineering</t>
        </is>
      </c>
      <c r="D10" s="163" t="inlineStr">
        <is>
          <t>Partially in repo</t>
        </is>
      </c>
      <c r="F10" s="161" t="inlineStr">
        <is>
          <t>Production changes</t>
        </is>
      </c>
      <c r="G10" s="162" t="inlineStr">
        <is>
          <t>Manual approval + release evidence</t>
        </is>
      </c>
      <c r="H10" s="163" t="inlineStr">
        <is>
          <t>Supports audit and rollback.</t>
        </is>
      </c>
    </row>
    <row r="11" ht="43.5" customHeight="1">
      <c r="A11" s="161" t="inlineStr">
        <is>
          <t>Pilot readiness bar</t>
        </is>
      </c>
      <c r="B11" s="162" t="inlineStr">
        <is>
          <t>Loaded + fact-backed + indexed + retrieved + cited + bundle-proven</t>
        </is>
      </c>
      <c r="C11" s="162" t="inlineStr">
        <is>
          <t>Product/Data</t>
        </is>
      </c>
      <c r="D11" s="163" t="inlineStr">
        <is>
          <t>Must verify</t>
        </is>
      </c>
      <c r="F11" s="164" t="inlineStr">
        <is>
          <t>Backlog sequencing</t>
        </is>
      </c>
      <c r="G11" s="165" t="inlineStr">
        <is>
          <t>Do not start environment cutover until active dev backlog is stable</t>
        </is>
      </c>
      <c r="H11" s="166" t="inlineStr">
        <is>
          <t>Avoids mixing platform migration with feature churn.</t>
        </is>
      </c>
    </row>
    <row r="12" ht="43.5" customHeight="1">
      <c r="A12" s="161" t="inlineStr">
        <is>
          <t>Client subscription factory</t>
        </is>
      </c>
      <c r="B12" s="162" t="inlineStr">
        <is>
          <t>Repeatable subscription vending for client preprod/prod</t>
        </is>
      </c>
      <c r="C12" s="162" t="inlineStr">
        <is>
          <t>Azure/Platform</t>
        </is>
      </c>
      <c r="D12" s="163" t="inlineStr">
        <is>
          <t>Not started</t>
        </is>
      </c>
    </row>
    <row r="13" ht="43.5" customHeight="1">
      <c r="A13" s="161" t="inlineStr">
        <is>
          <t>Repo guardrails</t>
        </is>
      </c>
      <c r="B13" s="162" t="inlineStr">
        <is>
          <t>No Vercel prod runtime, no Supabase runtime, no direct prod writes</t>
        </is>
      </c>
      <c r="C13" s="162" t="inlineStr">
        <is>
          <t>Engineering</t>
        </is>
      </c>
      <c r="D13" s="163" t="inlineStr">
        <is>
          <t>Needs hard gates</t>
        </is>
      </c>
    </row>
    <row r="14" ht="43.5" customHeight="1">
      <c r="A14" s="164" t="inlineStr">
        <is>
          <t>Next recommended workstream</t>
        </is>
      </c>
      <c r="B14" s="165" t="inlineStr">
        <is>
          <t>Phase 0 approval and Phase 1 Azure foundation design</t>
        </is>
      </c>
      <c r="C14" s="165" t="inlineStr">
        <is>
          <t>Founder / Platform</t>
        </is>
      </c>
      <c r="D14" s="166" t="inlineStr">
        <is>
          <t>Next</t>
        </is>
      </c>
    </row>
  </sheetData>
  <mergeCells count="2">
    <mergeCell ref="A2:H2"/>
    <mergeCell ref="A1:H1"/>
  </mergeCells>
  <conditionalFormatting sqref="D5:D14">
    <cfRule type="containsText" priority="1" operator="containsText" dxfId="25" text="Complete"/>
    <cfRule type="containsText" priority="2" operator="containsText" dxfId="26" text="Ready"/>
    <cfRule type="containsText" priority="3" operator="containsText" dxfId="27" text="Blocked"/>
    <cfRule type="containsText" priority="4" operator="containsText" dxfId="28" text="Planned"/>
    <cfRule type="containsText" priority="5" operator="containsText" dxfId="25" text="Approved"/>
    <cfRule type="containsText" priority="6" operator="containsText" dxfId="26" text="In progress"/>
  </conditionalFormatting>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M26"/>
  <sheetViews>
    <sheetView showGridLines="0" workbookViewId="0">
      <selection activeCell="A1" sqref="A1"/>
    </sheetView>
  </sheetViews>
  <sheetFormatPr baseColWidth="8" defaultRowHeight="15"/>
  <cols>
    <col width="16" customWidth="1" min="1" max="1"/>
    <col width="16" customWidth="1" min="2" max="2"/>
    <col width="20" customWidth="1" min="3" max="3"/>
    <col width="28.88999938964844" customWidth="1" min="4" max="4"/>
    <col width="20" customWidth="1" min="5" max="5"/>
    <col width="16.67000007629395" customWidth="1" min="6" max="6"/>
    <col width="23.32999992370605" customWidth="1" min="7" max="7"/>
    <col width="23.32999992370605" customWidth="1" min="8" max="8"/>
    <col width="35.56000137329102" customWidth="1" min="9" max="9"/>
    <col width="27.78000068664551" customWidth="1" min="10" max="10"/>
    <col width="16" customWidth="1" min="11" max="11"/>
    <col width="16" customWidth="1" min="12" max="12"/>
    <col width="28.88999938964844" customWidth="1" min="13" max="13"/>
  </cols>
  <sheetData>
    <row r="1" ht="24" customHeight="1">
      <c r="A1" s="169" t="inlineStr">
        <is>
          <t>Executable Plan - Three Product Environments and Client Private Planes</t>
        </is>
      </c>
      <c r="B1" s="98" t="n"/>
      <c r="C1" s="98" t="n"/>
      <c r="D1" s="98" t="n"/>
      <c r="E1" s="98" t="n"/>
      <c r="F1" s="98" t="n"/>
      <c r="G1" s="98" t="n"/>
      <c r="H1" s="98" t="n"/>
      <c r="I1" s="167" t="n"/>
      <c r="J1" s="167" t="n"/>
      <c r="K1" s="167" t="n"/>
      <c r="L1" s="167" t="n"/>
      <c r="M1" s="167" t="n"/>
    </row>
    <row r="2" ht="18" customHeight="1">
      <c r="A2" s="170" t="inlineStr">
        <is>
          <t>Use this as the working backlog once current product-development tasks are stabilized. Status values are intentionally conservative.</t>
        </is>
      </c>
      <c r="B2" s="98" t="n"/>
      <c r="C2" s="98" t="n"/>
      <c r="D2" s="98" t="n"/>
      <c r="E2" s="98" t="n"/>
      <c r="F2" s="98" t="n"/>
      <c r="G2" s="98" t="n"/>
      <c r="H2" s="98" t="n"/>
      <c r="I2" s="167" t="n"/>
      <c r="J2" s="167" t="n"/>
      <c r="K2" s="167" t="n"/>
      <c r="L2" s="167" t="n"/>
      <c r="M2" s="167" t="n"/>
    </row>
    <row r="3" ht="9" customHeight="1"/>
    <row r="4" ht="21" customHeight="1">
      <c r="A4" s="136" t="inlineStr">
        <is>
          <t>ID</t>
        </is>
      </c>
      <c r="B4" s="137" t="inlineStr">
        <is>
          <t>Phase</t>
        </is>
      </c>
      <c r="C4" s="137" t="inlineStr">
        <is>
          <t>Workstream</t>
        </is>
      </c>
      <c r="D4" s="137" t="inlineStr">
        <is>
          <t>Objective</t>
        </is>
      </c>
      <c r="E4" s="137" t="inlineStr">
        <is>
          <t>Scope</t>
        </is>
      </c>
      <c r="F4" s="137" t="inlineStr">
        <is>
          <t>Owner</t>
        </is>
      </c>
      <c r="G4" s="137" t="inlineStr">
        <is>
          <t>Dependency</t>
        </is>
      </c>
      <c r="H4" s="137" t="inlineStr">
        <is>
          <t>Start Trigger</t>
        </is>
      </c>
      <c r="I4" s="137" t="inlineStr">
        <is>
          <t>Exit / Acceptance Criteria</t>
        </is>
      </c>
      <c r="J4" s="137" t="inlineStr">
        <is>
          <t>Evidence Required</t>
        </is>
      </c>
      <c r="K4" s="137" t="inlineStr">
        <is>
          <t>Status</t>
        </is>
      </c>
      <c r="L4" s="137" t="inlineStr">
        <is>
          <t>Priority</t>
        </is>
      </c>
      <c r="M4" s="138" t="inlineStr">
        <is>
          <t>Notes</t>
        </is>
      </c>
    </row>
    <row r="5" ht="57" customHeight="1">
      <c r="A5" s="158" t="inlineStr">
        <is>
          <t>ENV-00</t>
        </is>
      </c>
      <c r="B5" s="159" t="inlineStr">
        <is>
          <t>Phase 0 - Decision</t>
        </is>
      </c>
      <c r="C5" s="159" t="inlineStr">
        <is>
          <t>Approve operating model</t>
        </is>
      </c>
      <c r="D5" s="159" t="inlineStr">
        <is>
          <t>Approve environment separation, naming, no PHI/PII default, release evidence model, and client data-plane pattern.</t>
        </is>
      </c>
      <c r="E5" s="159" t="inlineStr">
        <is>
          <t>AbarVa product + future client planes</t>
        </is>
      </c>
      <c r="F5" s="159" t="inlineStr">
        <is>
          <t>Founder / Product</t>
        </is>
      </c>
      <c r="G5" s="159" t="inlineStr">
        <is>
          <t>Review v0.1 document</t>
        </is>
      </c>
      <c r="H5" s="159" t="inlineStr">
        <is>
          <t>After current dev backlog review</t>
        </is>
      </c>
      <c r="I5" s="159" t="inlineStr">
        <is>
          <t>Signed decision: Product Dev, Product Preview, Product Prod; client preprod/prod per client; no PHI/PII; Azure-first.</t>
        </is>
      </c>
      <c r="J5" s="159" t="inlineStr">
        <is>
          <t>Approved operating-model doc and decision log</t>
        </is>
      </c>
      <c r="K5" s="159" t="inlineStr">
        <is>
          <t>Complete</t>
        </is>
      </c>
      <c r="L5" s="159" t="inlineStr">
        <is>
          <t>P0</t>
        </is>
      </c>
      <c r="M5" s="160" t="inlineStr">
        <is>
          <t>Approved for execution 2026-06-13. Authority envelope: autonomous for read-only/additive/reversible; pause for DNS, prod traffic, destructive migrations, broad RBAC, client prod data, secrets, material spend.</t>
        </is>
      </c>
    </row>
    <row r="6" ht="57" customHeight="1">
      <c r="A6" s="161" t="inlineStr">
        <is>
          <t>ENV-01</t>
        </is>
      </c>
      <c r="B6" s="162" t="inlineStr">
        <is>
          <t>Phase 0 - Inventory</t>
        </is>
      </c>
      <c r="C6" s="162" t="inlineStr">
        <is>
          <t>Current-state inventory</t>
        </is>
      </c>
      <c r="D6" s="162" t="inlineStr">
        <is>
          <t>Inventory current lab resources, secrets, CI/CD, migrations, auth, data stores, indexes, and operator jobs.</t>
        </is>
      </c>
      <c r="E6" s="162" t="inlineStr">
        <is>
          <t>Current lab/product dev</t>
        </is>
      </c>
      <c r="F6" s="162" t="inlineStr">
        <is>
          <t>Platform Engineering</t>
        </is>
      </c>
      <c r="G6" s="162" t="inlineStr">
        <is>
          <t>ENV-00</t>
        </is>
      </c>
      <c r="H6" s="162" t="inlineStr">
        <is>
          <t>Operating model approved</t>
        </is>
      </c>
      <c r="I6" s="162" t="inlineStr">
        <is>
          <t>Inventory report covers app, DB, Blob, Search, Key Vault, ACA jobs, DNS, CI/CD, and data pipeline.</t>
        </is>
      </c>
      <c r="J6" s="162" t="inlineStr">
        <is>
          <t>Inventory report + resource export + risk list</t>
        </is>
      </c>
      <c r="K6" s="162" t="inlineStr">
        <is>
          <t>Complete</t>
        </is>
      </c>
      <c r="L6" s="162" t="inlineStr">
        <is>
          <t>P0</t>
        </is>
      </c>
      <c r="M6" s="163" t="inlineStr">
        <is>
          <t>Current-state inventory and first governance hardening slices complete. Evidence reports 001-006 sent to admin@abarva.ai. Remaining foundation gaps: budget/policy/tag/revision cleanup and actual subscription vending.</t>
        </is>
      </c>
    </row>
    <row r="7" ht="57" customHeight="1">
      <c r="A7" s="161" t="inlineStr">
        <is>
          <t>ENV-02</t>
        </is>
      </c>
      <c r="B7" s="162" t="inlineStr">
        <is>
          <t>Phase 1 - Azure Foundation</t>
        </is>
      </c>
      <c r="C7" s="162" t="inlineStr">
        <is>
          <t>Management groups</t>
        </is>
      </c>
      <c r="D7" s="162" t="inlineStr">
        <is>
          <t>Create/confirm management group structure: Platform, Product, Client Data Planes, Sandbox, Decommissioned.</t>
        </is>
      </c>
      <c r="E7" s="162" t="inlineStr">
        <is>
          <t>Azure tenant</t>
        </is>
      </c>
      <c r="F7" s="162" t="inlineStr">
        <is>
          <t>Azure/Platform</t>
        </is>
      </c>
      <c r="G7" s="162" t="inlineStr">
        <is>
          <t>ENV-00</t>
        </is>
      </c>
      <c r="H7" s="162" t="inlineStr">
        <is>
          <t>Azure admin access confirmed</t>
        </is>
      </c>
      <c r="I7" s="162" t="inlineStr">
        <is>
          <t>Management groups exist and policy inheritance path is clear.</t>
        </is>
      </c>
      <c r="J7" s="162" t="inlineStr">
        <is>
          <t>Azure screenshots/export + IaC or runbook</t>
        </is>
      </c>
      <c r="K7" s="162" t="inlineStr">
        <is>
          <t>Scaffold ready</t>
        </is>
      </c>
      <c r="L7" s="162" t="inlineStr">
        <is>
          <t>P0</t>
        </is>
      </c>
      <c r="M7" s="163" t="inlineStr">
        <is>
          <t>No Azure management groups created yet. Environment factory baseline, subscription vending runbook, and execution ledger are now repo/CI-enforced via PRs #3462/#3463; actual creation still requires approval.</t>
        </is>
      </c>
    </row>
    <row r="8" ht="57" customHeight="1">
      <c r="A8" s="161" t="inlineStr">
        <is>
          <t>ENV-03</t>
        </is>
      </c>
      <c r="B8" s="162" t="inlineStr">
        <is>
          <t>Phase 1 - Azure Foundation</t>
        </is>
      </c>
      <c r="C8" s="162" t="inlineStr">
        <is>
          <t>Policy baseline</t>
        </is>
      </c>
      <c r="D8" s="162" t="inlineStr">
        <is>
          <t>Define Azure Policy baseline for tags, regions, diagnostics, Key Vault protection, public network denial, private endpoint requirements.</t>
        </is>
      </c>
      <c r="E8" s="162" t="inlineStr">
        <is>
          <t>All subscriptions</t>
        </is>
      </c>
      <c r="F8" s="162" t="inlineStr">
        <is>
          <t>Security/Platform</t>
        </is>
      </c>
      <c r="G8" s="162" t="inlineStr">
        <is>
          <t>ENV-02</t>
        </is>
      </c>
      <c r="H8" s="162" t="inlineStr">
        <is>
          <t>Management groups ready</t>
        </is>
      </c>
      <c r="I8" s="162" t="inlineStr">
        <is>
          <t>Policy assignments exist for Dev/Preview/Prod and client planes with explicit exceptions.</t>
        </is>
      </c>
      <c r="J8" s="162" t="inlineStr">
        <is>
          <t>Policy assignment export + exception register</t>
        </is>
      </c>
      <c r="K8" s="162" t="inlineStr">
        <is>
          <t>Scaffold ready</t>
        </is>
      </c>
      <c r="L8" s="162" t="inlineStr">
        <is>
          <t>P0</t>
        </is>
      </c>
      <c r="M8" s="163" t="inlineStr">
        <is>
          <t>Policy baseline requirements encoded in environment factory manifest. Actual Azure Policy assignments not yet created/applied; pause before mutation/spend.</t>
        </is>
      </c>
    </row>
    <row r="9" ht="57" customHeight="1">
      <c r="A9" s="161" t="inlineStr">
        <is>
          <t>ENV-04</t>
        </is>
      </c>
      <c r="B9" s="162" t="inlineStr">
        <is>
          <t>Phase 1 - Azure Foundation</t>
        </is>
      </c>
      <c r="C9" s="162" t="inlineStr">
        <is>
          <t>Identity/RBAC model</t>
        </is>
      </c>
      <c r="D9" s="162" t="inlineStr">
        <is>
          <t>Define RBAC groups, managed identities, agent/operator identities, break-glass, and access review cadence.</t>
        </is>
      </c>
      <c r="E9" s="162" t="inlineStr">
        <is>
          <t>All envs</t>
        </is>
      </c>
      <c r="F9" s="162" t="inlineStr">
        <is>
          <t>Security/Platform</t>
        </is>
      </c>
      <c r="G9" s="162" t="inlineStr">
        <is>
          <t>ENV-02</t>
        </is>
      </c>
      <c r="H9" s="162" t="inlineStr">
        <is>
          <t>Management groups ready</t>
        </is>
      </c>
      <c r="I9" s="162" t="inlineStr">
        <is>
          <t>Least privilege model approved; agents use OIDC/managed identity and ACA jobs only.</t>
        </is>
      </c>
      <c r="J9" s="162" t="inlineStr">
        <is>
          <t>RBAC matrix + access review procedure</t>
        </is>
      </c>
      <c r="K9" s="162" t="inlineStr">
        <is>
          <t>Complete</t>
        </is>
      </c>
      <c r="L9" s="162" t="inlineStr">
        <is>
          <t>P0</t>
        </is>
      </c>
      <c r="M9" s="163" t="inlineStr">
        <is>
          <t>Completed via PR #3467 (merge b8bc575e): non-mutating identity/RBAC model + machine verifier wired into production-readiness gate. No Azure RBAC assignments or subscription changes made.</t>
        </is>
      </c>
    </row>
    <row r="10" ht="57" customHeight="1">
      <c r="A10" s="161" t="inlineStr">
        <is>
          <t>ENV-05</t>
        </is>
      </c>
      <c r="B10" s="162" t="inlineStr">
        <is>
          <t>Phase 1 - Azure Foundation</t>
        </is>
      </c>
      <c r="C10" s="162" t="inlineStr">
        <is>
          <t>Naming, tags, budgets</t>
        </is>
      </c>
      <c r="D10" s="162" t="inlineStr">
        <is>
          <t>Approve resource naming, required tags, budgets, cost alerts, and ownership tags per environment.</t>
        </is>
      </c>
      <c r="E10" s="162" t="inlineStr">
        <is>
          <t>All envs</t>
        </is>
      </c>
      <c r="F10" s="162" t="inlineStr">
        <is>
          <t>Finance/Platform</t>
        </is>
      </c>
      <c r="G10" s="162" t="inlineStr">
        <is>
          <t>ENV-02</t>
        </is>
      </c>
      <c r="H10" s="162" t="inlineStr">
        <is>
          <t>Foundation design approved</t>
        </is>
      </c>
      <c r="I10" s="162" t="inlineStr">
        <is>
          <t>Budgets and tag policies exist for product and client subscriptions.</t>
        </is>
      </c>
      <c r="J10" s="162" t="inlineStr">
        <is>
          <t>Tag policy + budget exports</t>
        </is>
      </c>
      <c r="K10" s="162" t="inlineStr">
        <is>
          <t>Complete</t>
        </is>
      </c>
      <c r="L10" s="162" t="inlineStr">
        <is>
          <t>P1</t>
        </is>
      </c>
      <c r="M10" s="163" t="inlineStr">
        <is>
          <t>Completed via PR #3468 (merge bd0fbf86): non-mutating naming/tagging/budget baseline + machine verifier wired into production-readiness gate. No Azure tag, budget, subscription, or resource changes made.</t>
        </is>
      </c>
    </row>
    <row r="11" ht="57" customHeight="1">
      <c r="A11" s="161" t="inlineStr">
        <is>
          <t>ENV-06</t>
        </is>
      </c>
      <c r="B11" s="162" t="inlineStr">
        <is>
          <t>Phase 2 - Product Dev</t>
        </is>
      </c>
      <c r="C11" s="162" t="inlineStr">
        <is>
          <t>Provision Product Dev</t>
        </is>
      </c>
      <c r="D11" s="162" t="inlineStr">
        <is>
          <t>Create abarva-dev-sub and deploy ACA, Postgres, Blob, Search, Key Vault, Log Analytics, Managed Identities.</t>
        </is>
      </c>
      <c r="E11" s="162" t="inlineStr">
        <is>
          <t>Product Dev</t>
        </is>
      </c>
      <c r="F11" s="162" t="inlineStr">
        <is>
          <t>Platform Engineering</t>
        </is>
      </c>
      <c r="G11" s="162" t="inlineStr">
        <is>
          <t>ENV-02 to ENV-05</t>
        </is>
      </c>
      <c r="H11" s="162" t="inlineStr">
        <is>
          <t>Foundation controls ready</t>
        </is>
      </c>
      <c r="I11" s="162" t="inlineStr">
        <is>
          <t>Dev app deploys from main/PR path; synthetic data only; no client secrets; smoke tests pass.</t>
        </is>
      </c>
      <c r="J11" s="162" t="inlineStr">
        <is>
          <t>IaC output + health endpoint + ACA revision + smoke report</t>
        </is>
      </c>
      <c r="K11" s="162" t="inlineStr">
        <is>
          <t>Scaffold ready</t>
        </is>
      </c>
      <c r="L11" s="162" t="inlineStr">
        <is>
          <t>P0</t>
        </is>
      </c>
      <c r="M11" s="163" t="inlineStr">
        <is>
          <t>PR #3470 merged (commit 6893e185): non-mutating Product Dev provisioning packet, verifier, release record, and production-readiness gate wiring. Actual Product Dev subscription creation still requires explicit approval.</t>
        </is>
      </c>
    </row>
    <row r="12" ht="57" customHeight="1">
      <c r="A12" s="161" t="inlineStr">
        <is>
          <t>ENV-07</t>
        </is>
      </c>
      <c r="B12" s="162" t="inlineStr">
        <is>
          <t>Phase 2 - Product Dev</t>
        </is>
      </c>
      <c r="C12" s="162" t="inlineStr">
        <is>
          <t>Dev CI/CD</t>
        </is>
      </c>
      <c r="D12" s="162" t="inlineStr">
        <is>
          <t>Wire merge-to-main or controlled PR deploy to Dev with release records, migration replay, tenant isolation, upload policy, and context validation.</t>
        </is>
      </c>
      <c r="E12" s="162" t="inlineStr">
        <is>
          <t>Repo + Product Dev</t>
        </is>
      </c>
      <c r="F12" s="162" t="inlineStr">
        <is>
          <t>Engineering</t>
        </is>
      </c>
      <c r="G12" s="162" t="inlineStr">
        <is>
          <t>ENV-06</t>
        </is>
      </c>
      <c r="H12" s="162" t="inlineStr">
        <is>
          <t>Dev infra available</t>
        </is>
      </c>
      <c r="I12" s="162" t="inlineStr">
        <is>
          <t>PR checks green; deploy evidence generated automatically; rollback path known.</t>
        </is>
      </c>
      <c r="J12" s="162" t="inlineStr">
        <is>
          <t>GitHub checks + ACR digest + ACA revision + health proof</t>
        </is>
      </c>
      <c r="K12" s="162" t="inlineStr">
        <is>
          <t>Scaffold ready</t>
        </is>
      </c>
      <c r="L12" s="162" t="inlineStr">
        <is>
          <t>P0</t>
        </is>
      </c>
      <c r="M12" s="163" t="inlineStr">
        <is>
          <t>PR #3471 merged (commit 6bf62311): non-mutating Product Dev CI/CD packet, verifier, release evidence requirements, and production-readiness gate wiring. Actual Product Dev deployment path still requires explicit approval and Product Dev infrastructure.</t>
        </is>
      </c>
    </row>
    <row r="13" ht="57" customHeight="1">
      <c r="A13" s="161" t="inlineStr">
        <is>
          <t>ENV-08</t>
        </is>
      </c>
      <c r="B13" s="162" t="inlineStr">
        <is>
          <t>Phase 2 - Product Dev</t>
        </is>
      </c>
      <c r="C13" s="162" t="inlineStr">
        <is>
          <t>Synthetic data baseline</t>
        </is>
      </c>
      <c r="D13" s="162" t="inlineStr">
        <is>
          <t>Load canonical synthetic datasets through governed Admin bulk path, not shortcut seed scripts.</t>
        </is>
      </c>
      <c r="E13" s="162" t="inlineStr">
        <is>
          <t>Product Dev</t>
        </is>
      </c>
      <c r="F13" s="162" t="inlineStr">
        <is>
          <t>Data Platform</t>
        </is>
      </c>
      <c r="G13" s="162" t="inlineStr">
        <is>
          <t>ENV-06</t>
        </is>
      </c>
      <c r="H13" s="162" t="inlineStr">
        <is>
          <t>Dev data plane available</t>
        </is>
      </c>
      <c r="I13" s="162" t="inlineStr">
        <is>
          <t>Synthetic datasets are staged, parsed, facts/chunks committed, indexed, retrieved, cited; not auto-promoted.</t>
        </is>
      </c>
      <c r="J13" s="162" t="inlineStr">
        <is>
          <t>Ingestion receipt + retrieval proof + context health report</t>
        </is>
      </c>
      <c r="K13" s="162" t="inlineStr">
        <is>
          <t>Scaffold ready</t>
        </is>
      </c>
      <c r="L13" s="162" t="inlineStr">
        <is>
          <t>P0</t>
        </is>
      </c>
      <c r="M13" s="163" t="inlineStr">
        <is>
          <t>PR #3473 merged (commit 84ee34cf): non-mutating Product Dev synthetic data baseline, governed Admin bulk-load process, ingestion receipt/idempotency/retrieval/citation/readiness controls, and production-readiness gate wiring. Actual synthetic data load still requires explicit approval and Product Dev infrastructure.</t>
        </is>
      </c>
    </row>
    <row r="14" ht="57" customHeight="1">
      <c r="A14" s="161" t="inlineStr">
        <is>
          <t>ENV-09</t>
        </is>
      </c>
      <c r="B14" s="162" t="inlineStr">
        <is>
          <t>Phase 3 - Product Preview</t>
        </is>
      </c>
      <c r="C14" s="162" t="inlineStr">
        <is>
          <t>Provision Product Preview</t>
        </is>
      </c>
      <c r="D14" s="162" t="inlineStr">
        <is>
          <t>Create abarva-preview-sub with production-like topology, private endpoints, diagnostics, and controlled access.</t>
        </is>
      </c>
      <c r="E14" s="162" t="inlineStr">
        <is>
          <t>Product Preview</t>
        </is>
      </c>
      <c r="F14" s="162" t="inlineStr">
        <is>
          <t>Platform Engineering</t>
        </is>
      </c>
      <c r="G14" s="162" t="inlineStr">
        <is>
          <t>ENV-03 to ENV-08</t>
        </is>
      </c>
      <c r="H14" s="162" t="inlineStr">
        <is>
          <t>Dev CI/CD stable</t>
        </is>
      </c>
      <c r="I14" s="162" t="inlineStr">
        <is>
          <t>Preview app deploys approved release candidates only; full diagnostics live.</t>
        </is>
      </c>
      <c r="J14" s="162" t="inlineStr">
        <is>
          <t>IaC output + health proof + private endpoint proof</t>
        </is>
      </c>
      <c r="K14" s="162" t="inlineStr">
        <is>
          <t>Scaffold ready</t>
        </is>
      </c>
      <c r="L14" s="162" t="inlineStr">
        <is>
          <t>P0</t>
        </is>
      </c>
      <c r="M14" s="163" t="inlineStr">
        <is>
          <t>PR #3474 merged (commit d679bfae): non-mutating Product Preview provisioning packet, production-like RC evidence requirements, no-PHI/PII data boundary, release-candidate controls, and production-readiness gate wiring. Actual subscription/resources/deployments still require explicit approval.</t>
        </is>
      </c>
    </row>
    <row r="15" ht="57" customHeight="1">
      <c r="A15" s="161" t="inlineStr">
        <is>
          <t>ENV-10</t>
        </is>
      </c>
      <c r="B15" s="162" t="inlineStr">
        <is>
          <t>Phase 3 - Product Preview</t>
        </is>
      </c>
      <c r="C15" s="162" t="inlineStr">
        <is>
          <t>Release candidate gates</t>
        </is>
      </c>
      <c r="D15" s="162" t="inlineStr">
        <is>
          <t>Define and enforce RC evidence: git SHA, image digest, migrations, feature flags, tests, security scan, data health, rollback.</t>
        </is>
      </c>
      <c r="E15" s="162" t="inlineStr">
        <is>
          <t>Repo + Preview</t>
        </is>
      </c>
      <c r="F15" s="162" t="inlineStr">
        <is>
          <t>Engineering/Product</t>
        </is>
      </c>
      <c r="G15" s="162" t="inlineStr">
        <is>
          <t>ENV-09</t>
        </is>
      </c>
      <c r="H15" s="162" t="inlineStr">
        <is>
          <t>Preview infra ready</t>
        </is>
      </c>
      <c r="I15" s="162" t="inlineStr">
        <is>
          <t>No release candidate can promote without evidence package.</t>
        </is>
      </c>
      <c r="J15" s="162" t="inlineStr">
        <is>
          <t>Release evidence bundle + CI policy</t>
        </is>
      </c>
      <c r="K15" s="162" t="inlineStr">
        <is>
          <t>Scaffold ready</t>
        </is>
      </c>
      <c r="L15" s="162" t="inlineStr">
        <is>
          <t>P0</t>
        </is>
      </c>
      <c r="M15" s="163" t="inlineStr">
        <is>
          <t>PR #3475 merged (commit a6df8e46): non-mutating Product Preview release-candidate gates, pinned image digest/evidence bundle/context health/retrieval-citation/rollback/approval controls, and production-readiness gate wiring. Real RC deployment still requires Product Preview infrastructure and explicit approval.</t>
        </is>
      </c>
    </row>
    <row r="16" ht="57" customHeight="1">
      <c r="A16" s="161" t="inlineStr">
        <is>
          <t>ENV-11</t>
        </is>
      </c>
      <c r="B16" s="162" t="inlineStr">
        <is>
          <t>Phase 3 - Product Preview</t>
        </is>
      </c>
      <c r="C16" s="162" t="inlineStr">
        <is>
          <t>End-to-end product rehearsal</t>
        </is>
      </c>
      <c r="D16" s="162" t="inlineStr">
        <is>
          <t>Run browser, API, context, retrieval, citation, Moves, Source, Tower, Intelligence, and audit checks in Preview.</t>
        </is>
      </c>
      <c r="E16" s="162" t="inlineStr">
        <is>
          <t>Product Preview</t>
        </is>
      </c>
      <c r="F16" s="162" t="inlineStr">
        <is>
          <t>QA/Product</t>
        </is>
      </c>
      <c r="G16" s="162" t="inlineStr">
        <is>
          <t>ENV-10</t>
        </is>
      </c>
      <c r="H16" s="162" t="inlineStr">
        <is>
          <t>RC deployed to Preview</t>
        </is>
      </c>
      <c r="I16" s="162" t="inlineStr">
        <is>
          <t>Pilot-critical modules pass or have known defects and no-go decisions.</t>
        </is>
      </c>
      <c r="J16" s="162" t="inlineStr">
        <is>
          <t>E2E report + screenshots + context health report</t>
        </is>
      </c>
      <c r="K16" s="162" t="inlineStr">
        <is>
          <t>Scaffold ready</t>
        </is>
      </c>
      <c r="L16" s="162" t="inlineStr">
        <is>
          <t>P0</t>
        </is>
      </c>
      <c r="M16" s="163" t="inlineStr">
        <is>
          <t>PR #3477 merged (commit 267207a6): non-mutating Product Preview E2E rehearsal packet across browser/API/context/retrieval/citation/artifact/Responsible AI/audit/module readiness, with production-readiness gate wiring. Real rehearsal still requires Product Preview infrastructure, deployed RC, and explicit approval.</t>
        </is>
      </c>
    </row>
    <row r="17" ht="57" customHeight="1">
      <c r="A17" s="161" t="inlineStr">
        <is>
          <t>ENV-12</t>
        </is>
      </c>
      <c r="B17" s="162" t="inlineStr">
        <is>
          <t>Phase 4 - Product Prod</t>
        </is>
      </c>
      <c r="C17" s="162" t="inlineStr">
        <is>
          <t>Provision Product Prod</t>
        </is>
      </c>
      <c r="D17" s="162" t="inlineStr">
        <is>
          <t>Create abarva-prod-sub with strict network, monitored runtime, manual deployment approvals, and rollback readiness.</t>
        </is>
      </c>
      <c r="E17" s="162" t="inlineStr">
        <is>
          <t>Product Prod</t>
        </is>
      </c>
      <c r="F17" s="162" t="inlineStr">
        <is>
          <t>Platform/Ops</t>
        </is>
      </c>
      <c r="G17" s="162" t="inlineStr">
        <is>
          <t>ENV-10 to ENV-11</t>
        </is>
      </c>
      <c r="H17" s="162" t="inlineStr">
        <is>
          <t>Preview RC evidence approved</t>
        </is>
      </c>
      <c r="I17" s="162" t="inlineStr">
        <is>
          <t>Product Prod resources deployed; no client private data; deployment evidence and rollback tested.</t>
        </is>
      </c>
      <c r="J17" s="162" t="inlineStr">
        <is>
          <t>IaC output + approvals + health proof + rollback proof</t>
        </is>
      </c>
      <c r="K17" s="162" t="inlineStr">
        <is>
          <t>Scaffold ready</t>
        </is>
      </c>
      <c r="L17" s="162" t="inlineStr">
        <is>
          <t>P0</t>
        </is>
      </c>
      <c r="M17" s="163" t="inlineStr">
        <is>
          <t>PR #3478 merged (commit 361fb66d): non-mutating Product Prod provisioning packet with subscription target, approval gates, no-PHI/no-PII/no-client-private-data boundary, promotion prerequisites, rollback evidence, and production-readiness gate wiring. Real Product Prod provisioning still requires explicit approval.</t>
        </is>
      </c>
    </row>
    <row r="18" ht="57" customHeight="1">
      <c r="A18" s="161" t="inlineStr">
        <is>
          <t>ENV-13</t>
        </is>
      </c>
      <c r="B18" s="162" t="inlineStr">
        <is>
          <t>Phase 4 - Product Prod</t>
        </is>
      </c>
      <c r="C18" s="162" t="inlineStr">
        <is>
          <t>Product cutover</t>
        </is>
      </c>
      <c r="D18" s="162" t="inlineStr">
        <is>
          <t>Cut over AbarVa product runtime to Product Prod after DNS, auth, secrets, DB, Search, Blob, agent execution, and monitoring are verified.</t>
        </is>
      </c>
      <c r="E18" s="162" t="inlineStr">
        <is>
          <t>Product Prod</t>
        </is>
      </c>
      <c r="F18" s="162" t="inlineStr">
        <is>
          <t>Platform/Ops</t>
        </is>
      </c>
      <c r="G18" s="162" t="inlineStr">
        <is>
          <t>ENV-12</t>
        </is>
      </c>
      <c r="H18" s="162" t="inlineStr">
        <is>
          <t>Cutover checklist green</t>
        </is>
      </c>
      <c r="I18" s="162" t="inlineStr">
        <is>
          <t>Public app health green; no Vercel runtime; rollback path tested.</t>
        </is>
      </c>
      <c r="J18" s="162" t="inlineStr">
        <is>
          <t>Curl headers + health JSON + ACA revision + DNS proof</t>
        </is>
      </c>
      <c r="K18" s="162" t="inlineStr">
        <is>
          <t>Scaffold ready</t>
        </is>
      </c>
      <c r="L18" s="162" t="inlineStr">
        <is>
          <t>P0</t>
        </is>
      </c>
      <c r="M18" s="163" t="inlineStr">
        <is>
          <t>PR #3479 merged (commit f668ad20): non-mutating Product Prod cutover packet with pre/post-cutover evidence, hard stops, DNS/traffic approval gates, runtime smoke commands, no-Vercel/no-Supabase proof, rollback proof, and production-readiness gate wiring. Real DNS, traffic, and public cutover remain explicit-approval gated.</t>
        </is>
      </c>
    </row>
    <row r="19" ht="57" customHeight="1">
      <c r="A19" s="161" t="inlineStr">
        <is>
          <t>ENV-14</t>
        </is>
      </c>
      <c r="B19" s="162" t="inlineStr">
        <is>
          <t>Phase 5 - Client Factory</t>
        </is>
      </c>
      <c r="C19" s="162" t="inlineStr">
        <is>
          <t>Client subscription vending</t>
        </is>
      </c>
      <c r="D19" s="162" t="inlineStr">
        <is>
          <t>Build repeatable factory for {client}-preprod-sub and {client}-prod-sub with private data-plane resources and policies.</t>
        </is>
      </c>
      <c r="E19" s="162" t="inlineStr">
        <is>
          <t>Client planes</t>
        </is>
      </c>
      <c r="F19" s="162" t="inlineStr">
        <is>
          <t>Platform Engineering</t>
        </is>
      </c>
      <c r="G19" s="162" t="inlineStr">
        <is>
          <t>ENV-03 to ENV-13</t>
        </is>
      </c>
      <c r="H19" s="162" t="inlineStr">
        <is>
          <t>Product Prod stable</t>
        </is>
      </c>
      <c r="I19" s="162" t="inlineStr">
        <is>
          <t>Factory can create client preprod/prod with VNet, DB, Blob, Search, Key Vault, jobs, logging, RBAC, budgets.</t>
        </is>
      </c>
      <c r="J19" s="162" t="inlineStr">
        <is>
          <t>IaC module + dry-run + sample client environment proof</t>
        </is>
      </c>
      <c r="K19" s="162" t="inlineStr">
        <is>
          <t>Scaffold ready</t>
        </is>
      </c>
      <c r="L19" s="162" t="inlineStr">
        <is>
          <t>P0</t>
        </is>
      </c>
      <c r="M19" s="163" t="inlineStr">
        <is>
          <t>PR #3480 merged (commit b380167): non-mutating client private-plane factory packet defining two subscriptions per client (client-preprod and client-prod), approval gates, private data-plane resources, evidence requirements, no-PHI/no-PII posture, context-bundle proof, and production-readiness gate wiring. Real client subscription/resource/data actions remain explicit-approval gated.</t>
        </is>
      </c>
    </row>
    <row r="20" ht="57" customHeight="1">
      <c r="A20" s="161" t="inlineStr">
        <is>
          <t>ENV-15</t>
        </is>
      </c>
      <c r="B20" s="162" t="inlineStr">
        <is>
          <t>Phase 5 - Client Factory</t>
        </is>
      </c>
      <c r="C20" s="162" t="inlineStr">
        <is>
          <t>Client data onboarding process</t>
        </is>
      </c>
      <c r="D20" s="162" t="inlineStr">
        <is>
          <t>Finalize templates, upload manifest, classification, idempotent fact update, citation, promotion, and health-check workflow.</t>
        </is>
      </c>
      <c r="E20" s="162" t="inlineStr">
        <is>
          <t>Client Preprod</t>
        </is>
      </c>
      <c r="F20" s="162" t="inlineStr">
        <is>
          <t>Data Platform</t>
        </is>
      </c>
      <c r="G20" s="162" t="inlineStr">
        <is>
          <t>ENV-08, ENV-14</t>
        </is>
      </c>
      <c r="H20" s="162" t="inlineStr">
        <is>
          <t>Factory and templates ready</t>
        </is>
      </c>
      <c r="I20" s="162" t="inlineStr">
        <is>
          <t>Client uploads follow same path as synthetic reference; no duplicate current facts; retrieval/citations proven.</t>
        </is>
      </c>
      <c r="J20" s="162" t="inlineStr">
        <is>
          <t>Upload receipt + health report + duplicate check</t>
        </is>
      </c>
      <c r="K20" s="162" t="inlineStr">
        <is>
          <t>Scaffold ready</t>
        </is>
      </c>
      <c r="L20" s="162" t="inlineStr">
        <is>
          <t>P0</t>
        </is>
      </c>
      <c r="M20" s="163" t="inlineStr">
        <is>
          <t>PR #3481 merged (commit a53e547): non-mutating client data onboarding process packet defining governed upload lineage, templates, manifests, source/file receipt, idempotent fact update/supersede behavior, duplicate checks, retrieval/citation proof, promotion calculation, context-bundle proof, module readiness, no-PHI/no-PII posture, and production-readiness gate wiring. Real client uploads/data mutations remain explicit-approval gated.</t>
        </is>
      </c>
    </row>
    <row r="21" ht="57" customHeight="1">
      <c r="A21" s="161" t="inlineStr">
        <is>
          <t>ENV-16</t>
        </is>
      </c>
      <c r="B21" s="162" t="inlineStr">
        <is>
          <t>Phase 6 - Pilot Readiness</t>
        </is>
      </c>
      <c r="C21" s="162" t="inlineStr">
        <is>
          <t>Pilot client preprod rehearsal</t>
        </is>
      </c>
      <c r="D21" s="162" t="inlineStr">
        <is>
          <t>Deploy first pilot client to Client Preprod, load approved data, run UAT and context health checks.</t>
        </is>
      </c>
      <c r="E21" s="162" t="inlineStr">
        <is>
          <t>Client Preprod</t>
        </is>
      </c>
      <c r="F21" s="162" t="inlineStr">
        <is>
          <t>AbarVa + Client</t>
        </is>
      </c>
      <c r="G21" s="162" t="inlineStr">
        <is>
          <t>ENV-14 to ENV-15</t>
        </is>
      </c>
      <c r="H21" s="162" t="inlineStr">
        <is>
          <t>Client approves data policy</t>
        </is>
      </c>
      <c r="I21" s="162" t="inlineStr">
        <is>
          <t>Client Preprod passes isolation, context bundle, citations, modules, UAT, support model.</t>
        </is>
      </c>
      <c r="J21" s="162" t="inlineStr">
        <is>
          <t>Client UAT signoff + context health report</t>
        </is>
      </c>
      <c r="K21" s="162" t="inlineStr">
        <is>
          <t>Scaffold ready</t>
        </is>
      </c>
      <c r="L21" s="162" t="inlineStr">
        <is>
          <t>P0</t>
        </is>
      </c>
      <c r="M21" s="163" t="inlineStr">
        <is>
          <t>PR #3482 merged (commit 863f437): non-mutating client preprod rehearsal packet defining approval gates, client-preprod-only scope, private-plane evidence, RBAC/connectivity proof, governed upload receipts, context health, retrieval/citation proof, promotion preview, context-bundle trace, signed-in UAT, artifact/file cabinet proof, support/runbook proof, and rollback/abandon proof. Real client preprod subscription/resource/data actions remain explicit-approval gated.</t>
        </is>
      </c>
    </row>
    <row r="22" ht="57" customHeight="1">
      <c r="A22" s="161" t="inlineStr">
        <is>
          <t>ENV-17</t>
        </is>
      </c>
      <c r="B22" s="162" t="inlineStr">
        <is>
          <t>Phase 6 - Pilot Readiness</t>
        </is>
      </c>
      <c r="C22" s="162" t="inlineStr">
        <is>
          <t>Pilot client prod go/no-go</t>
        </is>
      </c>
      <c r="D22" s="162" t="inlineStr">
        <is>
          <t>Deploy client private prod only after client preprod evidence, approvals, rollback, support, and audit are complete.</t>
        </is>
      </c>
      <c r="E22" s="162" t="inlineStr">
        <is>
          <t>Client Prod</t>
        </is>
      </c>
      <c r="F22" s="162" t="inlineStr">
        <is>
          <t>AbarVa Ops + Client</t>
        </is>
      </c>
      <c r="G22" s="162" t="inlineStr">
        <is>
          <t>ENV-16</t>
        </is>
      </c>
      <c r="H22" s="162" t="inlineStr">
        <is>
          <t>Client Preprod approved</t>
        </is>
      </c>
      <c r="I22" s="162" t="inlineStr">
        <is>
          <t>Client Prod deployed with strict evidence; no PHI/PII; monitoring and rollback ready.</t>
        </is>
      </c>
      <c r="J22" s="162" t="inlineStr">
        <is>
          <t>Go/no-go packet + deploy evidence + support runbook</t>
        </is>
      </c>
      <c r="K22" s="162" t="inlineStr">
        <is>
          <t>Scaffold ready</t>
        </is>
      </c>
      <c r="L22" s="162" t="inlineStr">
        <is>
          <t>P0</t>
        </is>
      </c>
      <c r="M22" s="163" t="inlineStr">
        <is>
          <t>PR #3483 merged (commit e85fb16): non-mutating client prod go/no-go packet defining approved preprod evidence, data policy, security/RBAC, private connectivity, backup/restore, context health, retrieval/citations, context-bundle trace, signed-in smoke proof, support coverage, rollback, hard stops, and executive go/no-go minutes. Real client prod subscription/resource/data/DNS/traffic actions remain explicit-approval gated.</t>
        </is>
      </c>
    </row>
    <row r="23" ht="57" customHeight="1">
      <c r="A23" s="164" t="inlineStr">
        <is>
          <t>ENV-18</t>
        </is>
      </c>
      <c r="B23" s="165" t="inlineStr">
        <is>
          <t>Ongoing</t>
        </is>
      </c>
      <c r="C23" s="165" t="inlineStr">
        <is>
          <t>Operating cadence</t>
        </is>
      </c>
      <c r="D23" s="165" t="inlineStr">
        <is>
          <t>Run weekly release readiness, monthly access review, quarterly DR/restore drill, and post-release retrospectives.</t>
        </is>
      </c>
      <c r="E23" s="165" t="inlineStr">
        <is>
          <t>All envs</t>
        </is>
      </c>
      <c r="F23" s="165" t="inlineStr">
        <is>
          <t>Ops/Product</t>
        </is>
      </c>
      <c r="G23" s="165" t="inlineStr">
        <is>
          <t>ENV-13 onward</t>
        </is>
      </c>
      <c r="H23" s="165" t="inlineStr">
        <is>
          <t>First prod release complete</t>
        </is>
      </c>
      <c r="I23" s="165" t="inlineStr">
        <is>
          <t>Cadence is visible, auditable, and tracked in workbook.</t>
        </is>
      </c>
      <c r="J23" s="165" t="inlineStr">
        <is>
          <t>Meeting notes + audit records + drill reports</t>
        </is>
      </c>
      <c r="K23" s="165" t="inlineStr">
        <is>
          <t>Scaffold ready</t>
        </is>
      </c>
      <c r="L23" s="165" t="inlineStr">
        <is>
          <t>P1</t>
        </is>
      </c>
      <c r="M23" s="166" t="inlineStr">
        <is>
          <t>PR #3484 merged (commit a153b65): non-mutating operating cadence packet defining weekly release readiness, monthly access review, quarterly DR/restore drill, post-release retrospectives, evidence registers, automation boundaries, and hard stops. Real access changes, DR restores, client prod actions, DNS, traffic, data mutations, and PHI/PII exceptions remain explicit-approval gated.</t>
        </is>
      </c>
    </row>
    <row r="24">
      <c r="A24" s="106" t="inlineStr">
        <is>
          <t>ENV-19</t>
        </is>
      </c>
      <c r="B24" s="106" t="inlineStr">
        <is>
          <t>Phase 1 - Repo Governance</t>
        </is>
      </c>
      <c r="C24" s="106" t="inlineStr">
        <is>
          <t>Environment readiness gates</t>
        </is>
      </c>
      <c r="D24" s="106" t="inlineStr">
        <is>
          <t>CI now enforces tenant-purity, Vercel production-runtime guard, Node 24 workflow alignment, and Source scenario policy readiness.</t>
        </is>
      </c>
      <c r="E24" s="106" t="inlineStr">
        <is>
          <t>Repo / CI</t>
        </is>
      </c>
      <c r="F24" s="106" t="inlineStr">
        <is>
          <t>Engineering</t>
        </is>
      </c>
      <c r="G24" s="106" t="inlineStr">
        <is>
          <t>ENV-01</t>
        </is>
      </c>
      <c r="H24" s="106" t="inlineStr">
        <is>
          <t>Current-state inventory complete</t>
        </is>
      </c>
      <c r="I24" s="106" t="inlineStr">
        <is>
          <t>PR #3461 merged, all CI green.</t>
        </is>
      </c>
      <c r="J24" s="106" t="inlineStr">
        <is>
          <t>PR #3461, commit 8d46211d, progress email 004</t>
        </is>
      </c>
      <c r="K24" s="106" t="inlineStr">
        <is>
          <t>Complete</t>
        </is>
      </c>
      <c r="L24" s="106" t="inlineStr">
        <is>
          <t>P0</t>
        </is>
      </c>
      <c r="M24" s="106" t="inlineStr">
        <is>
          <t>No runtime/data/Azure impact.</t>
        </is>
      </c>
    </row>
    <row r="25">
      <c r="A25" s="106" t="inlineStr">
        <is>
          <t>ENV-20</t>
        </is>
      </c>
      <c r="B25" s="106" t="inlineStr">
        <is>
          <t>Phase 1 - Repo Governance</t>
        </is>
      </c>
      <c r="C25" s="106" t="inlineStr">
        <is>
          <t>Environment factory baseline</t>
        </is>
      </c>
      <c r="D25" s="106" t="inlineStr">
        <is>
          <t>Machine-readable Product Dev/Preview/Prod + Client Preprod/Prod baseline and verifier added to production readiness.</t>
        </is>
      </c>
      <c r="E25" s="106" t="inlineStr">
        <is>
          <t>Repo / Azure planning</t>
        </is>
      </c>
      <c r="F25" s="106" t="inlineStr">
        <is>
          <t>Engineering</t>
        </is>
      </c>
      <c r="G25" s="106" t="inlineStr">
        <is>
          <t>ENV-19</t>
        </is>
      </c>
      <c r="H25" s="106" t="inlineStr">
        <is>
          <t>Governance gates merged</t>
        </is>
      </c>
      <c r="I25" s="106" t="inlineStr">
        <is>
          <t>PR #3462 merged, all CI green.</t>
        </is>
      </c>
      <c r="J25" s="106" t="inlineStr">
        <is>
          <t>PR #3462, commit 1c5cca98, progress email 005</t>
        </is>
      </c>
      <c r="K25" s="106" t="inlineStr">
        <is>
          <t>Complete</t>
        </is>
      </c>
      <c r="L25" s="106" t="inlineStr">
        <is>
          <t>P0</t>
        </is>
      </c>
      <c r="M25" s="106" t="inlineStr">
        <is>
          <t>No subscriptions created.</t>
        </is>
      </c>
    </row>
    <row r="26">
      <c r="A26" s="106" t="inlineStr">
        <is>
          <t>ENV-21</t>
        </is>
      </c>
      <c r="B26" s="106" t="inlineStr">
        <is>
          <t>Phase 1 - Repo Governance</t>
        </is>
      </c>
      <c r="C26" s="106" t="inlineStr">
        <is>
          <t>Subscription vending ledger</t>
        </is>
      </c>
      <c r="D26" s="106" t="inlineStr">
        <is>
          <t>Non-mutating runbook and ledger template added; agents must pause at human approval gates.</t>
        </is>
      </c>
      <c r="E26" s="106" t="inlineStr">
        <is>
          <t>Repo / Azure planning</t>
        </is>
      </c>
      <c r="F26" s="106" t="inlineStr">
        <is>
          <t>Engineering</t>
        </is>
      </c>
      <c r="G26" s="106" t="inlineStr">
        <is>
          <t>ENV-20</t>
        </is>
      </c>
      <c r="H26" s="106" t="inlineStr">
        <is>
          <t>Environment factory baseline merged</t>
        </is>
      </c>
      <c r="I26" s="106" t="inlineStr">
        <is>
          <t>PR #3463 merged, all CI green.</t>
        </is>
      </c>
      <c r="J26" s="106" t="inlineStr">
        <is>
          <t>PR #3463, commit 3609bb96, progress email 006</t>
        </is>
      </c>
      <c r="K26" s="106" t="inlineStr">
        <is>
          <t>Complete</t>
        </is>
      </c>
      <c r="L26" s="106" t="inlineStr">
        <is>
          <t>P0</t>
        </is>
      </c>
      <c r="M26" s="106" t="inlineStr">
        <is>
          <t>No RBAC, DNS, subscription, deploy, or data changes.</t>
        </is>
      </c>
    </row>
  </sheetData>
  <mergeCells count="2">
    <mergeCell ref="A2:H2"/>
    <mergeCell ref="A1:H1"/>
  </mergeCells>
  <conditionalFormatting sqref="K5:K23">
    <cfRule type="containsText" priority="1" operator="containsText" dxfId="25" text="Complete"/>
    <cfRule type="containsText" priority="2" operator="containsText" dxfId="26" text="Ready"/>
    <cfRule type="containsText" priority="3" operator="containsText" dxfId="27" text="Blocked"/>
    <cfRule type="containsText" priority="4" operator="containsText" dxfId="28" text="Planned"/>
    <cfRule type="containsText" priority="5" operator="containsText" dxfId="25" text="Complete"/>
    <cfRule type="containsText" priority="6" operator="containsText" dxfId="26" text="First pass complete"/>
  </conditionalFormatting>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M17"/>
  <sheetViews>
    <sheetView showGridLines="0" workbookViewId="0">
      <selection activeCell="A1" sqref="A1"/>
    </sheetView>
  </sheetViews>
  <sheetFormatPr baseColWidth="8" defaultRowHeight="15"/>
  <cols>
    <col width="8.220000267028809" customWidth="1" min="1" max="1"/>
    <col width="18.88999938964844" customWidth="1" min="2" max="2"/>
    <col width="23.32999992370605" customWidth="1" min="3" max="3"/>
    <col width="30" customWidth="1" min="4" max="4"/>
    <col width="23.32999992370605" customWidth="1" min="5" max="5"/>
    <col width="23.32999992370605" customWidth="1" min="6" max="6"/>
    <col width="21.11000061035156" customWidth="1" min="7" max="7"/>
    <col width="21.11000061035156" customWidth="1" min="8" max="8"/>
    <col width="14.4399995803833" customWidth="1" min="9" max="9"/>
    <col width="28.88999938964844" customWidth="1" min="10" max="10"/>
  </cols>
  <sheetData>
    <row r="1" ht="24" customHeight="1">
      <c r="A1" s="169" t="inlineStr">
        <is>
          <t>Client Private Data-Plane Factory Checklist</t>
        </is>
      </c>
      <c r="B1" s="98" t="n"/>
      <c r="C1" s="98" t="n"/>
      <c r="D1" s="98" t="n"/>
      <c r="E1" s="98" t="n"/>
      <c r="F1" s="98" t="n"/>
      <c r="G1" s="98" t="n"/>
      <c r="H1" s="98" t="n"/>
      <c r="I1" s="167" t="n"/>
      <c r="J1" s="167" t="n"/>
      <c r="K1" s="167" t="n"/>
      <c r="L1" s="167" t="n"/>
      <c r="M1" s="167" t="n"/>
    </row>
    <row r="2" ht="18" customHeight="1">
      <c r="A2" s="170" t="inlineStr">
        <is>
          <t>Repeat this checklist for every pilot/client. It creates Client Preprod and Client Prod as distinct private data-plane environments.</t>
        </is>
      </c>
      <c r="B2" s="98" t="n"/>
      <c r="C2" s="98" t="n"/>
      <c r="D2" s="98" t="n"/>
      <c r="E2" s="98" t="n"/>
      <c r="F2" s="98" t="n"/>
      <c r="G2" s="98" t="n"/>
      <c r="H2" s="98" t="n"/>
      <c r="I2" s="167" t="n"/>
      <c r="J2" s="167" t="n"/>
      <c r="K2" s="167" t="n"/>
      <c r="L2" s="167" t="n"/>
      <c r="M2" s="167" t="n"/>
    </row>
    <row r="3" ht="9" customHeight="1"/>
    <row r="4" ht="21" customHeight="1">
      <c r="A4" s="136" t="inlineStr">
        <is>
          <t>ID</t>
        </is>
      </c>
      <c r="B4" s="137" t="inlineStr">
        <is>
          <t>Factory Area</t>
        </is>
      </c>
      <c r="C4" s="137" t="inlineStr">
        <is>
          <t>Item</t>
        </is>
      </c>
      <c r="D4" s="137" t="inlineStr">
        <is>
          <t>Requirement</t>
        </is>
      </c>
      <c r="E4" s="137" t="inlineStr">
        <is>
          <t>Client Preprod Evidence</t>
        </is>
      </c>
      <c r="F4" s="137" t="inlineStr">
        <is>
          <t>Client Prod Evidence</t>
        </is>
      </c>
      <c r="G4" s="137" t="inlineStr">
        <is>
          <t>Owner</t>
        </is>
      </c>
      <c r="H4" s="137" t="inlineStr">
        <is>
          <t>Dependency</t>
        </is>
      </c>
      <c r="I4" s="137" t="inlineStr">
        <is>
          <t>Status</t>
        </is>
      </c>
      <c r="J4" s="138" t="inlineStr">
        <is>
          <t>Notes</t>
        </is>
      </c>
    </row>
    <row r="5" ht="54" customHeight="1">
      <c r="A5" s="158" t="inlineStr">
        <is>
          <t>CF-01</t>
        </is>
      </c>
      <c r="B5" s="159" t="inlineStr">
        <is>
          <t>Subscription vending</t>
        </is>
      </c>
      <c r="C5" s="159" t="inlineStr">
        <is>
          <t>Subscription pair</t>
        </is>
      </c>
      <c r="D5" s="159" t="inlineStr">
        <is>
          <t>Create {client}-preprod-sub and {client}-prod-sub through repeatable IaC/factory, not manual portal drift.</t>
        </is>
      </c>
      <c r="E5" s="159" t="inlineStr">
        <is>
          <t>Preprod sub id + tags + policy assignment</t>
        </is>
      </c>
      <c r="F5" s="159" t="inlineStr">
        <is>
          <t>Prod sub id + tags + policy assignment</t>
        </is>
      </c>
      <c r="G5" s="159" t="inlineStr">
        <is>
          <t>Platform</t>
        </is>
      </c>
      <c r="H5" s="159" t="inlineStr">
        <is>
          <t>Management groups/policy</t>
        </is>
      </c>
      <c r="I5" s="159" t="inlineStr">
        <is>
          <t>Planned</t>
        </is>
      </c>
      <c r="J5" s="160" t="inlineStr">
        <is>
          <t>Use canonical client code, not real-name leakage.</t>
        </is>
      </c>
    </row>
    <row r="6" ht="54" customHeight="1">
      <c r="A6" s="161" t="inlineStr">
        <is>
          <t>CF-02</t>
        </is>
      </c>
      <c r="B6" s="162" t="inlineStr">
        <is>
          <t>Network</t>
        </is>
      </c>
      <c r="C6" s="162" t="inlineStr">
        <is>
          <t>Private data plane</t>
        </is>
      </c>
      <c r="D6" s="162" t="inlineStr">
        <is>
          <t>VNet, private endpoints, private DNS, and no public access to DB/Search/Blob in client planes.</t>
        </is>
      </c>
      <c r="E6" s="162" t="inlineStr">
        <is>
          <t>Private endpoint proof</t>
        </is>
      </c>
      <c r="F6" s="162" t="inlineStr">
        <is>
          <t>Private endpoint proof</t>
        </is>
      </c>
      <c r="G6" s="162" t="inlineStr">
        <is>
          <t>Platform</t>
        </is>
      </c>
      <c r="H6" s="162" t="inlineStr">
        <is>
          <t>Subscription pair</t>
        </is>
      </c>
      <c r="I6" s="162" t="inlineStr">
        <is>
          <t>Planned</t>
        </is>
      </c>
      <c r="J6" s="163" t="inlineStr">
        <is>
          <t>Client prod highest control.</t>
        </is>
      </c>
    </row>
    <row r="7" ht="54" customHeight="1">
      <c r="A7" s="161" t="inlineStr">
        <is>
          <t>CF-03</t>
        </is>
      </c>
      <c r="B7" s="162" t="inlineStr">
        <is>
          <t>Secrets</t>
        </is>
      </c>
      <c r="C7" s="162" t="inlineStr">
        <is>
          <t>Key Vault</t>
        </is>
      </c>
      <c r="D7" s="162" t="inlineStr">
        <is>
          <t>Client-specific Key Vault with soft delete/purge protection and managed identity access.</t>
        </is>
      </c>
      <c r="E7" s="162" t="inlineStr">
        <is>
          <t>KV config export</t>
        </is>
      </c>
      <c r="F7" s="162" t="inlineStr">
        <is>
          <t>KV config export</t>
        </is>
      </c>
      <c r="G7" s="162" t="inlineStr">
        <is>
          <t>Security</t>
        </is>
      </c>
      <c r="H7" s="162" t="inlineStr">
        <is>
          <t>RBAC model</t>
        </is>
      </c>
      <c r="I7" s="162" t="inlineStr">
        <is>
          <t>Planned</t>
        </is>
      </c>
      <c r="J7" s="163" t="inlineStr">
        <is>
          <t>No secrets in agents or repo.</t>
        </is>
      </c>
    </row>
    <row r="8" ht="54" customHeight="1">
      <c r="A8" s="161" t="inlineStr">
        <is>
          <t>CF-04</t>
        </is>
      </c>
      <c r="B8" s="162" t="inlineStr">
        <is>
          <t>Database</t>
        </is>
      </c>
      <c r="C8" s="162" t="inlineStr">
        <is>
          <t>Postgres</t>
        </is>
      </c>
      <c r="D8" s="162" t="inlineStr">
        <is>
          <t>Client-scoped Postgres or isolated database per architecture; migrations via ACA job inside VNet.</t>
        </is>
      </c>
      <c r="E8" s="162" t="inlineStr">
        <is>
          <t>Migration proof</t>
        </is>
      </c>
      <c r="F8" s="162" t="inlineStr">
        <is>
          <t>Migration proof</t>
        </is>
      </c>
      <c r="G8" s="162" t="inlineStr">
        <is>
          <t>Data Platform</t>
        </is>
      </c>
      <c r="H8" s="162" t="inlineStr">
        <is>
          <t>Network/KV</t>
        </is>
      </c>
      <c r="I8" s="162" t="inlineStr">
        <is>
          <t>Planned</t>
        </is>
      </c>
      <c r="J8" s="163" t="inlineStr">
        <is>
          <t>No laptop private DB writes.</t>
        </is>
      </c>
    </row>
    <row r="9" ht="54" customHeight="1">
      <c r="A9" s="161" t="inlineStr">
        <is>
          <t>CF-05</t>
        </is>
      </c>
      <c r="B9" s="162" t="inlineStr">
        <is>
          <t>Storage</t>
        </is>
      </c>
      <c r="C9" s="162" t="inlineStr">
        <is>
          <t>Blob containers</t>
        </is>
      </c>
      <c r="D9" s="162" t="inlineStr">
        <is>
          <t>Original sources, generated artifacts, receipts, and file cabinet storage with versioning/soft delete.</t>
        </is>
      </c>
      <c r="E9" s="162" t="inlineStr">
        <is>
          <t>Blob proof + container policy</t>
        </is>
      </c>
      <c r="F9" s="162" t="inlineStr">
        <is>
          <t>Blob proof + container policy</t>
        </is>
      </c>
      <c r="G9" s="162" t="inlineStr">
        <is>
          <t>Data Platform</t>
        </is>
      </c>
      <c r="H9" s="162" t="inlineStr">
        <is>
          <t>Network/KV</t>
        </is>
      </c>
      <c r="I9" s="162" t="inlineStr">
        <is>
          <t>Planned</t>
        </is>
      </c>
      <c r="J9" s="163" t="inlineStr">
        <is>
          <t>Lineage starts here.</t>
        </is>
      </c>
    </row>
    <row r="10" ht="54" customHeight="1">
      <c r="A10" s="161" t="inlineStr">
        <is>
          <t>CF-06</t>
        </is>
      </c>
      <c r="B10" s="162" t="inlineStr">
        <is>
          <t>Search</t>
        </is>
      </c>
      <c r="C10" s="162" t="inlineStr">
        <is>
          <t>Azure AI Search</t>
        </is>
      </c>
      <c r="D10" s="162" t="inlineStr">
        <is>
          <t>Tenant/client filtered indexes with stable IDs, citation metadata, lifecycle state, and current-state filtering.</t>
        </is>
      </c>
      <c r="E10" s="162" t="inlineStr">
        <is>
          <t>Index proof</t>
        </is>
      </c>
      <c r="F10" s="162" t="inlineStr">
        <is>
          <t>Index proof</t>
        </is>
      </c>
      <c r="G10" s="162" t="inlineStr">
        <is>
          <t>Data Platform</t>
        </is>
      </c>
      <c r="H10" s="162" t="inlineStr">
        <is>
          <t>DB/Blob</t>
        </is>
      </c>
      <c r="I10" s="162" t="inlineStr">
        <is>
          <t>Planned</t>
        </is>
      </c>
      <c r="J10" s="163" t="inlineStr">
        <is>
          <t>No indexed-only readiness claims.</t>
        </is>
      </c>
    </row>
    <row r="11" ht="54" customHeight="1">
      <c r="A11" s="161" t="inlineStr">
        <is>
          <t>CF-07</t>
        </is>
      </c>
      <c r="B11" s="162" t="inlineStr">
        <is>
          <t>Ingestion</t>
        </is>
      </c>
      <c r="C11" s="162" t="inlineStr">
        <is>
          <t>Admin bulk path</t>
        </is>
      </c>
      <c r="D11" s="162" t="inlineStr">
        <is>
          <t>Template/manifest-driven upload, classification, validation, parser receipts, review queue for low-confidence docs.</t>
        </is>
      </c>
      <c r="E11" s="162" t="inlineStr">
        <is>
          <t>Upload receipt</t>
        </is>
      </c>
      <c r="F11" s="162" t="inlineStr">
        <is>
          <t>Controlled production upload receipt</t>
        </is>
      </c>
      <c r="G11" s="162" t="inlineStr">
        <is>
          <t>Data Platform</t>
        </is>
      </c>
      <c r="H11" s="162" t="inlineStr">
        <is>
          <t>Templates approved</t>
        </is>
      </c>
      <c r="I11" s="162" t="inlineStr">
        <is>
          <t>Planned</t>
        </is>
      </c>
      <c r="J11" s="163" t="inlineStr">
        <is>
          <t>Synthetic reference should use same path.</t>
        </is>
      </c>
    </row>
    <row r="12" ht="54" customHeight="1">
      <c r="A12" s="161" t="inlineStr">
        <is>
          <t>CF-08</t>
        </is>
      </c>
      <c r="B12" s="162" t="inlineStr">
        <is>
          <t>Data policy</t>
        </is>
      </c>
      <c r="C12" s="162" t="inlineStr">
        <is>
          <t>No PHI/PII</t>
        </is>
      </c>
      <c r="D12" s="162" t="inlineStr">
        <is>
          <t>PHI/PII blocked/quarantined before storage, parsing, indexing, retrieval, or model use.</t>
        </is>
      </c>
      <c r="E12" s="162" t="inlineStr">
        <is>
          <t>Block test evidence</t>
        </is>
      </c>
      <c r="F12" s="162" t="inlineStr">
        <is>
          <t>Block test evidence</t>
        </is>
      </c>
      <c r="G12" s="162" t="inlineStr">
        <is>
          <t>Security/Data</t>
        </is>
      </c>
      <c r="H12" s="162" t="inlineStr">
        <is>
          <t>Upload path</t>
        </is>
      </c>
      <c r="I12" s="162" t="inlineStr">
        <is>
          <t>Planned</t>
        </is>
      </c>
      <c r="J12" s="163" t="inlineStr">
        <is>
          <t>Business names/emails policy must be explicit.</t>
        </is>
      </c>
    </row>
    <row r="13" ht="54" customHeight="1">
      <c r="A13" s="161" t="inlineStr">
        <is>
          <t>CF-09</t>
        </is>
      </c>
      <c r="B13" s="162" t="inlineStr">
        <is>
          <t>Idempotency</t>
        </is>
      </c>
      <c r="C13" s="162" t="inlineStr">
        <is>
          <t>Fact update model</t>
        </is>
      </c>
      <c r="D13" s="162" t="inlineStr">
        <is>
          <t>Re-upload same logical facts should update/supersede, not create duplicate current rows.</t>
        </is>
      </c>
      <c r="E13" s="162" t="inlineStr">
        <is>
          <t>Duplicate check</t>
        </is>
      </c>
      <c r="F13" s="162" t="inlineStr">
        <is>
          <t>Duplicate check</t>
        </is>
      </c>
      <c r="G13" s="162" t="inlineStr">
        <is>
          <t>Data Platform</t>
        </is>
      </c>
      <c r="H13" s="162" t="inlineStr">
        <is>
          <t>Ingestion path</t>
        </is>
      </c>
      <c r="I13" s="162" t="inlineStr">
        <is>
          <t>Planned</t>
        </is>
      </c>
      <c r="J13" s="163" t="inlineStr">
        <is>
          <t>Use deterministic fact identity.</t>
        </is>
      </c>
    </row>
    <row r="14" ht="54" customHeight="1">
      <c r="A14" s="161" t="inlineStr">
        <is>
          <t>CF-10</t>
        </is>
      </c>
      <c r="B14" s="162" t="inlineStr">
        <is>
          <t>Readiness</t>
        </is>
      </c>
      <c r="C14" s="162" t="inlineStr">
        <is>
          <t>Context health check</t>
        </is>
      </c>
      <c r="D14" s="162" t="inlineStr">
        <is>
          <t>Loaded + fact-backed + indexed + retrievable + cited + promotion-evaluated + bundle-proven.</t>
        </is>
      </c>
      <c r="E14" s="162" t="inlineStr">
        <is>
          <t>Health report</t>
        </is>
      </c>
      <c r="F14" s="162" t="inlineStr">
        <is>
          <t>Health report</t>
        </is>
      </c>
      <c r="G14" s="162" t="inlineStr">
        <is>
          <t>Data/Product</t>
        </is>
      </c>
      <c r="H14" s="162" t="inlineStr">
        <is>
          <t>Ingestion/Search</t>
        </is>
      </c>
      <c r="I14" s="162" t="inlineStr">
        <is>
          <t>Planned</t>
        </is>
      </c>
      <c r="J14" s="163" t="inlineStr">
        <is>
          <t>Real bar for agent use.</t>
        </is>
      </c>
    </row>
    <row r="15" ht="54" customHeight="1">
      <c r="A15" s="161" t="inlineStr">
        <is>
          <t>CF-11</t>
        </is>
      </c>
      <c r="B15" s="162" t="inlineStr">
        <is>
          <t>Access</t>
        </is>
      </c>
      <c r="C15" s="162" t="inlineStr">
        <is>
          <t>Client users</t>
        </is>
      </c>
      <c r="D15" s="162" t="inlineStr">
        <is>
          <t>Client/admin users mapped to roles; operator personas have DB person rows; no cross-client access.</t>
        </is>
      </c>
      <c r="E15" s="162" t="inlineStr">
        <is>
          <t>Access test</t>
        </is>
      </c>
      <c r="F15" s="162" t="inlineStr">
        <is>
          <t>Access test</t>
        </is>
      </c>
      <c r="G15" s="162" t="inlineStr">
        <is>
          <t>Identity/Product</t>
        </is>
      </c>
      <c r="H15" s="162" t="inlineStr">
        <is>
          <t>RBAC/Auth</t>
        </is>
      </c>
      <c r="I15" s="162" t="inlineStr">
        <is>
          <t>Planned</t>
        </is>
      </c>
      <c r="J15" s="163" t="inlineStr">
        <is>
          <t>Avoid tenant switcher risk.</t>
        </is>
      </c>
    </row>
    <row r="16" ht="54" customHeight="1">
      <c r="A16" s="161" t="inlineStr">
        <is>
          <t>CF-12</t>
        </is>
      </c>
      <c r="B16" s="162" t="inlineStr">
        <is>
          <t>Audit</t>
        </is>
      </c>
      <c r="C16" s="162" t="inlineStr">
        <is>
          <t>Evidence register</t>
        </is>
      </c>
      <c r="D16" s="162" t="inlineStr">
        <is>
          <t>Deployment, ingestion, retrieval, agent run, and approval evidence retained.</t>
        </is>
      </c>
      <c r="E16" s="162" t="inlineStr">
        <is>
          <t>Evidence packet</t>
        </is>
      </c>
      <c r="F16" s="162" t="inlineStr">
        <is>
          <t>Evidence packet</t>
        </is>
      </c>
      <c r="G16" s="162" t="inlineStr">
        <is>
          <t>Ops</t>
        </is>
      </c>
      <c r="H16" s="162" t="inlineStr">
        <is>
          <t>All prior</t>
        </is>
      </c>
      <c r="I16" s="162" t="inlineStr">
        <is>
          <t>Planned</t>
        </is>
      </c>
      <c r="J16" s="163" t="inlineStr">
        <is>
          <t>Pilot readiness requirement.</t>
        </is>
      </c>
    </row>
    <row r="17" ht="54" customHeight="1">
      <c r="A17" s="164" t="inlineStr">
        <is>
          <t>CF-13</t>
        </is>
      </c>
      <c r="B17" s="165" t="inlineStr">
        <is>
          <t>Rollback</t>
        </is>
      </c>
      <c r="C17" s="165" t="inlineStr">
        <is>
          <t>Rollback plan</t>
        </is>
      </c>
      <c r="D17" s="165" t="inlineStr">
        <is>
          <t>Application rollback, feature flag disable, data disable, index rebuild, migration forward-fix path documented.</t>
        </is>
      </c>
      <c r="E17" s="165" t="inlineStr">
        <is>
          <t>Rollback rehearsal</t>
        </is>
      </c>
      <c r="F17" s="165" t="inlineStr">
        <is>
          <t>Rollback rehearsal</t>
        </is>
      </c>
      <c r="G17" s="165" t="inlineStr">
        <is>
          <t>Ops/Platform</t>
        </is>
      </c>
      <c r="H17" s="165" t="inlineStr">
        <is>
          <t>Deploy path</t>
        </is>
      </c>
      <c r="I17" s="165" t="inlineStr">
        <is>
          <t>Planned</t>
        </is>
      </c>
      <c r="J17" s="166" t="inlineStr">
        <is>
          <t>No prod without tested rollback.</t>
        </is>
      </c>
    </row>
  </sheetData>
  <mergeCells count="2">
    <mergeCell ref="A2:H2"/>
    <mergeCell ref="A1:H1"/>
  </mergeCells>
  <conditionalFormatting sqref="I5:I17">
    <cfRule type="containsText" priority="1" operator="containsText" dxfId="25" text="Complete"/>
    <cfRule type="containsText" priority="2" operator="containsText" dxfId="26" text="Ready"/>
    <cfRule type="containsText" priority="3" operator="containsText" dxfId="27" text="Blocked"/>
    <cfRule type="containsText" priority="4" operator="containsText" dxfId="28" text="Planned"/>
  </conditionalFormatting>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M21"/>
  <sheetViews>
    <sheetView showGridLines="0" workbookViewId="0">
      <selection activeCell="A1" sqref="A1"/>
    </sheetView>
  </sheetViews>
  <sheetFormatPr baseColWidth="8" defaultRowHeight="15"/>
  <cols>
    <col width="16" customWidth="1" min="1" max="1"/>
    <col width="21.11000061035156" customWidth="1" min="2" max="2"/>
    <col width="28.88999938964844" customWidth="1" min="3" max="3"/>
    <col width="27.78000068664551" customWidth="1" min="4" max="4"/>
    <col width="23.32999992370605" customWidth="1" min="5" max="5"/>
    <col width="20" customWidth="1" min="6" max="6"/>
    <col width="16" customWidth="1" min="7" max="7"/>
    <col width="16" customWidth="1" min="8" max="8"/>
    <col width="16" customWidth="1" min="9" max="9"/>
    <col width="28.88999938964844" customWidth="1" min="10" max="10"/>
    <col width="16" customWidth="1" min="11" max="11"/>
    <col width="16" customWidth="1" min="12" max="12"/>
    <col width="16" customWidth="1" min="13" max="13"/>
  </cols>
  <sheetData>
    <row r="1" ht="24" customHeight="1">
      <c r="A1" s="169" t="inlineStr">
        <is>
          <t>Repo, CI/CD, and Governance Gates</t>
        </is>
      </c>
      <c r="B1" s="98" t="n"/>
      <c r="C1" s="98" t="n"/>
      <c r="D1" s="98" t="n"/>
      <c r="E1" s="98" t="n"/>
      <c r="F1" s="98" t="n"/>
      <c r="G1" s="98" t="n"/>
      <c r="H1" s="98" t="n"/>
      <c r="I1" s="167" t="n"/>
      <c r="J1" s="167" t="n"/>
      <c r="K1" s="167" t="n"/>
      <c r="L1" s="167" t="n"/>
      <c r="M1" s="167" t="n"/>
    </row>
    <row r="2" ht="18" customHeight="1">
      <c r="A2" s="170" t="inlineStr">
        <is>
          <t>These are the enforceable checks that preserve speed while preventing unsafe product/client-data movement.</t>
        </is>
      </c>
      <c r="B2" s="98" t="n"/>
      <c r="C2" s="98" t="n"/>
      <c r="D2" s="98" t="n"/>
      <c r="E2" s="98" t="n"/>
      <c r="F2" s="98" t="n"/>
      <c r="G2" s="98" t="n"/>
      <c r="H2" s="98" t="n"/>
      <c r="I2" s="167" t="n"/>
      <c r="J2" s="167" t="n"/>
      <c r="K2" s="167" t="n"/>
      <c r="L2" s="167" t="n"/>
      <c r="M2" s="167" t="n"/>
    </row>
    <row r="3" ht="9" customHeight="1"/>
    <row r="4" ht="21" customHeight="1">
      <c r="A4" s="136" t="inlineStr">
        <is>
          <t>ID</t>
        </is>
      </c>
      <c r="B4" s="137" t="inlineStr">
        <is>
          <t>Gate</t>
        </is>
      </c>
      <c r="C4" s="137" t="inlineStr">
        <is>
          <t>Rule</t>
        </is>
      </c>
      <c r="D4" s="137" t="inlineStr">
        <is>
          <t>Where Enforced</t>
        </is>
      </c>
      <c r="E4" s="137" t="inlineStr">
        <is>
          <t>Evidence</t>
        </is>
      </c>
      <c r="F4" s="137" t="inlineStr">
        <is>
          <t>Owner</t>
        </is>
      </c>
      <c r="G4" s="137" t="inlineStr">
        <is>
          <t>Required For</t>
        </is>
      </c>
      <c r="H4" s="137" t="inlineStr">
        <is>
          <t>Status</t>
        </is>
      </c>
      <c r="I4" s="137" t="inlineStr">
        <is>
          <t>Priority</t>
        </is>
      </c>
      <c r="J4" s="138" t="inlineStr">
        <is>
          <t>Notes</t>
        </is>
      </c>
    </row>
    <row r="5" ht="48" customHeight="1">
      <c r="A5" s="158" t="inlineStr">
        <is>
          <t>G-01</t>
        </is>
      </c>
      <c r="B5" s="159" t="inlineStr">
        <is>
          <t>Release records</t>
        </is>
      </c>
      <c r="C5" s="159" t="inlineStr">
        <is>
          <t>Every release-relevant PR has a release record with layer, clients affected, QA, rollout, rollback, audit evidence.</t>
        </is>
      </c>
      <c r="D5" s="159" t="inlineStr">
        <is>
          <t>CI release:check</t>
        </is>
      </c>
      <c r="E5" s="159" t="inlineStr">
        <is>
          <t>Release record path</t>
        </is>
      </c>
      <c r="F5" s="159" t="inlineStr">
        <is>
          <t>Engineering</t>
        </is>
      </c>
      <c r="G5" s="159" t="inlineStr">
        <is>
          <t>Preview/Prod</t>
        </is>
      </c>
      <c r="H5" s="159" t="inlineStr">
        <is>
          <t>Partially in repo</t>
        </is>
      </c>
      <c r="I5" s="159" t="inlineStr">
        <is>
          <t>P0</t>
        </is>
      </c>
      <c r="J5" s="160" t="inlineStr">
        <is>
          <t>Already a repo pattern; keep hard.</t>
        </is>
      </c>
      <c r="K5" s="106" t="n"/>
      <c r="L5" s="106" t="n"/>
      <c r="M5" s="106" t="n"/>
    </row>
    <row r="6" ht="48" customHeight="1">
      <c r="A6" s="161" t="inlineStr">
        <is>
          <t>G-02</t>
        </is>
      </c>
      <c r="B6" s="162" t="inlineStr">
        <is>
          <t>Migration replay</t>
        </is>
      </c>
      <c r="C6" s="162" t="inlineStr">
        <is>
          <t>Fresh Postgres migration replay must pass before merge.</t>
        </is>
      </c>
      <c r="D6" s="162" t="inlineStr">
        <is>
          <t>GitHub Actions</t>
        </is>
      </c>
      <c r="E6" s="162" t="inlineStr">
        <is>
          <t>CI check log</t>
        </is>
      </c>
      <c r="F6" s="162" t="inlineStr">
        <is>
          <t>Data Platform</t>
        </is>
      </c>
      <c r="G6" s="162" t="inlineStr">
        <is>
          <t>All DB changes</t>
        </is>
      </c>
      <c r="H6" s="162" t="inlineStr">
        <is>
          <t>Required</t>
        </is>
      </c>
      <c r="I6" s="162" t="inlineStr">
        <is>
          <t>P0</t>
        </is>
      </c>
      <c r="J6" s="163" t="inlineStr">
        <is>
          <t>Blocks broken ordering.</t>
        </is>
      </c>
      <c r="K6" s="106" t="n"/>
      <c r="L6" s="106" t="n"/>
      <c r="M6" s="106" t="n"/>
    </row>
    <row r="7" ht="48" customHeight="1">
      <c r="A7" s="161" t="inlineStr">
        <is>
          <t>G-03</t>
        </is>
      </c>
      <c r="B7" s="162" t="inlineStr">
        <is>
          <t>No destructive migrations</t>
        </is>
      </c>
      <c r="C7" s="162" t="inlineStr">
        <is>
          <t>Destructive migration requires explicit approval and rollback/restore plan.</t>
        </is>
      </c>
      <c r="D7" s="162" t="inlineStr">
        <is>
          <t>PR review + CI policy</t>
        </is>
      </c>
      <c r="E7" s="162" t="inlineStr">
        <is>
          <t>Approval note + plan</t>
        </is>
      </c>
      <c r="F7" s="162" t="inlineStr">
        <is>
          <t>Data Platform</t>
        </is>
      </c>
      <c r="G7" s="162" t="inlineStr">
        <is>
          <t>All DB changes</t>
        </is>
      </c>
      <c r="H7" s="162" t="inlineStr">
        <is>
          <t>Required</t>
        </is>
      </c>
      <c r="I7" s="162" t="inlineStr">
        <is>
          <t>P0</t>
        </is>
      </c>
      <c r="J7" s="163" t="inlineStr">
        <is>
          <t>Prefer expand-contract.</t>
        </is>
      </c>
      <c r="K7" s="106" t="n"/>
      <c r="L7" s="106" t="n"/>
      <c r="M7" s="106" t="n"/>
    </row>
    <row r="8" ht="48" customHeight="1">
      <c r="A8" s="161" t="inlineStr">
        <is>
          <t>G-04</t>
        </is>
      </c>
      <c r="B8" s="162" t="inlineStr">
        <is>
          <t>Tenant drift</t>
        </is>
      </c>
      <c r="C8" s="162" t="inlineStr">
        <is>
          <t>No hand-typed tenant lists; use canonical tenant registry.</t>
        </is>
      </c>
      <c r="D8" s="162" t="inlineStr">
        <is>
          <t>CI validator</t>
        </is>
      </c>
      <c r="E8" s="162" t="inlineStr">
        <is>
          <t>Validator output</t>
        </is>
      </c>
      <c r="F8" s="162" t="inlineStr">
        <is>
          <t>Engineering</t>
        </is>
      </c>
      <c r="G8" s="162" t="inlineStr">
        <is>
          <t>All tenant-aware code</t>
        </is>
      </c>
      <c r="H8" s="162" t="inlineStr">
        <is>
          <t>Required</t>
        </is>
      </c>
      <c r="I8" s="162" t="inlineStr">
        <is>
          <t>P0</t>
        </is>
      </c>
      <c r="J8" s="163" t="inlineStr">
        <is>
          <t>Prevents client leakage/drift.</t>
        </is>
      </c>
      <c r="K8" s="106" t="n"/>
      <c r="L8" s="106" t="n"/>
      <c r="M8" s="106" t="n"/>
    </row>
    <row r="9" ht="48" customHeight="1">
      <c r="A9" s="161" t="inlineStr">
        <is>
          <t>G-05</t>
        </is>
      </c>
      <c r="B9" s="162" t="inlineStr">
        <is>
          <t>No PHI/PII</t>
        </is>
      </c>
      <c r="C9" s="162" t="inlineStr">
        <is>
          <t>PHI/PII fixtures or uploads are blocked/quarantined; not accepted into agent context.</t>
        </is>
      </c>
      <c r="D9" s="162" t="inlineStr">
        <is>
          <t>Upload tests + policy validator</t>
        </is>
      </c>
      <c r="E9" s="162" t="inlineStr">
        <is>
          <t>Block test report</t>
        </is>
      </c>
      <c r="F9" s="162" t="inlineStr">
        <is>
          <t>Security/Data</t>
        </is>
      </c>
      <c r="G9" s="162" t="inlineStr">
        <is>
          <t>All data changes</t>
        </is>
      </c>
      <c r="H9" s="162" t="inlineStr">
        <is>
          <t>Needs tightening</t>
        </is>
      </c>
      <c r="I9" s="162" t="inlineStr">
        <is>
          <t>P0</t>
        </is>
      </c>
      <c r="J9" s="163" t="inlineStr">
        <is>
          <t>Business name/email policy is separate.</t>
        </is>
      </c>
      <c r="K9" s="106" t="n"/>
      <c r="L9" s="106" t="n"/>
      <c r="M9" s="106" t="n"/>
    </row>
    <row r="10" ht="48" customHeight="1">
      <c r="A10" s="161" t="inlineStr">
        <is>
          <t>G-06</t>
        </is>
      </c>
      <c r="B10" s="162" t="inlineStr">
        <is>
          <t>Context governance</t>
        </is>
      </c>
      <c r="C10" s="162" t="inlineStr">
        <is>
          <t>No agent_ready without policy validation, retrieval, citation, and bundle proof.</t>
        </is>
      </c>
      <c r="D10" s="162" t="inlineStr">
        <is>
          <t>Context/corpus validators</t>
        </is>
      </c>
      <c r="E10" s="162" t="inlineStr">
        <is>
          <t>CI context/corpus gate + PR #3461</t>
        </is>
      </c>
      <c r="F10" s="162" t="inlineStr">
        <is>
          <t>Data Platform</t>
        </is>
      </c>
      <c r="G10" s="162" t="inlineStr">
        <is>
          <t>Agent/data changes</t>
        </is>
      </c>
      <c r="H10" s="162" t="inlineStr">
        <is>
          <t>Strengthened</t>
        </is>
      </c>
      <c r="I10" s="162" t="inlineStr">
        <is>
          <t>P0</t>
        </is>
      </c>
      <c r="J10" s="163" t="inlineStr">
        <is>
          <t>Context/corpus gate caught direct agent_ready minting in SkyHarbor AMS scenario; fixed via evaluateGovernedObject in PR #3461. Continue runtime proof work.</t>
        </is>
      </c>
      <c r="K10" s="106" t="n"/>
      <c r="L10" s="106" t="n"/>
      <c r="M10" s="106" t="n"/>
    </row>
    <row r="11" ht="48" customHeight="1">
      <c r="A11" s="161" t="inlineStr">
        <is>
          <t>G-07</t>
        </is>
      </c>
      <c r="B11" s="162" t="inlineStr">
        <is>
          <t>Ungoverned context block</t>
        </is>
      </c>
      <c r="C11" s="162" t="inlineStr">
        <is>
          <t>No raw ungoverned context into Claude/OpenAI/model input.</t>
        </is>
      </c>
      <c r="D11" s="162" t="inlineStr">
        <is>
          <t>Runtime bundle tests</t>
        </is>
      </c>
      <c r="E11" s="162" t="inlineStr">
        <is>
          <t>Unit/integration tests</t>
        </is>
      </c>
      <c r="F11" s="162" t="inlineStr">
        <is>
          <t>Agent Platform</t>
        </is>
      </c>
      <c r="G11" s="162" t="inlineStr">
        <is>
          <t>Agent changes</t>
        </is>
      </c>
      <c r="H11" s="162" t="inlineStr">
        <is>
          <t>Required</t>
        </is>
      </c>
      <c r="I11" s="162" t="inlineStr">
        <is>
          <t>P0</t>
        </is>
      </c>
      <c r="J11" s="163" t="inlineStr">
        <is>
          <t>The model only sees validated bundle.</t>
        </is>
      </c>
      <c r="K11" s="106" t="n"/>
      <c r="L11" s="106" t="n"/>
      <c r="M11" s="106" t="n"/>
    </row>
    <row r="12" ht="48" customHeight="1">
      <c r="A12" s="161" t="inlineStr">
        <is>
          <t>G-08</t>
        </is>
      </c>
      <c r="B12" s="162" t="inlineStr">
        <is>
          <t>No Vercel prod runtime</t>
        </is>
      </c>
      <c r="C12" s="162" t="inlineStr">
        <is>
          <t>Production runtime deploys must target Azure Container Apps, not Vercel.</t>
        </is>
      </c>
      <c r="D12" s="162" t="inlineStr">
        <is>
          <t>production-readiness-gate.yml</t>
        </is>
      </c>
      <c r="E12" s="162" t="inlineStr">
        <is>
          <t>audit:vercel-production-runtime:check</t>
        </is>
      </c>
      <c r="F12" s="162" t="inlineStr">
        <is>
          <t>Platform</t>
        </is>
      </c>
      <c r="G12" s="162" t="inlineStr">
        <is>
          <t>Prod releases</t>
        </is>
      </c>
      <c r="H12" s="162" t="inlineStr">
        <is>
          <t>CI-enforced</t>
        </is>
      </c>
      <c r="I12" s="162" t="inlineStr">
        <is>
          <t>P0</t>
        </is>
      </c>
      <c r="J12" s="163" t="inlineStr">
        <is>
          <t>Vercel production-runtime guard added to production readiness in PR #3461. Existing legacy rollback debt is baselined, new growth blocked.</t>
        </is>
      </c>
      <c r="K12" s="106" t="n"/>
      <c r="L12" s="106" t="n"/>
      <c r="M12" s="106" t="n"/>
    </row>
    <row r="13" ht="48" customHeight="1">
      <c r="A13" s="161" t="inlineStr">
        <is>
          <t>G-09</t>
        </is>
      </c>
      <c r="B13" s="162" t="inlineStr">
        <is>
          <t>No Supabase runtime</t>
        </is>
      </c>
      <c r="C13" s="162" t="inlineStr">
        <is>
          <t>Do not introduce new Supabase runtime dependency. Use Azure/Postgres adapters.</t>
        </is>
      </c>
      <c r="D13" s="162" t="inlineStr">
        <is>
          <t>Architecture tests/review</t>
        </is>
      </c>
      <c r="E13" s="162" t="inlineStr">
        <is>
          <t>audit:runtime-supabase-imports:guard</t>
        </is>
      </c>
      <c r="F13" s="162" t="inlineStr">
        <is>
          <t>Engineering</t>
        </is>
      </c>
      <c r="G13" s="162" t="inlineStr">
        <is>
          <t>Runtime/data changes</t>
        </is>
      </c>
      <c r="H13" s="162" t="inlineStr">
        <is>
          <t>Required</t>
        </is>
      </c>
      <c r="I13" s="162" t="inlineStr">
        <is>
          <t>P0</t>
        </is>
      </c>
      <c r="J13" s="163" t="inlineStr">
        <is>
          <t>Runtime Supabase guard remains required; do not delete legacy migration history until parity/retirement is approved.</t>
        </is>
      </c>
      <c r="K13" s="106" t="n"/>
      <c r="L13" s="106" t="n"/>
      <c r="M13" s="106" t="n"/>
    </row>
    <row r="14" ht="48" customHeight="1">
      <c r="A14" s="161" t="inlineStr">
        <is>
          <t>G-10</t>
        </is>
      </c>
      <c r="B14" s="162" t="inlineStr">
        <is>
          <t>Private data writes</t>
        </is>
      </c>
      <c r="C14" s="162" t="inlineStr">
        <is>
          <t>Private DB/search/blob writes run through ACA/VNet jobs, not laptop scripts.</t>
        </is>
      </c>
      <c r="D14" s="162" t="inlineStr">
        <is>
          <t>Runbook + job evidence</t>
        </is>
      </c>
      <c r="E14" s="162" t="inlineStr">
        <is>
          <t>Job execution ID</t>
        </is>
      </c>
      <c r="F14" s="162" t="inlineStr">
        <is>
          <t>Platform/Data</t>
        </is>
      </c>
      <c r="G14" s="162" t="inlineStr">
        <is>
          <t>Client/prod data</t>
        </is>
      </c>
      <c r="H14" s="162" t="inlineStr">
        <is>
          <t>Required</t>
        </is>
      </c>
      <c r="I14" s="162" t="inlineStr">
        <is>
          <t>P0</t>
        </is>
      </c>
      <c r="J14" s="163" t="inlineStr">
        <is>
          <t>Operator job restore required after use.</t>
        </is>
      </c>
      <c r="K14" s="106" t="n"/>
      <c r="L14" s="106" t="n"/>
      <c r="M14" s="106" t="n"/>
    </row>
    <row r="15" ht="48" customHeight="1">
      <c r="A15" s="161" t="inlineStr">
        <is>
          <t>G-11</t>
        </is>
      </c>
      <c r="B15" s="162" t="inlineStr">
        <is>
          <t>Image immutability</t>
        </is>
      </c>
      <c r="C15" s="162" t="inlineStr">
        <is>
          <t>Deploy by ACR image digest; capture ACA revision and traffic state.</t>
        </is>
      </c>
      <c r="D15" s="162" t="inlineStr">
        <is>
          <t>Deploy workflow</t>
        </is>
      </c>
      <c r="E15" s="162" t="inlineStr">
        <is>
          <t>ACR digest + ACA revision</t>
        </is>
      </c>
      <c r="F15" s="162" t="inlineStr">
        <is>
          <t>Platform</t>
        </is>
      </c>
      <c r="G15" s="162" t="inlineStr">
        <is>
          <t>Preview/Prod</t>
        </is>
      </c>
      <c r="H15" s="162" t="inlineStr">
        <is>
          <t>Required</t>
        </is>
      </c>
      <c r="I15" s="162" t="inlineStr">
        <is>
          <t>P0</t>
        </is>
      </c>
      <c r="J15" s="163" t="inlineStr">
        <is>
          <t>No mutable tag-only prod deploy.</t>
        </is>
      </c>
      <c r="K15" s="106" t="n"/>
      <c r="L15" s="106" t="n"/>
      <c r="M15" s="106" t="n"/>
    </row>
    <row r="16" ht="48" customHeight="1">
      <c r="A16" s="161" t="inlineStr">
        <is>
          <t>G-12</t>
        </is>
      </c>
      <c r="B16" s="162" t="inlineStr">
        <is>
          <t>Tenant isolation</t>
        </is>
      </c>
      <c r="C16" s="162" t="inlineStr">
        <is>
          <t>Tenant A cannot read Tenant B programs, artifacts, context bundles, search docs, or audit logs.</t>
        </is>
      </c>
      <c r="D16" s="162" t="inlineStr">
        <is>
          <t>Integration/E2E tests</t>
        </is>
      </c>
      <c r="E16" s="162" t="inlineStr">
        <is>
          <t>Isolation report</t>
        </is>
      </c>
      <c r="F16" s="162" t="inlineStr">
        <is>
          <t>Security/Product</t>
        </is>
      </c>
      <c r="G16" s="162" t="inlineStr">
        <is>
          <t>Preview/Prod</t>
        </is>
      </c>
      <c r="H16" s="162" t="inlineStr">
        <is>
          <t>Required</t>
        </is>
      </c>
      <c r="I16" s="162" t="inlineStr">
        <is>
          <t>P0</t>
        </is>
      </c>
      <c r="J16" s="163" t="inlineStr">
        <is>
          <t>Pilot no-go if failed.</t>
        </is>
      </c>
      <c r="K16" s="106" t="n"/>
      <c r="L16" s="106" t="n"/>
      <c r="M16" s="106" t="n"/>
    </row>
    <row r="17" ht="48" customHeight="1">
      <c r="A17" s="161" t="inlineStr">
        <is>
          <t>G-13</t>
        </is>
      </c>
      <c r="B17" s="162" t="inlineStr">
        <is>
          <t>Upload truth standard</t>
        </is>
      </c>
      <c r="C17" s="162" t="inlineStr">
        <is>
          <t>Report each ingestion state separately: staged, parsed, committed, indexed, retrieved, cited, agent-ready.</t>
        </is>
      </c>
      <c r="D17" s="162" t="inlineStr">
        <is>
          <t>PR/release receipt</t>
        </is>
      </c>
      <c r="E17" s="162" t="inlineStr">
        <is>
          <t>Ingestion receipt</t>
        </is>
      </c>
      <c r="F17" s="162" t="inlineStr">
        <is>
          <t>Data Platform</t>
        </is>
      </c>
      <c r="G17" s="162" t="inlineStr">
        <is>
          <t>Ingestion changes</t>
        </is>
      </c>
      <c r="H17" s="162" t="inlineStr">
        <is>
          <t>Required</t>
        </is>
      </c>
      <c r="I17" s="162" t="inlineStr">
        <is>
          <t>P0</t>
        </is>
      </c>
      <c r="J17" s="163" t="inlineStr">
        <is>
          <t>Do not call chunks-only ready.</t>
        </is>
      </c>
      <c r="K17" s="106" t="n"/>
      <c r="L17" s="106" t="n"/>
      <c r="M17" s="106" t="n"/>
    </row>
    <row r="18" ht="48" customHeight="1">
      <c r="A18" s="161" t="inlineStr">
        <is>
          <t>G-14</t>
        </is>
      </c>
      <c r="B18" s="162" t="inlineStr">
        <is>
          <t>Feature flag hygiene</t>
        </is>
      </c>
      <c r="C18" s="162" t="inlineStr">
        <is>
          <t>Non-trivial workflows and agent behavior are feature-flagged with owner, rollout, expiration, cleanup.</t>
        </is>
      </c>
      <c r="D18" s="162" t="inlineStr">
        <is>
          <t>PR review + config tests</t>
        </is>
      </c>
      <c r="E18" s="162" t="inlineStr">
        <is>
          <t>Flag register</t>
        </is>
      </c>
      <c r="F18" s="162" t="inlineStr">
        <is>
          <t>Product/Engineering</t>
        </is>
      </c>
      <c r="G18" s="162" t="inlineStr">
        <is>
          <t>Feature changes</t>
        </is>
      </c>
      <c r="H18" s="162" t="inlineStr">
        <is>
          <t>Required</t>
        </is>
      </c>
      <c r="I18" s="162" t="inlineStr">
        <is>
          <t>P1</t>
        </is>
      </c>
      <c r="J18" s="163" t="inlineStr">
        <is>
          <t>Avoid zombie flags.</t>
        </is>
      </c>
      <c r="K18" s="106" t="n"/>
      <c r="L18" s="106" t="n"/>
      <c r="M18" s="106" t="n"/>
    </row>
    <row r="19" ht="48" customHeight="1">
      <c r="A19" s="164" t="inlineStr">
        <is>
          <t>G-15</t>
        </is>
      </c>
      <c r="B19" s="165" t="inlineStr">
        <is>
          <t>Browser proof</t>
        </is>
      </c>
      <c r="C19" s="165" t="inlineStr">
        <is>
          <t>Pilot-critical UI changes require signed-in browser proof on target environment.</t>
        </is>
      </c>
      <c r="D19" s="165" t="inlineStr">
        <is>
          <t>QA checklist</t>
        </is>
      </c>
      <c r="E19" s="165" t="inlineStr">
        <is>
          <t>Screenshots/JSON</t>
        </is>
      </c>
      <c r="F19" s="165" t="inlineStr">
        <is>
          <t>QA/Product</t>
        </is>
      </c>
      <c r="G19" s="165" t="inlineStr">
        <is>
          <t>Pilot paths</t>
        </is>
      </c>
      <c r="H19" s="165" t="inlineStr">
        <is>
          <t>Required</t>
        </is>
      </c>
      <c r="I19" s="165" t="inlineStr">
        <is>
          <t>P1</t>
        </is>
      </c>
      <c r="J19" s="166" t="inlineStr">
        <is>
          <t>Local-only not enough for live fixes.</t>
        </is>
      </c>
      <c r="K19" s="106" t="n"/>
      <c r="L19" s="106" t="n"/>
      <c r="M19" s="106" t="n"/>
    </row>
    <row r="20">
      <c r="A20" s="106" t="inlineStr">
        <is>
          <t>G-16</t>
        </is>
      </c>
      <c r="B20" s="106" t="inlineStr">
        <is>
          <t>Environment factory manifest</t>
        </is>
      </c>
      <c r="C20" s="106" t="inlineStr">
        <is>
          <t>Product Dev, Product Preview, Product Prod, Client Preprod, and Client Prod must match the machine-readable environment factory baseline.</t>
        </is>
      </c>
      <c r="D20" s="106" t="inlineStr">
        <is>
          <t>production-readiness-gate.yml</t>
        </is>
      </c>
      <c r="E20" s="106" t="inlineStr">
        <is>
          <t>azure:environment-factory:verify</t>
        </is>
      </c>
      <c r="F20" s="106" t="inlineStr">
        <is>
          <t>Platform</t>
        </is>
      </c>
      <c r="G20" s="106" t="inlineStr">
        <is>
          <t>Environment setup</t>
        </is>
      </c>
      <c r="H20" s="106" t="inlineStr">
        <is>
          <t>CI-enforced</t>
        </is>
      </c>
      <c r="I20" s="106" t="inlineStr">
        <is>
          <t>P0</t>
        </is>
      </c>
      <c r="J20" s="106" t="inlineStr">
        <is>
          <t>Added/merged in PR #3462; no Azure resources created.</t>
        </is>
      </c>
      <c r="K20" s="106" t="n"/>
      <c r="L20" s="106" t="n"/>
      <c r="M20" s="106" t="n"/>
    </row>
    <row r="21">
      <c r="A21" s="106" t="inlineStr">
        <is>
          <t>G-17</t>
        </is>
      </c>
      <c r="B21" s="106" t="inlineStr">
        <is>
          <t>Subscription vending ledger</t>
        </is>
      </c>
      <c r="C21" s="106" t="inlineStr">
        <is>
          <t>Subscription creation requires planned/approved/verified ledger evidence and explicit human approval at material action gates.</t>
        </is>
      </c>
      <c r="D21" s="106" t="inlineStr">
        <is>
          <t>production-readiness-gate.yml</t>
        </is>
      </c>
      <c r="E21" s="106" t="inlineStr">
        <is>
          <t>azure:environment-vending:verify</t>
        </is>
      </c>
      <c r="F21" s="106" t="inlineStr">
        <is>
          <t>Platform</t>
        </is>
      </c>
      <c r="G21" s="106" t="inlineStr">
        <is>
          <t>Subscription vending</t>
        </is>
      </c>
      <c r="H21" s="106" t="inlineStr">
        <is>
          <t>CI-enforced</t>
        </is>
      </c>
      <c r="I21" s="106" t="inlineStr">
        <is>
          <t>P0</t>
        </is>
      </c>
      <c r="J21" s="106" t="inlineStr">
        <is>
          <t>Added/merged in PR #3463; non-mutating.</t>
        </is>
      </c>
      <c r="K21" s="106" t="n"/>
      <c r="L21" s="106" t="n"/>
      <c r="M21" s="106" t="n"/>
    </row>
  </sheetData>
  <mergeCells count="2">
    <mergeCell ref="A2:H2"/>
    <mergeCell ref="A1:H1"/>
  </mergeCells>
  <conditionalFormatting sqref="H5:H19">
    <cfRule type="containsText" priority="1" operator="containsText" dxfId="25" text="Complete"/>
    <cfRule type="containsText" priority="2" operator="containsText" dxfId="26" text="Ready"/>
    <cfRule type="containsText" priority="3" operator="containsText" dxfId="27" text="Blocked"/>
    <cfRule type="containsText" priority="4" operator="containsText" dxfId="28" text="Planned"/>
  </conditionalFormatting>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M14"/>
  <sheetViews>
    <sheetView showGridLines="0" workbookViewId="0">
      <selection activeCell="A1" sqref="A1"/>
    </sheetView>
  </sheetViews>
  <sheetFormatPr baseColWidth="8" defaultRowHeight="15"/>
  <cols>
    <col width="10" customWidth="1" min="1" max="1"/>
    <col width="21.11000061035156" customWidth="1" min="2" max="2"/>
    <col width="28.88999938964844" customWidth="1" min="3" max="3"/>
    <col width="31.11000061035156" customWidth="1" min="4" max="4"/>
    <col width="24.44000053405762" customWidth="1" min="5" max="5"/>
    <col width="24.44000053405762" customWidth="1" min="6" max="6"/>
    <col width="14.4399995803833" customWidth="1" min="7" max="7"/>
    <col width="28.88999938964844" customWidth="1" min="8" max="8"/>
  </cols>
  <sheetData>
    <row r="1" ht="24" customHeight="1">
      <c r="A1" s="169" t="inlineStr">
        <is>
          <t>Start After Development Backlog Clears - Execution Sequencing</t>
        </is>
      </c>
      <c r="B1" s="98" t="n"/>
      <c r="C1" s="98" t="n"/>
      <c r="D1" s="98" t="n"/>
      <c r="E1" s="98" t="n"/>
      <c r="F1" s="98" t="n"/>
      <c r="G1" s="98" t="n"/>
      <c r="H1" s="98" t="n"/>
      <c r="I1" s="167" t="n"/>
      <c r="J1" s="167" t="n"/>
      <c r="K1" s="167" t="n"/>
      <c r="L1" s="167" t="n"/>
      <c r="M1" s="167" t="n"/>
    </row>
    <row r="2" ht="18" customHeight="1">
      <c r="A2" s="170" t="inlineStr">
        <is>
          <t>This prevents platform cutover from colliding with urgent product-development work.</t>
        </is>
      </c>
      <c r="B2" s="98" t="n"/>
      <c r="C2" s="98" t="n"/>
      <c r="D2" s="98" t="n"/>
      <c r="E2" s="98" t="n"/>
      <c r="F2" s="98" t="n"/>
      <c r="G2" s="98" t="n"/>
      <c r="H2" s="98" t="n"/>
      <c r="I2" s="167" t="n"/>
      <c r="J2" s="167" t="n"/>
      <c r="K2" s="167" t="n"/>
      <c r="L2" s="167" t="n"/>
      <c r="M2" s="167" t="n"/>
    </row>
    <row r="3" ht="9" customHeight="1"/>
    <row r="4" ht="21" customHeight="1">
      <c r="A4" s="136" t="inlineStr">
        <is>
          <t>Order</t>
        </is>
      </c>
      <c r="B4" s="137" t="inlineStr">
        <is>
          <t>Decision / Work Item</t>
        </is>
      </c>
      <c r="C4" s="137" t="inlineStr">
        <is>
          <t>What must be true</t>
        </is>
      </c>
      <c r="D4" s="137" t="inlineStr">
        <is>
          <t>Action</t>
        </is>
      </c>
      <c r="E4" s="137" t="inlineStr">
        <is>
          <t>Owner</t>
        </is>
      </c>
      <c r="F4" s="137" t="inlineStr">
        <is>
          <t>Evidence</t>
        </is>
      </c>
      <c r="G4" s="137" t="inlineStr">
        <is>
          <t>Status</t>
        </is>
      </c>
      <c r="H4" s="138" t="inlineStr">
        <is>
          <t>Notes</t>
        </is>
      </c>
    </row>
    <row r="5" ht="51" customHeight="1">
      <c r="A5" s="158" t="inlineStr">
        <is>
          <t>1</t>
        </is>
      </c>
      <c r="B5" s="159" t="inlineStr">
        <is>
          <t>Freeze scope for operating model kickoff</t>
        </is>
      </c>
      <c r="C5" s="159" t="inlineStr">
        <is>
          <t>Urgent product bugs/backlogs are known and triaged.</t>
        </is>
      </c>
      <c r="D5" s="159" t="inlineStr">
        <is>
          <t>Create a short cutover backlog board and mark what waits.</t>
        </is>
      </c>
      <c r="E5" s="159" t="inlineStr">
        <is>
          <t>Founder/Product</t>
        </is>
      </c>
      <c r="F5" s="159" t="inlineStr">
        <is>
          <t>Backlog triage note</t>
        </is>
      </c>
      <c r="G5" s="159" t="inlineStr">
        <is>
          <t>In progress</t>
        </is>
      </c>
      <c r="H5" s="160" t="inlineStr">
        <is>
          <t>Operating model accepted for execution; active backlog and cleanup/foundation gaps now being sequenced.</t>
        </is>
      </c>
    </row>
    <row r="6" ht="51" customHeight="1">
      <c r="A6" s="161" t="inlineStr">
        <is>
          <t>2</t>
        </is>
      </c>
      <c r="B6" s="162" t="inlineStr">
        <is>
          <t>Approve Product Preview naming</t>
        </is>
      </c>
      <c r="C6" s="162" t="inlineStr">
        <is>
          <t>Agreement that Product Preview is not Client Preprod.</t>
        </is>
      </c>
      <c r="D6" s="162" t="inlineStr">
        <is>
          <t>Update doc language and repo references where needed.</t>
        </is>
      </c>
      <c r="E6" s="162" t="inlineStr">
        <is>
          <t>Founder/Engineering</t>
        </is>
      </c>
      <c r="F6" s="162" t="inlineStr">
        <is>
          <t>Approved naming decision</t>
        </is>
      </c>
      <c r="G6" s="162" t="inlineStr">
        <is>
          <t>Ready</t>
        </is>
      </c>
      <c r="H6" s="163" t="inlineStr">
        <is>
          <t>Use Product Preview naming; client preprod remains separate.</t>
        </is>
      </c>
    </row>
    <row r="7" ht="51" customHeight="1">
      <c r="A7" s="161" t="inlineStr">
        <is>
          <t>3</t>
        </is>
      </c>
      <c r="B7" s="162" t="inlineStr">
        <is>
          <t>Approve no PHI/PII posture</t>
        </is>
      </c>
      <c r="C7" s="162" t="inlineStr">
        <is>
          <t>Decision that PHI/PII is prohibited, not merely classified.</t>
        </is>
      </c>
      <c r="D7" s="162" t="inlineStr">
        <is>
          <t>Tighten upload policy and docs if gaps remain.</t>
        </is>
      </c>
      <c r="E7" s="162" t="inlineStr">
        <is>
          <t>Founder/Security</t>
        </is>
      </c>
      <c r="F7" s="162" t="inlineStr">
        <is>
          <t>Policy note + tests</t>
        </is>
      </c>
      <c r="G7" s="162" t="inlineStr">
        <is>
          <t>Ready</t>
        </is>
      </c>
      <c r="H7" s="163" t="inlineStr">
        <is>
          <t>CXO names/emails require separate business-confidential policy.</t>
        </is>
      </c>
    </row>
    <row r="8" ht="51" customHeight="1">
      <c r="A8" s="161" t="inlineStr">
        <is>
          <t>4</t>
        </is>
      </c>
      <c r="B8" s="162" t="inlineStr">
        <is>
          <t>Create executable PR backlog</t>
        </is>
      </c>
      <c r="C8" s="162" t="inlineStr">
        <is>
          <t>Convert ENV-00 through ENV-18 into GitHub issues or tracker rows.</t>
        </is>
      </c>
      <c r="D8" s="162" t="inlineStr">
        <is>
          <t>Open/assign work items with acceptance criteria.</t>
        </is>
      </c>
      <c r="E8" s="162" t="inlineStr">
        <is>
          <t>Engineering/Product</t>
        </is>
      </c>
      <c r="F8" s="162" t="inlineStr">
        <is>
          <t>Issue list or tracker export</t>
        </is>
      </c>
      <c r="G8" s="162" t="inlineStr">
        <is>
          <t>In progress</t>
        </is>
      </c>
      <c r="H8" s="163" t="inlineStr">
        <is>
          <t>First three executable PRs merged: #3461 gates, #3462 factory baseline, #3463 vending ledger. Next: subscription-specific packets, cleanup plan, then approved Azure creation.</t>
        </is>
      </c>
    </row>
    <row r="9" ht="51" customHeight="1">
      <c r="A9" s="161" t="inlineStr">
        <is>
          <t>5</t>
        </is>
      </c>
      <c r="B9" s="162" t="inlineStr">
        <is>
          <t>Run current-state inventory</t>
        </is>
      </c>
      <c r="C9" s="162" t="inlineStr">
        <is>
          <t>Need latest repo/Azure state before creating new subscriptions.</t>
        </is>
      </c>
      <c r="D9" s="162" t="inlineStr">
        <is>
          <t>Read-only Azure/repo inventory and drift report.</t>
        </is>
      </c>
      <c r="E9" s="162" t="inlineStr">
        <is>
          <t>Platform</t>
        </is>
      </c>
      <c r="F9" s="162" t="inlineStr">
        <is>
          <t>Inventory report</t>
        </is>
      </c>
      <c r="G9" s="162" t="inlineStr">
        <is>
          <t>Planned</t>
        </is>
      </c>
      <c r="H9" s="163" t="inlineStr">
        <is>
          <t>Do this immediately before provisioning.</t>
        </is>
      </c>
    </row>
    <row r="10" ht="51" customHeight="1">
      <c r="A10" s="161" t="inlineStr">
        <is>
          <t>6</t>
        </is>
      </c>
      <c r="B10" s="162" t="inlineStr">
        <is>
          <t>Begin Azure Foundation</t>
        </is>
      </c>
      <c r="C10" s="162" t="inlineStr">
        <is>
          <t>Operating model approved and inventory complete.</t>
        </is>
      </c>
      <c r="D10" s="162" t="inlineStr">
        <is>
          <t>Management groups, policy baseline, RBAC, tags/budgets.</t>
        </is>
      </c>
      <c r="E10" s="162" t="inlineStr">
        <is>
          <t>Platform/Security</t>
        </is>
      </c>
      <c r="F10" s="162" t="inlineStr">
        <is>
          <t>Azure exports + IaC PRs</t>
        </is>
      </c>
      <c r="G10" s="162" t="inlineStr">
        <is>
          <t>Planned</t>
        </is>
      </c>
      <c r="H10" s="163" t="inlineStr">
        <is>
          <t>First real execution phase.</t>
        </is>
      </c>
    </row>
    <row r="11" ht="51" customHeight="1">
      <c r="A11" s="161" t="inlineStr">
        <is>
          <t>7</t>
        </is>
      </c>
      <c r="B11" s="162" t="inlineStr">
        <is>
          <t>Build Product Dev</t>
        </is>
      </c>
      <c r="C11" s="162" t="inlineStr">
        <is>
          <t>Foundation in place.</t>
        </is>
      </c>
      <c r="D11" s="162" t="inlineStr">
        <is>
          <t>Provision Dev and wire auto-deploy/synthetic data.</t>
        </is>
      </c>
      <c r="E11" s="162" t="inlineStr">
        <is>
          <t>Platform/Engineering</t>
        </is>
      </c>
      <c r="F11" s="162" t="inlineStr">
        <is>
          <t>Dev health + smoke proof</t>
        </is>
      </c>
      <c r="G11" s="162" t="inlineStr">
        <is>
          <t>Planned</t>
        </is>
      </c>
      <c r="H11" s="163" t="inlineStr">
        <is>
          <t>Preserve speed here.</t>
        </is>
      </c>
    </row>
    <row r="12" ht="51" customHeight="1">
      <c r="A12" s="161" t="inlineStr">
        <is>
          <t>8</t>
        </is>
      </c>
      <c r="B12" s="162" t="inlineStr">
        <is>
          <t>Build Product Preview</t>
        </is>
      </c>
      <c r="C12" s="162" t="inlineStr">
        <is>
          <t>Dev CI stable.</t>
        </is>
      </c>
      <c r="D12" s="162" t="inlineStr">
        <is>
          <t>Provision Preview and release candidate gates.</t>
        </is>
      </c>
      <c r="E12" s="162" t="inlineStr">
        <is>
          <t>Platform/QA</t>
        </is>
      </c>
      <c r="F12" s="162" t="inlineStr">
        <is>
          <t>Preview E2E report</t>
        </is>
      </c>
      <c r="G12" s="162" t="inlineStr">
        <is>
          <t>Planned</t>
        </is>
      </c>
      <c r="H12" s="163" t="inlineStr">
        <is>
          <t>Pre-pilot rehearsal.</t>
        </is>
      </c>
    </row>
    <row r="13" ht="51" customHeight="1">
      <c r="A13" s="161" t="inlineStr">
        <is>
          <t>9</t>
        </is>
      </c>
      <c r="B13" s="162" t="inlineStr">
        <is>
          <t>Build Product Prod</t>
        </is>
      </c>
      <c r="C13" s="162" t="inlineStr">
        <is>
          <t>Preview release candidate proven.</t>
        </is>
      </c>
      <c r="D13" s="162" t="inlineStr">
        <is>
          <t>Provision Product Prod and cutover when evidence is complete.</t>
        </is>
      </c>
      <c r="E13" s="162" t="inlineStr">
        <is>
          <t>Ops/Platform</t>
        </is>
      </c>
      <c r="F13" s="162" t="inlineStr">
        <is>
          <t>Prod deploy proof</t>
        </is>
      </c>
      <c r="G13" s="162" t="inlineStr">
        <is>
          <t>Planned</t>
        </is>
      </c>
      <c r="H13" s="163" t="inlineStr">
        <is>
          <t>No client private data.</t>
        </is>
      </c>
    </row>
    <row r="14" ht="51" customHeight="1">
      <c r="A14" s="164" t="inlineStr">
        <is>
          <t>10</t>
        </is>
      </c>
      <c r="B14" s="165" t="inlineStr">
        <is>
          <t>Build client factory</t>
        </is>
      </c>
      <c r="C14" s="165" t="inlineStr">
        <is>
          <t>Product operating model stable.</t>
        </is>
      </c>
      <c r="D14" s="165" t="inlineStr">
        <is>
          <t>Create client preprod/prod subscription vending pattern.</t>
        </is>
      </c>
      <c r="E14" s="165" t="inlineStr">
        <is>
          <t>Platform/Data</t>
        </is>
      </c>
      <c r="F14" s="165" t="inlineStr">
        <is>
          <t>Factory dry-run proof</t>
        </is>
      </c>
      <c r="G14" s="165" t="inlineStr">
        <is>
          <t>Planned</t>
        </is>
      </c>
      <c r="H14" s="166" t="inlineStr">
        <is>
          <t>Repeatable pilot engine.</t>
        </is>
      </c>
    </row>
  </sheetData>
  <mergeCells count="2">
    <mergeCell ref="A2:H2"/>
    <mergeCell ref="A1:H1"/>
  </mergeCells>
  <conditionalFormatting sqref="G5:G14">
    <cfRule type="containsText" priority="1" operator="containsText" dxfId="25" text="Complete"/>
    <cfRule type="containsText" priority="2" operator="containsText" dxfId="26" text="Ready"/>
    <cfRule type="containsText" priority="3" operator="containsText" dxfId="27" text="Blocked"/>
    <cfRule type="containsText" priority="4" operator="containsText" dxfId="28" text="Planned"/>
    <cfRule type="containsText" priority="5" operator="containsText" dxfId="26" text="In progress"/>
  </conditionalFormatting>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2026-06-14T18:00:59Z</dcterms:created>
  <dcterms:modified xsi:type="dcterms:W3CDTF">2026-06-14T18:00:59Z</dcterms:modified>
</cp:coreProperties>
</file>