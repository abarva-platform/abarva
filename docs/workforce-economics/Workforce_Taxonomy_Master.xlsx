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 Summary" sheetId="2" state="visible" r:id="rId2"/>
    <sheet name="Assumptions" sheetId="3" state="visible" r:id="rId3"/>
    <sheet name="Towers" sheetId="4" state="visible" r:id="rId4"/>
    <sheet name="Capabilities" sheetId="5" state="visible" r:id="rId5"/>
    <sheet name="Career Levels" sheetId="6" state="visible" r:id="rId6"/>
    <sheet name="Roles" sheetId="7" state="visible" r:id="rId7"/>
    <sheet name="Role Rate Card" sheetId="8" state="visible" r:id="rId8"/>
    <sheet name="Geography" sheetId="9" state="visible" r:id="rId9"/>
    <sheet name="Internal Cost Model" sheetId="10" state="visible" r:id="rId10"/>
    <sheet name="Rate Intelligence" sheetId="11" state="visible" r:id="rId11"/>
    <sheet name="Agent Economics" sheetId="12" state="visible" r:id="rId12"/>
    <sheet name="Delivery Pods" sheetId="13" state="visible" r:id="rId13"/>
    <sheet name="Estimation Engine" sheetId="14" state="visible" r:id="rId14"/>
    <sheet name="Business Case" sheetId="15" state="visible" r:id="rId15"/>
    <sheet name="Moves Binding" sheetId="16" state="visible" r:id="rId16"/>
    <sheet name="Glossary" sheetId="17" state="visible" r:id="rId17"/>
  </sheets>
  <definedNames>
    <definedName name="_xlnm._FilterDatabase" localSheetId="3" hidden="1">'Towers'!$B$4:$D$25</definedName>
    <definedName name="_xlnm._FilterDatabase" localSheetId="4" hidden="1">'Capabilities'!$B$5:$F$144</definedName>
    <definedName name="_xlnm._FilterDatabase" localSheetId="6" hidden="1">'Roles'!$B$5:$J$326</definedName>
    <definedName name="_xlnm._FilterDatabase" localSheetId="7" hidden="1">'Role Rate Card'!$B$5:$J$896</definedName>
    <definedName name="_xlnm._FilterDatabase" localSheetId="8" hidden="1">'Geography'!$B$4:$G$21</definedName>
    <definedName name="_xlnm._FilterDatabase" localSheetId="10" hidden="1">'Rate Intelligence'!$B$5:$H$235</definedName>
    <definedName name="_xlnm._FilterDatabase" localSheetId="12" hidden="1">'Delivery Pods'!$B$5:$I$112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$#,##0;($#,##0);&quot;-&quot;"/>
    <numFmt numFmtId="167" formatCode="$#,##0.00;($#,##0.00);&quot;-&quot;"/>
    <numFmt numFmtId="168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102650"/>
      <sz val="22"/>
    </font>
    <font>
      <name val="Arial"/>
      <b val="1"/>
      <color rgb="001A1A1A"/>
      <sz val="13"/>
    </font>
    <font>
      <name val="Arial"/>
      <color rgb="00625F58"/>
      <sz val="11"/>
    </font>
    <font>
      <name val="Arial"/>
      <b val="1"/>
      <color rgb="00102650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b val="1"/>
      <color rgb="00102650"/>
      <sz val="13"/>
    </font>
    <font>
      <name val="Arial"/>
      <color rgb="00625F58"/>
      <sz val="10"/>
    </font>
    <font>
      <name val="Arial"/>
      <color rgb="000000FF"/>
      <sz val="10"/>
    </font>
    <font>
      <name val="Arial"/>
      <b val="1"/>
    </font>
    <font>
      <name val="Arial"/>
      <color rgb="00006400"/>
    </font>
    <font>
      <name val="Arial"/>
    </font>
    <font>
      <name val="Arial"/>
      <b val="1"/>
      <color rgb="00102650"/>
      <sz val="14"/>
    </font>
    <font>
      <name val="Arial"/>
      <b val="1"/>
      <color rgb="001A1A1A"/>
    </font>
  </fonts>
  <fills count="6">
    <fill>
      <patternFill/>
    </fill>
    <fill>
      <patternFill patternType="gray125"/>
    </fill>
    <fill>
      <patternFill patternType="solid">
        <fgColor rgb="00102650"/>
      </patternFill>
    </fill>
    <fill>
      <patternFill patternType="solid">
        <fgColor rgb="00FFF7E0"/>
      </patternFill>
    </fill>
    <fill>
      <patternFill patternType="solid">
        <fgColor rgb="00F1EEE7"/>
      </patternFill>
    </fill>
    <fill>
      <patternFill patternType="solid">
        <fgColor rgb="00E8ECF3"/>
      </patternFill>
    </fill>
  </fills>
  <borders count="6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  <border>
      <left/>
      <right/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 style="thin">
        <color rgb="00D5D2CA"/>
      </bottom>
      <diagonal/>
    </border>
    <border>
      <left/>
      <right/>
      <top style="thin">
        <color rgb="00D5D2CA"/>
      </top>
      <bottom style="thin">
        <color rgb="00D5D2CA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7" fontId="12" fillId="0" borderId="1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/>
    </xf>
    <xf numFmtId="0" fontId="10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166" fontId="10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/>
    </xf>
    <xf numFmtId="167" fontId="12" fillId="0" borderId="1" applyAlignment="1" pivotButton="0" quotePrefix="0" xfId="0">
      <alignment horizontal="right"/>
    </xf>
    <xf numFmtId="167" fontId="13" fillId="0" borderId="1" applyAlignment="1" pivotButton="0" quotePrefix="0" xfId="0">
      <alignment horizontal="right"/>
    </xf>
    <xf numFmtId="166" fontId="13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/>
    </xf>
    <xf numFmtId="166" fontId="11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3" fontId="10" fillId="3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/>
    </xf>
    <xf numFmtId="168" fontId="11" fillId="5" borderId="1" applyAlignment="1" pivotButton="0" quotePrefix="0" xfId="0">
      <alignment horizontal="right"/>
    </xf>
    <xf numFmtId="166" fontId="11" fillId="5" borderId="1" applyAlignment="1" pivotButton="0" quotePrefix="0" xfId="0">
      <alignment horizontal="right"/>
    </xf>
    <xf numFmtId="166" fontId="15" fillId="0" borderId="1" applyAlignment="1" pivotButton="0" quotePrefix="0" xfId="0">
      <alignment horizontal="right"/>
    </xf>
    <xf numFmtId="164" fontId="15" fillId="0" borderId="1" applyAlignment="1" pivotButton="0" quotePrefix="0" xfId="0">
      <alignment horizontal="right"/>
    </xf>
    <xf numFmtId="168" fontId="12" fillId="0" borderId="1" applyAlignment="1" pivotButton="0" quotePrefix="0" xfId="0">
      <alignment horizontal="right"/>
    </xf>
    <xf numFmtId="168" fontId="15" fillId="0" borderId="1" applyAlignment="1" pivotButton="0" quotePrefix="0" xfId="0">
      <alignment horizontal="right"/>
    </xf>
    <xf numFmtId="3" fontId="12" fillId="0" borderId="1" applyAlignment="1" pivotButton="0" quotePrefix="0" xfId="0">
      <alignment horizontal="right"/>
    </xf>
    <xf numFmtId="3" fontId="15" fillId="0" borderId="1" applyAlignment="1" pivotButton="0" quotePrefix="0" xfId="0">
      <alignment horizontal="right"/>
    </xf>
    <xf numFmtId="165" fontId="15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168" fontId="13" fillId="0" borderId="1" applyAlignment="1" pivotButton="0" quotePrefix="0" xfId="0">
      <alignment horizontal="right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2650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70" customWidth="1" min="3" max="3"/>
    <col width="18" customWidth="1" min="4" max="4"/>
  </cols>
  <sheetData>
    <row r="2">
      <c r="B2" s="1" t="inlineStr">
        <is>
          <t>AbarVa</t>
        </is>
      </c>
    </row>
    <row r="3">
      <c r="B3" s="2" t="inlineStr">
        <is>
          <t>Enterprise Workforce Economics &amp; AI-Native Delivery Model</t>
        </is>
      </c>
    </row>
    <row r="4">
      <c r="B4" s="3" t="inlineStr">
        <is>
          <t>Workforce Taxonomy Master — v1.0</t>
        </is>
      </c>
    </row>
    <row r="6" ht="42" customHeight="1">
      <c r="B6" s="4" t="inlineStr">
        <is>
          <t>PURPOSE</t>
        </is>
      </c>
      <c r="C6" s="5" t="inlineStr">
        <is>
          <t>Global workforce ontology + parametric cost, rate, agent-economics and pod substrate. Feeds the AbarVa estimation, business-case and roadmap engines for traditional and AI-native delivery.</t>
        </is>
      </c>
    </row>
    <row r="8">
      <c r="B8" s="4" t="inlineStr">
        <is>
          <t>HOW TO USE</t>
        </is>
      </c>
    </row>
    <row r="9" ht="26" customHeight="1">
      <c r="C9" s="5" t="inlineStr">
        <is>
          <t>1. Edit ONLY blue-font cells (inputs) and the Assumptions tab. All black cells are formulas.</t>
        </is>
      </c>
    </row>
    <row r="10" ht="26" customHeight="1">
      <c r="C10" s="5" t="inlineStr">
        <is>
          <t>2. Assumptions drives the whole model — change a multiplier and every rate/cost reflows.</t>
        </is>
      </c>
    </row>
    <row r="11" ht="26" customHeight="1">
      <c r="C11" s="5" t="inlineStr">
        <is>
          <t>3. Rates are parametric: Market Base Rate x Provider Tier x Shore x Scarcity x Delivery. Nothing is a static guess.</t>
        </is>
      </c>
    </row>
    <row r="12" ht="26" customHeight="1">
      <c r="C12" s="5" t="inlineStr">
        <is>
          <t>4. Internal cost: fully-loaded annual / 2,080 = loaded hourly.</t>
        </is>
      </c>
    </row>
    <row r="13" ht="26" customHeight="1">
      <c r="C13" s="5" t="inlineStr">
        <is>
          <t>5. Provider names are anonymized archetypes (CONS-T1, SI-T1, SI-T2, ENG-B, AI-B). No real firms.</t>
        </is>
      </c>
    </row>
    <row r="14" ht="26" customHeight="1">
      <c r="C14" s="5" t="inlineStr">
        <is>
          <t>6. AI-native model estimates every capability twice: People vs People+Agents+Platforms.</t>
        </is>
      </c>
    </row>
    <row r="15" ht="26" customHeight="1">
      <c r="C15" s="5" t="inlineStr">
        <is>
          <t>7. 'Moves Binding' maps every taxonomy entity to the Move deliverable/estimation engine.</t>
        </is>
      </c>
    </row>
    <row r="17">
      <c r="B17" s="4" t="inlineStr">
        <is>
          <t>SHEET INDEX</t>
        </is>
      </c>
    </row>
    <row r="18">
      <c r="B18" s="6" t="inlineStr">
        <is>
          <t>Sheet</t>
        </is>
      </c>
      <c r="C18" s="6" t="inlineStr">
        <is>
          <t>Contents</t>
        </is>
      </c>
    </row>
    <row r="19">
      <c r="B19" s="7" t="inlineStr">
        <is>
          <t>Assumptions</t>
        </is>
      </c>
      <c r="C19" s="5" t="inlineStr">
        <is>
          <t>Engine inputs: load factors, geo/provider/shore/scarcity multipliers, market base rates</t>
        </is>
      </c>
    </row>
    <row r="20">
      <c r="B20" s="7" t="inlineStr">
        <is>
          <t>Exec Summary</t>
        </is>
      </c>
      <c r="C20" s="5" t="inlineStr">
        <is>
          <t>Counts + key model outputs</t>
        </is>
      </c>
    </row>
    <row r="21">
      <c r="B21" s="7" t="inlineStr">
        <is>
          <t>Towers</t>
        </is>
      </c>
      <c r="C21" s="5" t="inlineStr">
        <is>
          <t>21 delivery towers</t>
        </is>
      </c>
    </row>
    <row r="22">
      <c r="B22" s="7" t="inlineStr">
        <is>
          <t>Capabilities</t>
        </is>
      </c>
      <c r="C22" s="5" t="inlineStr">
        <is>
          <t>100+ capabilities by tower + agent-amenability</t>
        </is>
      </c>
    </row>
    <row r="23">
      <c r="B23" s="7" t="inlineStr">
        <is>
          <t>Career Levels</t>
        </is>
      </c>
      <c r="C23" s="5" t="inlineStr">
        <is>
          <t>10-level model with experience and base bands</t>
        </is>
      </c>
    </row>
    <row r="24">
      <c r="B24" s="7" t="inlineStr">
        <is>
          <t>Roles</t>
        </is>
      </c>
      <c r="C24" s="5" t="inlineStr">
        <is>
          <t>Role taxonomy by tower/capability/level</t>
        </is>
      </c>
    </row>
    <row r="25">
      <c r="B25" s="7" t="inlineStr">
        <is>
          <t>Geography</t>
        </is>
      </c>
      <c r="C25" s="5" t="inlineStr">
        <is>
          <t>17 regions: salary/rate/scarcity/COL multipliers + shore</t>
        </is>
      </c>
    </row>
    <row r="26">
      <c r="B26" s="7" t="inlineStr">
        <is>
          <t>Internal Cost Model</t>
        </is>
      </c>
      <c r="C26" s="5" t="inlineStr">
        <is>
          <t>Fully-loaded cost build-up by level</t>
        </is>
      </c>
    </row>
    <row r="27">
      <c r="B27" s="7" t="inlineStr">
        <is>
          <t>Rate Intelligence</t>
        </is>
      </c>
      <c r="C27" s="5" t="inlineStr">
        <is>
          <t>Anonymized provider rate cards (parametric)</t>
        </is>
      </c>
    </row>
    <row r="28">
      <c r="B28" s="7" t="inlineStr">
        <is>
          <t>Agent Economics</t>
        </is>
      </c>
      <c r="C28" s="5" t="inlineStr">
        <is>
          <t>Agent platform cost + productivity multipliers</t>
        </is>
      </c>
    </row>
    <row r="29">
      <c r="B29" s="7" t="inlineStr">
        <is>
          <t>Delivery Pods</t>
        </is>
      </c>
      <c r="C29" s="5" t="inlineStr">
        <is>
          <t>Reusable human+agent pod library</t>
        </is>
      </c>
    </row>
    <row r="30">
      <c r="B30" s="7" t="inlineStr">
        <is>
          <t>Moves Binding</t>
        </is>
      </c>
      <c r="C30" s="5" t="inlineStr">
        <is>
          <t>Mapping to the Move estimation/deliverable engine</t>
        </is>
      </c>
    </row>
    <row r="31">
      <c r="B31" s="7" t="inlineStr">
        <is>
          <t>Glossary</t>
        </is>
      </c>
      <c r="C31" s="5" t="inlineStr">
        <is>
          <t>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1765B"/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40" customWidth="1" min="4" max="4"/>
  </cols>
  <sheetData>
    <row r="2">
      <c r="B2" s="8" t="inlineStr">
        <is>
          <t>EXECUTIVE SUMMARY</t>
        </is>
      </c>
    </row>
    <row r="3">
      <c r="B3" s="9" t="inlineStr">
        <is>
          <t>AbarVa Workforce Economics — Taxonomy Master v1.0</t>
        </is>
      </c>
    </row>
    <row r="5">
      <c r="B5" s="6" t="inlineStr">
        <is>
          <t>Dimension</t>
        </is>
      </c>
      <c r="C5" s="6" t="inlineStr">
        <is>
          <t>Count</t>
        </is>
      </c>
      <c r="D5" s="6" t="inlineStr">
        <is>
          <t>Note</t>
        </is>
      </c>
    </row>
    <row r="6">
      <c r="B6" s="7" t="inlineStr">
        <is>
          <t>Delivery Towers</t>
        </is>
      </c>
      <c r="C6" s="10" t="n">
        <v>21</v>
      </c>
      <c r="D6" s="5" t="inlineStr">
        <is>
          <t>Full enterprise transformation coverage</t>
        </is>
      </c>
    </row>
    <row r="7">
      <c r="B7" s="7" t="inlineStr">
        <is>
          <t>Capabilities</t>
        </is>
      </c>
      <c r="C7" s="10" t="n">
        <v>139</v>
      </c>
      <c r="D7" s="5" t="inlineStr">
        <is>
          <t>With scarcity + agent-amenability</t>
        </is>
      </c>
    </row>
    <row r="8">
      <c r="B8" s="7" t="inlineStr">
        <is>
          <t>Roles (distinct families)</t>
        </is>
      </c>
      <c r="C8" s="10" t="n">
        <v>321</v>
      </c>
      <c r="D8" s="5" t="inlineStr">
        <is>
          <t>Across all 21 towers</t>
        </is>
      </c>
    </row>
    <row r="9">
      <c r="B9" s="7" t="inlineStr">
        <is>
          <t>Priced staffable units</t>
        </is>
      </c>
      <c r="C9" s="10" t="n">
        <v>891</v>
      </c>
      <c r="D9" s="5" t="inlineStr">
        <is>
          <t>Role x eligible career level (Rate Card)</t>
        </is>
      </c>
    </row>
    <row r="10">
      <c r="B10" s="7" t="inlineStr">
        <is>
          <t>Career Levels</t>
        </is>
      </c>
      <c r="C10" s="10" t="n">
        <v>10</v>
      </c>
      <c r="D10" s="5" t="inlineStr">
        <is>
          <t>Partner → Junior</t>
        </is>
      </c>
    </row>
    <row r="11">
      <c r="B11" s="7" t="inlineStr">
        <is>
          <t>Geographies</t>
        </is>
      </c>
      <c r="C11" s="10" t="n">
        <v>17</v>
      </c>
      <c r="D11" s="5" t="inlineStr">
        <is>
          <t>Onshore / nearshore / offshore</t>
        </is>
      </c>
    </row>
    <row r="12">
      <c r="B12" s="7" t="inlineStr">
        <is>
          <t>Provider Archetypes</t>
        </is>
      </c>
      <c r="C12" s="10" t="n">
        <v>23</v>
      </c>
      <c r="D12" s="5" t="inlineStr">
        <is>
          <t>Anonymized: CONS-T1, SI-T1, SI-T2, ENG-B, AI-B</t>
        </is>
      </c>
    </row>
    <row r="13">
      <c r="B13" s="7" t="inlineStr">
        <is>
          <t>Agent Platforms</t>
        </is>
      </c>
      <c r="C13" s="10" t="n">
        <v>5</v>
      </c>
      <c r="D13" s="5" t="inlineStr">
        <is>
          <t>Provider-neutral + AbarVa Agents</t>
        </is>
      </c>
    </row>
    <row r="14">
      <c r="B14" s="7" t="inlineStr">
        <is>
          <t>Delivery Pods</t>
        </is>
      </c>
      <c r="C14" s="10" t="n">
        <v>107</v>
      </c>
      <c r="D14" s="5" t="inlineStr">
        <is>
          <t>Reusable human+agent squads</t>
        </is>
      </c>
    </row>
    <row r="17">
      <c r="B17" s="4" t="inlineStr">
        <is>
          <t>KEY MODEL OUTPUTS (live formulas)</t>
        </is>
      </c>
    </row>
    <row r="18">
      <c r="B18" s="11" t="inlineStr">
        <is>
          <t>Loaded hourly — Senior (US baseline)</t>
        </is>
      </c>
      <c r="C18" s="12">
        <f>VLOOKUP("Senior",'Internal Cost Model'!$B$6:$F$15,5,FALSE)</f>
        <v/>
      </c>
    </row>
    <row r="19">
      <c r="B19" s="11" t="inlineStr">
        <is>
          <t>Offshore bill — SI-T2 Senior ($/hr)</t>
        </is>
      </c>
      <c r="C19" s="13">
        <f>VLOOKUP("Senior",Assumptions!$B$50:$D$59,2,FALSE)*VLOOKUP("SI-T2",Assumptions!$B$27:$C$31,2,FALSE)*INDEX(Assumptions!$C$36:$C$38,3)</f>
        <v/>
      </c>
    </row>
    <row r="20">
      <c r="B20" s="11" t="inlineStr">
        <is>
          <t>Onshore bill — CONS-T1 Principal ($/hr)</t>
        </is>
      </c>
      <c r="C20" s="13">
        <f>VLOOKUP("Principal",Assumptions!$B$50:$D$59,2,FALSE)*VLOOKUP("CONS-T1",Assumptions!$B$27:$C$31,2,FALSE)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6A1F"/>
    <outlinePr summaryBelow="1" summaryRight="1"/>
    <pageSetUpPr/>
  </sheetPr>
  <dimension ref="B2:F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2">
      <c r="B2" s="14" t="inlineStr">
        <is>
          <t>ASSUMPTIONS — model engine (edit blue cells)</t>
        </is>
      </c>
    </row>
    <row r="3">
      <c r="B3" s="9" t="inlineStr">
        <is>
          <t>All downstream cost &amp; rate formulas reference these cells.</t>
        </is>
      </c>
    </row>
    <row r="5">
      <c r="B5" s="4" t="inlineStr">
        <is>
          <t>FULLY-LOADED COST COMPONENTS (% of base salary)</t>
        </is>
      </c>
    </row>
    <row r="6">
      <c r="B6" s="6" t="inlineStr">
        <is>
          <t>Component</t>
        </is>
      </c>
      <c r="C6" s="6" t="inlineStr">
        <is>
          <t>% of base</t>
        </is>
      </c>
    </row>
    <row r="7">
      <c r="B7" s="11" t="inlineStr">
        <is>
          <t>Bonus</t>
        </is>
      </c>
      <c r="C7" s="15" t="n">
        <v>0.15</v>
      </c>
    </row>
    <row r="8">
      <c r="B8" s="11" t="inlineStr">
        <is>
          <t>Equity</t>
        </is>
      </c>
      <c r="C8" s="15" t="n">
        <v>0.08</v>
      </c>
    </row>
    <row r="9">
      <c r="B9" s="11" t="inlineStr">
        <is>
          <t>Benefits</t>
        </is>
      </c>
      <c r="C9" s="15" t="n">
        <v>0.14</v>
      </c>
    </row>
    <row r="10">
      <c r="B10" s="11" t="inlineStr">
        <is>
          <t>Payroll Taxes</t>
        </is>
      </c>
      <c r="C10" s="15" t="n">
        <v>0.0765</v>
      </c>
    </row>
    <row r="11">
      <c r="B11" s="11" t="inlineStr">
        <is>
          <t>401k Match</t>
        </is>
      </c>
      <c r="C11" s="15" t="n">
        <v>0.04</v>
      </c>
    </row>
    <row r="12">
      <c r="B12" s="11" t="inlineStr">
        <is>
          <t>Recruiting</t>
        </is>
      </c>
      <c r="C12" s="15" t="n">
        <v>0.03</v>
      </c>
    </row>
    <row r="13">
      <c r="B13" s="11" t="inlineStr">
        <is>
          <t>Training</t>
        </is>
      </c>
      <c r="C13" s="15" t="n">
        <v>0.025</v>
      </c>
    </row>
    <row r="14">
      <c r="B14" s="11" t="inlineStr">
        <is>
          <t>Bench / Utilization</t>
        </is>
      </c>
      <c r="C14" s="15" t="n">
        <v>0.12</v>
      </c>
    </row>
    <row r="15">
      <c r="B15" s="11" t="inlineStr">
        <is>
          <t>Facilities</t>
        </is>
      </c>
      <c r="C15" s="15" t="n">
        <v>0.05</v>
      </c>
    </row>
    <row r="16">
      <c r="B16" s="11" t="inlineStr">
        <is>
          <t>Technology Allocation</t>
        </is>
      </c>
      <c r="C16" s="15" t="n">
        <v>0.045</v>
      </c>
    </row>
    <row r="17">
      <c r="B17" s="11" t="inlineStr">
        <is>
          <t>Corporate Allocation</t>
        </is>
      </c>
      <c r="C17" s="15" t="n">
        <v>0.06</v>
      </c>
    </row>
    <row r="18">
      <c r="B18" s="11" t="inlineStr">
        <is>
          <t>Administrative Allocation</t>
        </is>
      </c>
      <c r="C18" s="15" t="n">
        <v>0.035</v>
      </c>
    </row>
    <row r="19">
      <c r="B19" s="11" t="inlineStr">
        <is>
          <t>Travel Allocation</t>
        </is>
      </c>
      <c r="C19" s="15" t="n">
        <v>0.02</v>
      </c>
    </row>
    <row r="20">
      <c r="B20" s="7" t="inlineStr">
        <is>
          <t>Total load factor</t>
        </is>
      </c>
      <c r="C20" s="16">
        <f>SUM(C7:C19)</f>
        <v/>
      </c>
      <c r="F20" s="9" t="inlineStr">
        <is>
          <t>Loaded annual = base x (1 + total load factor)</t>
        </is>
      </c>
    </row>
    <row r="22">
      <c r="B22" s="7" t="inlineStr">
        <is>
          <t>Billable hours / year</t>
        </is>
      </c>
      <c r="C22" s="17" t="n">
        <v>2080</v>
      </c>
    </row>
    <row r="25">
      <c r="B25" s="4" t="inlineStr">
        <is>
          <t>PROVIDER TIER MULTIPLIERS (vs market base bill rate)</t>
        </is>
      </c>
    </row>
    <row r="26">
      <c r="B26" s="6" t="inlineStr">
        <is>
          <t>Tier</t>
        </is>
      </c>
      <c r="C26" s="6" t="inlineStr">
        <is>
          <t>Multiplier</t>
        </is>
      </c>
      <c r="F26" s="6" t="inlineStr">
        <is>
          <t>Archetype</t>
        </is>
      </c>
    </row>
    <row r="27">
      <c r="B27" s="7" t="inlineStr">
        <is>
          <t>CONS-T1</t>
        </is>
      </c>
      <c r="C27" s="18" t="n">
        <v>1.85</v>
      </c>
      <c r="F27" s="9" t="inlineStr">
        <is>
          <t>Premium strategy/advisory</t>
        </is>
      </c>
    </row>
    <row r="28">
      <c r="B28" s="7" t="inlineStr">
        <is>
          <t>SI-T1</t>
        </is>
      </c>
      <c r="C28" s="18" t="n">
        <v>1.25</v>
      </c>
      <c r="F28" s="9" t="inlineStr">
        <is>
          <t>Global system integrator</t>
        </is>
      </c>
    </row>
    <row r="29">
      <c r="B29" s="7" t="inlineStr">
        <is>
          <t>SI-T2</t>
        </is>
      </c>
      <c r="C29" s="18" t="n">
        <v>0.85</v>
      </c>
      <c r="F29" s="9" t="inlineStr">
        <is>
          <t>Industrialized offshore</t>
        </is>
      </c>
    </row>
    <row r="30">
      <c r="B30" s="7" t="inlineStr">
        <is>
          <t>ENG-B</t>
        </is>
      </c>
      <c r="C30" s="18" t="n">
        <v>1.1</v>
      </c>
      <c r="F30" s="9" t="inlineStr">
        <is>
          <t>Engineering boutique</t>
        </is>
      </c>
    </row>
    <row r="31">
      <c r="B31" s="7" t="inlineStr">
        <is>
          <t>AI-B</t>
        </is>
      </c>
      <c r="C31" s="18" t="n">
        <v>1.35</v>
      </c>
      <c r="F31" s="9" t="inlineStr">
        <is>
          <t>AI-native provider</t>
        </is>
      </c>
    </row>
    <row r="34">
      <c r="B34" s="4" t="inlineStr">
        <is>
          <t>SHORE MULTIPLIERS</t>
        </is>
      </c>
    </row>
    <row r="35">
      <c r="B35" s="6" t="inlineStr">
        <is>
          <t>Shore</t>
        </is>
      </c>
      <c r="C35" s="6" t="inlineStr">
        <is>
          <t>Multiplier</t>
        </is>
      </c>
    </row>
    <row r="36">
      <c r="B36" s="7" t="inlineStr">
        <is>
          <t>Onshore</t>
        </is>
      </c>
      <c r="C36" s="18" t="n">
        <v>1</v>
      </c>
    </row>
    <row r="37">
      <c r="B37" s="7" t="inlineStr">
        <is>
          <t>Nearshore</t>
        </is>
      </c>
      <c r="C37" s="18" t="n">
        <v>0.72</v>
      </c>
    </row>
    <row r="38">
      <c r="B38" s="7" t="inlineStr">
        <is>
          <t>Offshore</t>
        </is>
      </c>
      <c r="C38" s="18" t="n">
        <v>0.45</v>
      </c>
    </row>
    <row r="41">
      <c r="B41" s="4" t="inlineStr">
        <is>
          <t>SCARCITY MULTIPLIERS (by role scarcity tier)</t>
        </is>
      </c>
    </row>
    <row r="42">
      <c r="B42" s="6" t="inlineStr">
        <is>
          <t>Scarcity</t>
        </is>
      </c>
      <c r="C42" s="6" t="inlineStr">
        <is>
          <t>Multiplier</t>
        </is>
      </c>
    </row>
    <row r="43">
      <c r="B43" s="7" t="inlineStr">
        <is>
          <t>High</t>
        </is>
      </c>
      <c r="C43" s="18" t="n">
        <v>1.3</v>
      </c>
    </row>
    <row r="44">
      <c r="B44" s="7" t="inlineStr">
        <is>
          <t>Medium</t>
        </is>
      </c>
      <c r="C44" s="18" t="n">
        <v>1.1</v>
      </c>
    </row>
    <row r="45">
      <c r="B45" s="7" t="inlineStr">
        <is>
          <t>Low</t>
        </is>
      </c>
      <c r="C45" s="18" t="n">
        <v>1</v>
      </c>
    </row>
    <row r="48">
      <c r="B48" s="4" t="inlineStr">
        <is>
          <t>MARKET BASE BILL RATE — onshore baseline ($/hr by level)</t>
        </is>
      </c>
    </row>
    <row r="49">
      <c r="B49" s="6" t="inlineStr">
        <is>
          <t>Level</t>
        </is>
      </c>
      <c r="C49" s="6" t="inlineStr">
        <is>
          <t>Base $/hr</t>
        </is>
      </c>
      <c r="D49" s="6" t="inlineStr">
        <is>
          <t>Base salary (US, $)</t>
        </is>
      </c>
    </row>
    <row r="50">
      <c r="B50" s="7" t="inlineStr">
        <is>
          <t>Partner</t>
        </is>
      </c>
      <c r="C50" s="19" t="n">
        <v>625</v>
      </c>
      <c r="D50" s="19" t="n">
        <v>520000</v>
      </c>
    </row>
    <row r="51">
      <c r="B51" s="7" t="inlineStr">
        <is>
          <t>Managing Director</t>
        </is>
      </c>
      <c r="C51" s="19" t="n">
        <v>525</v>
      </c>
      <c r="D51" s="19" t="n">
        <v>430000</v>
      </c>
    </row>
    <row r="52">
      <c r="B52" s="7" t="inlineStr">
        <is>
          <t>Principal</t>
        </is>
      </c>
      <c r="C52" s="19" t="n">
        <v>430</v>
      </c>
      <c r="D52" s="19" t="n">
        <v>360000</v>
      </c>
    </row>
    <row r="53">
      <c r="B53" s="7" t="inlineStr">
        <is>
          <t>Director</t>
        </is>
      </c>
      <c r="C53" s="19" t="n">
        <v>360</v>
      </c>
      <c r="D53" s="19" t="n">
        <v>300000</v>
      </c>
    </row>
    <row r="54">
      <c r="B54" s="7" t="inlineStr">
        <is>
          <t>Senior Manager</t>
        </is>
      </c>
      <c r="C54" s="19" t="n">
        <v>300</v>
      </c>
      <c r="D54" s="19" t="n">
        <v>245000</v>
      </c>
    </row>
    <row r="55">
      <c r="B55" s="7" t="inlineStr">
        <is>
          <t>Manager</t>
        </is>
      </c>
      <c r="C55" s="19" t="n">
        <v>250</v>
      </c>
      <c r="D55" s="19" t="n">
        <v>200000</v>
      </c>
    </row>
    <row r="56">
      <c r="B56" s="7" t="inlineStr">
        <is>
          <t>Lead</t>
        </is>
      </c>
      <c r="C56" s="19" t="n">
        <v>215</v>
      </c>
      <c r="D56" s="19" t="n">
        <v>175000</v>
      </c>
    </row>
    <row r="57">
      <c r="B57" s="7" t="inlineStr">
        <is>
          <t>Senior</t>
        </is>
      </c>
      <c r="C57" s="19" t="n">
        <v>180</v>
      </c>
      <c r="D57" s="19" t="n">
        <v>150000</v>
      </c>
    </row>
    <row r="58">
      <c r="B58" s="7" t="inlineStr">
        <is>
          <t>Intermediate</t>
        </is>
      </c>
      <c r="C58" s="19" t="n">
        <v>140</v>
      </c>
      <c r="D58" s="19" t="n">
        <v>120000</v>
      </c>
    </row>
    <row r="59">
      <c r="B59" s="7" t="inlineStr">
        <is>
          <t>Junior</t>
        </is>
      </c>
      <c r="C59" s="19" t="n">
        <v>105</v>
      </c>
      <c r="D59" s="19" t="n">
        <v>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EA8"/>
    <outlinePr summaryBelow="1" summaryRight="1"/>
    <pageSetUpPr/>
  </sheetPr>
  <dimension ref="B2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60" customWidth="1" min="4" max="4"/>
  </cols>
  <sheetData>
    <row r="2">
      <c r="B2" s="14" t="inlineStr">
        <is>
          <t>DELIVERY TOWERS</t>
        </is>
      </c>
    </row>
    <row r="4">
      <c r="B4" s="6" t="inlineStr">
        <is>
          <t>ID</t>
        </is>
      </c>
      <c r="C4" s="6" t="inlineStr">
        <is>
          <t>Tower</t>
        </is>
      </c>
      <c r="D4" s="6" t="inlineStr">
        <is>
          <t>Scope</t>
        </is>
      </c>
    </row>
    <row r="5">
      <c r="B5" s="7" t="inlineStr">
        <is>
          <t>TWR-01</t>
        </is>
      </c>
      <c r="C5" s="20" t="inlineStr">
        <is>
          <t>Strategy &amp; Transformation</t>
        </is>
      </c>
      <c r="D5" s="5" t="inlineStr">
        <is>
          <t>Vision, operating model, transformation strategy, value architecture</t>
        </is>
      </c>
    </row>
    <row r="6">
      <c r="B6" s="7" t="inlineStr">
        <is>
          <t>TWR-02</t>
        </is>
      </c>
      <c r="C6" s="20" t="inlineStr">
        <is>
          <t>Industry SMEs</t>
        </is>
      </c>
      <c r="D6" s="5" t="inlineStr">
        <is>
          <t>Vertical domain expertise (FS, healthcare, retail, manufacturing, public)</t>
        </is>
      </c>
    </row>
    <row r="7">
      <c r="B7" s="7" t="inlineStr">
        <is>
          <t>TWR-03</t>
        </is>
      </c>
      <c r="C7" s="20" t="inlineStr">
        <is>
          <t>Business Process</t>
        </is>
      </c>
      <c r="D7" s="5" t="inlineStr">
        <is>
          <t>Process design, reengineering, process mining, automation strategy</t>
        </is>
      </c>
    </row>
    <row r="8">
      <c r="B8" s="7" t="inlineStr">
        <is>
          <t>TWR-04</t>
        </is>
      </c>
      <c r="C8" s="20" t="inlineStr">
        <is>
          <t>Data &amp; Analytics</t>
        </is>
      </c>
      <c r="D8" s="5" t="inlineStr">
        <is>
          <t>Data strategy, governance, engineering, BI, analytics, data products</t>
        </is>
      </c>
    </row>
    <row r="9">
      <c r="B9" s="7" t="inlineStr">
        <is>
          <t>TWR-05</t>
        </is>
      </c>
      <c r="C9" s="20" t="inlineStr">
        <is>
          <t>AI &amp; GenAI</t>
        </is>
      </c>
      <c r="D9" s="5" t="inlineStr">
        <is>
          <t>AI/ML, GenAI, agentic AI, MLOps/LLMOps, responsible AI</t>
        </is>
      </c>
    </row>
    <row r="10">
      <c r="B10" s="7" t="inlineStr">
        <is>
          <t>TWR-06</t>
        </is>
      </c>
      <c r="C10" s="20" t="inlineStr">
        <is>
          <t>Digital Experience</t>
        </is>
      </c>
      <c r="D10" s="5" t="inlineStr">
        <is>
          <t>UX/UI, commerce, content, web/mobile experience platforms</t>
        </is>
      </c>
    </row>
    <row r="11">
      <c r="B11" s="7" t="inlineStr">
        <is>
          <t>TWR-07</t>
        </is>
      </c>
      <c r="C11" s="20" t="inlineStr">
        <is>
          <t>Marketing Technology</t>
        </is>
      </c>
      <c r="D11" s="5" t="inlineStr">
        <is>
          <t>MarTech, Adobe, journey orchestration, customer data</t>
        </is>
      </c>
    </row>
    <row r="12">
      <c r="B12" s="7" t="inlineStr">
        <is>
          <t>TWR-08</t>
        </is>
      </c>
      <c r="C12" s="20" t="inlineStr">
        <is>
          <t>Product Management</t>
        </is>
      </c>
      <c r="D12" s="5" t="inlineStr">
        <is>
          <t>Product strategy, ownership, discovery, lifecycle</t>
        </is>
      </c>
    </row>
    <row r="13">
      <c r="B13" s="7" t="inlineStr">
        <is>
          <t>TWR-09</t>
        </is>
      </c>
      <c r="C13" s="20" t="inlineStr">
        <is>
          <t>Application Engineering</t>
        </is>
      </c>
      <c r="D13" s="5" t="inlineStr">
        <is>
          <t>Custom app dev, microservices, APIs, modernization</t>
        </is>
      </c>
    </row>
    <row r="14">
      <c r="B14" s="7" t="inlineStr">
        <is>
          <t>TWR-10</t>
        </is>
      </c>
      <c r="C14" s="20" t="inlineStr">
        <is>
          <t>Integration</t>
        </is>
      </c>
      <c r="D14" s="5" t="inlineStr">
        <is>
          <t>iPaaS, ESB, event streaming, API management</t>
        </is>
      </c>
    </row>
    <row r="15">
      <c r="B15" s="7" t="inlineStr">
        <is>
          <t>TWR-11</t>
        </is>
      </c>
      <c r="C15" s="20" t="inlineStr">
        <is>
          <t>ERP</t>
        </is>
      </c>
      <c r="D15" s="5" t="inlineStr">
        <is>
          <t>SAP, Oracle, Workday functional &amp; technical delivery</t>
        </is>
      </c>
    </row>
    <row r="16">
      <c r="B16" s="7" t="inlineStr">
        <is>
          <t>TWR-12</t>
        </is>
      </c>
      <c r="C16" s="20" t="inlineStr">
        <is>
          <t>Cloud</t>
        </is>
      </c>
      <c r="D16" s="5" t="inlineStr">
        <is>
          <t>Azure/AWS/GCP architecture, migration, platform engineering</t>
        </is>
      </c>
    </row>
    <row r="17">
      <c r="B17" s="7" t="inlineStr">
        <is>
          <t>TWR-13</t>
        </is>
      </c>
      <c r="C17" s="20" t="inlineStr">
        <is>
          <t>Infrastructure</t>
        </is>
      </c>
      <c r="D17" s="5" t="inlineStr">
        <is>
          <t>Compute, network, storage, identity, end-user</t>
        </is>
      </c>
    </row>
    <row r="18">
      <c r="B18" s="7" t="inlineStr">
        <is>
          <t>TWR-14</t>
        </is>
      </c>
      <c r="C18" s="20" t="inlineStr">
        <is>
          <t>Cybersecurity</t>
        </is>
      </c>
      <c r="D18" s="5" t="inlineStr">
        <is>
          <t>IAM, SOC, GRC, AppSec, threat &amp; vuln management</t>
        </is>
      </c>
    </row>
    <row r="19">
      <c r="B19" s="7" t="inlineStr">
        <is>
          <t>TWR-15</t>
        </is>
      </c>
      <c r="C19" s="20" t="inlineStr">
        <is>
          <t>Quality Engineering</t>
        </is>
      </c>
      <c r="D19" s="5" t="inlineStr">
        <is>
          <t>Test strategy, automation, performance, security testing</t>
        </is>
      </c>
    </row>
    <row r="20">
      <c r="B20" s="7" t="inlineStr">
        <is>
          <t>TWR-16</t>
        </is>
      </c>
      <c r="C20" s="20" t="inlineStr">
        <is>
          <t>Operations</t>
        </is>
      </c>
      <c r="D20" s="5" t="inlineStr">
        <is>
          <t>Run, monitoring, SRE, service operations</t>
        </is>
      </c>
    </row>
    <row r="21">
      <c r="B21" s="7" t="inlineStr">
        <is>
          <t>TWR-17</t>
        </is>
      </c>
      <c r="C21" s="20" t="inlineStr">
        <is>
          <t>Managed Services</t>
        </is>
      </c>
      <c r="D21" s="5" t="inlineStr">
        <is>
          <t>AMS L1/L2/L3, application &amp; platform support</t>
        </is>
      </c>
    </row>
    <row r="22">
      <c r="B22" s="7" t="inlineStr">
        <is>
          <t>TWR-18</t>
        </is>
      </c>
      <c r="C22" s="20" t="inlineStr">
        <is>
          <t>Legacy &amp; Mainframe</t>
        </is>
      </c>
      <c r="D22" s="5" t="inlineStr">
        <is>
          <t>Mainframe, COBOL, DB2, z/OS modernization</t>
        </is>
      </c>
    </row>
    <row r="23">
      <c r="B23" s="7" t="inlineStr">
        <is>
          <t>TWR-19</t>
        </is>
      </c>
      <c r="C23" s="20" t="inlineStr">
        <is>
          <t>Change Management</t>
        </is>
      </c>
      <c r="D23" s="5" t="inlineStr">
        <is>
          <t>OCM, training, communications, adoption</t>
        </is>
      </c>
    </row>
    <row r="24">
      <c r="B24" s="7" t="inlineStr">
        <is>
          <t>TWR-20</t>
        </is>
      </c>
      <c r="C24" s="20" t="inlineStr">
        <is>
          <t>Program Management</t>
        </is>
      </c>
      <c r="D24" s="5" t="inlineStr">
        <is>
          <t>PMO, program/project delivery, agile delivery</t>
        </is>
      </c>
    </row>
    <row r="25">
      <c r="B25" s="7" t="inlineStr">
        <is>
          <t>TWR-21</t>
        </is>
      </c>
      <c r="C25" s="20" t="inlineStr">
        <is>
          <t>Enterprise Architecture</t>
        </is>
      </c>
      <c r="D25" s="5" t="inlineStr">
        <is>
          <t>EA, solution &amp; technical architecture, standards</t>
        </is>
      </c>
    </row>
  </sheetData>
  <autoFilter ref="B4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EA8"/>
    <outlinePr summaryBelow="1" summaryRight="1"/>
    <pageSetUpPr/>
  </sheetPr>
  <dimension ref="B2:F1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34" customWidth="1" min="4" max="4"/>
    <col width="12" customWidth="1" min="5" max="5"/>
    <col width="18" customWidth="1" min="6" max="6"/>
  </cols>
  <sheetData>
    <row r="2">
      <c r="B2" s="14" t="inlineStr">
        <is>
          <t>CAPABILITIES</t>
        </is>
      </c>
    </row>
    <row r="3">
      <c r="B3" s="9" t="inlineStr">
        <is>
          <t>139 capabilities. Agent-Amenability (1-5) = how compressible by agents/AI (feeds AI-native model).</t>
        </is>
      </c>
    </row>
    <row r="5">
      <c r="B5" s="6" t="inlineStr">
        <is>
          <t>ID</t>
        </is>
      </c>
      <c r="C5" s="6" t="inlineStr">
        <is>
          <t>Tower</t>
        </is>
      </c>
      <c r="D5" s="6" t="inlineStr">
        <is>
          <t>Capability</t>
        </is>
      </c>
      <c r="E5" s="6" t="inlineStr">
        <is>
          <t>Scarcity</t>
        </is>
      </c>
      <c r="F5" s="6" t="inlineStr">
        <is>
          <t>Agent-Amenability</t>
        </is>
      </c>
    </row>
    <row r="6">
      <c r="B6" s="7" t="inlineStr">
        <is>
          <t>CAP-001</t>
        </is>
      </c>
      <c r="C6" s="11" t="inlineStr">
        <is>
          <t>Strategy &amp; Transformation</t>
        </is>
      </c>
      <c r="D6" s="7" t="inlineStr">
        <is>
          <t>Transformation Strategy</t>
        </is>
      </c>
      <c r="E6" s="21" t="inlineStr">
        <is>
          <t>High</t>
        </is>
      </c>
      <c r="F6" s="21" t="n">
        <v>3</v>
      </c>
    </row>
    <row r="7">
      <c r="B7" s="7" t="inlineStr">
        <is>
          <t>CAP-002</t>
        </is>
      </c>
      <c r="C7" s="11" t="inlineStr">
        <is>
          <t>Strategy &amp; Transformation</t>
        </is>
      </c>
      <c r="D7" s="7" t="inlineStr">
        <is>
          <t>Operating Model Design</t>
        </is>
      </c>
      <c r="E7" s="21" t="inlineStr">
        <is>
          <t>High</t>
        </is>
      </c>
      <c r="F7" s="21" t="n">
        <v>3</v>
      </c>
    </row>
    <row r="8">
      <c r="B8" s="7" t="inlineStr">
        <is>
          <t>CAP-003</t>
        </is>
      </c>
      <c r="C8" s="11" t="inlineStr">
        <is>
          <t>Strategy &amp; Transformation</t>
        </is>
      </c>
      <c r="D8" s="7" t="inlineStr">
        <is>
          <t>Value Architecture</t>
        </is>
      </c>
      <c r="E8" s="21" t="inlineStr">
        <is>
          <t>Medium</t>
        </is>
      </c>
      <c r="F8" s="21" t="n">
        <v>3</v>
      </c>
    </row>
    <row r="9">
      <c r="B9" s="7" t="inlineStr">
        <is>
          <t>CAP-004</t>
        </is>
      </c>
      <c r="C9" s="11" t="inlineStr">
        <is>
          <t>Strategy &amp; Transformation</t>
        </is>
      </c>
      <c r="D9" s="7" t="inlineStr">
        <is>
          <t>Business Case &amp; ROI</t>
        </is>
      </c>
      <c r="E9" s="21" t="inlineStr">
        <is>
          <t>Medium</t>
        </is>
      </c>
      <c r="F9" s="21" t="n">
        <v>4</v>
      </c>
    </row>
    <row r="10">
      <c r="B10" s="7" t="inlineStr">
        <is>
          <t>CAP-005</t>
        </is>
      </c>
      <c r="C10" s="11" t="inlineStr">
        <is>
          <t>Industry SMEs</t>
        </is>
      </c>
      <c r="D10" s="7" t="inlineStr">
        <is>
          <t>Financial Services Domain</t>
        </is>
      </c>
      <c r="E10" s="21" t="inlineStr">
        <is>
          <t>High</t>
        </is>
      </c>
      <c r="F10" s="21" t="n">
        <v>2</v>
      </c>
    </row>
    <row r="11">
      <c r="B11" s="7" t="inlineStr">
        <is>
          <t>CAP-006</t>
        </is>
      </c>
      <c r="C11" s="11" t="inlineStr">
        <is>
          <t>Industry SMEs</t>
        </is>
      </c>
      <c r="D11" s="7" t="inlineStr">
        <is>
          <t>Healthcare Domain</t>
        </is>
      </c>
      <c r="E11" s="21" t="inlineStr">
        <is>
          <t>High</t>
        </is>
      </c>
      <c r="F11" s="21" t="n">
        <v>2</v>
      </c>
    </row>
    <row r="12">
      <c r="B12" s="7" t="inlineStr">
        <is>
          <t>CAP-007</t>
        </is>
      </c>
      <c r="C12" s="11" t="inlineStr">
        <is>
          <t>Industry SMEs</t>
        </is>
      </c>
      <c r="D12" s="7" t="inlineStr">
        <is>
          <t>Retail &amp; CPG Domain</t>
        </is>
      </c>
      <c r="E12" s="21" t="inlineStr">
        <is>
          <t>Medium</t>
        </is>
      </c>
      <c r="F12" s="21" t="n">
        <v>2</v>
      </c>
    </row>
    <row r="13">
      <c r="B13" s="7" t="inlineStr">
        <is>
          <t>CAP-008</t>
        </is>
      </c>
      <c r="C13" s="11" t="inlineStr">
        <is>
          <t>Industry SMEs</t>
        </is>
      </c>
      <c r="D13" s="7" t="inlineStr">
        <is>
          <t>Manufacturing Domain</t>
        </is>
      </c>
      <c r="E13" s="21" t="inlineStr">
        <is>
          <t>Medium</t>
        </is>
      </c>
      <c r="F13" s="21" t="n">
        <v>2</v>
      </c>
    </row>
    <row r="14">
      <c r="B14" s="7" t="inlineStr">
        <is>
          <t>CAP-009</t>
        </is>
      </c>
      <c r="C14" s="11" t="inlineStr">
        <is>
          <t>Industry SMEs</t>
        </is>
      </c>
      <c r="D14" s="7" t="inlineStr">
        <is>
          <t>Public Sector Domain</t>
        </is>
      </c>
      <c r="E14" s="21" t="inlineStr">
        <is>
          <t>Medium</t>
        </is>
      </c>
      <c r="F14" s="21" t="n">
        <v>2</v>
      </c>
    </row>
    <row r="15">
      <c r="B15" s="7" t="inlineStr">
        <is>
          <t>CAP-010</t>
        </is>
      </c>
      <c r="C15" s="11" t="inlineStr">
        <is>
          <t>Business Process</t>
        </is>
      </c>
      <c r="D15" s="7" t="inlineStr">
        <is>
          <t>Process Design</t>
        </is>
      </c>
      <c r="E15" s="21" t="inlineStr">
        <is>
          <t>Medium</t>
        </is>
      </c>
      <c r="F15" s="21" t="n">
        <v>4</v>
      </c>
    </row>
    <row r="16">
      <c r="B16" s="7" t="inlineStr">
        <is>
          <t>CAP-011</t>
        </is>
      </c>
      <c r="C16" s="11" t="inlineStr">
        <is>
          <t>Business Process</t>
        </is>
      </c>
      <c r="D16" s="7" t="inlineStr">
        <is>
          <t>Process Mining</t>
        </is>
      </c>
      <c r="E16" s="21" t="inlineStr">
        <is>
          <t>Medium</t>
        </is>
      </c>
      <c r="F16" s="21" t="n">
        <v>4</v>
      </c>
    </row>
    <row r="17">
      <c r="B17" s="7" t="inlineStr">
        <is>
          <t>CAP-012</t>
        </is>
      </c>
      <c r="C17" s="11" t="inlineStr">
        <is>
          <t>Business Process</t>
        </is>
      </c>
      <c r="D17" s="7" t="inlineStr">
        <is>
          <t>Intelligent Automation</t>
        </is>
      </c>
      <c r="E17" s="21" t="inlineStr">
        <is>
          <t>High</t>
        </is>
      </c>
      <c r="F17" s="21" t="n">
        <v>5</v>
      </c>
    </row>
    <row r="18">
      <c r="B18" s="7" t="inlineStr">
        <is>
          <t>CAP-013</t>
        </is>
      </c>
      <c r="C18" s="11" t="inlineStr">
        <is>
          <t>Data &amp; Analytics</t>
        </is>
      </c>
      <c r="D18" s="7" t="inlineStr">
        <is>
          <t>Data Strategy</t>
        </is>
      </c>
      <c r="E18" s="21" t="inlineStr">
        <is>
          <t>High</t>
        </is>
      </c>
      <c r="F18" s="21" t="n">
        <v>3</v>
      </c>
    </row>
    <row r="19">
      <c r="B19" s="7" t="inlineStr">
        <is>
          <t>CAP-014</t>
        </is>
      </c>
      <c r="C19" s="11" t="inlineStr">
        <is>
          <t>Data &amp; Analytics</t>
        </is>
      </c>
      <c r="D19" s="7" t="inlineStr">
        <is>
          <t>Data Governance</t>
        </is>
      </c>
      <c r="E19" s="21" t="inlineStr">
        <is>
          <t>High</t>
        </is>
      </c>
      <c r="F19" s="21" t="n">
        <v>4</v>
      </c>
    </row>
    <row r="20">
      <c r="B20" s="7" t="inlineStr">
        <is>
          <t>CAP-015</t>
        </is>
      </c>
      <c r="C20" s="11" t="inlineStr">
        <is>
          <t>Data &amp; Analytics</t>
        </is>
      </c>
      <c r="D20" s="7" t="inlineStr">
        <is>
          <t>Data Quality</t>
        </is>
      </c>
      <c r="E20" s="21" t="inlineStr">
        <is>
          <t>Medium</t>
        </is>
      </c>
      <c r="F20" s="21" t="n">
        <v>4</v>
      </c>
    </row>
    <row r="21">
      <c r="B21" s="7" t="inlineStr">
        <is>
          <t>CAP-016</t>
        </is>
      </c>
      <c r="C21" s="11" t="inlineStr">
        <is>
          <t>Data &amp; Analytics</t>
        </is>
      </c>
      <c r="D21" s="7" t="inlineStr">
        <is>
          <t>Metadata Management</t>
        </is>
      </c>
      <c r="E21" s="21" t="inlineStr">
        <is>
          <t>Medium</t>
        </is>
      </c>
      <c r="F21" s="21" t="n">
        <v>4</v>
      </c>
    </row>
    <row r="22">
      <c r="B22" s="7" t="inlineStr">
        <is>
          <t>CAP-017</t>
        </is>
      </c>
      <c r="C22" s="11" t="inlineStr">
        <is>
          <t>Data &amp; Analytics</t>
        </is>
      </c>
      <c r="D22" s="7" t="inlineStr">
        <is>
          <t>Master Data Management</t>
        </is>
      </c>
      <c r="E22" s="21" t="inlineStr">
        <is>
          <t>High</t>
        </is>
      </c>
      <c r="F22" s="21" t="n">
        <v>3</v>
      </c>
    </row>
    <row r="23">
      <c r="B23" s="7" t="inlineStr">
        <is>
          <t>CAP-018</t>
        </is>
      </c>
      <c r="C23" s="11" t="inlineStr">
        <is>
          <t>Data &amp; Analytics</t>
        </is>
      </c>
      <c r="D23" s="7" t="inlineStr">
        <is>
          <t>Data Products</t>
        </is>
      </c>
      <c r="E23" s="21" t="inlineStr">
        <is>
          <t>High</t>
        </is>
      </c>
      <c r="F23" s="21" t="n">
        <v>4</v>
      </c>
    </row>
    <row r="24">
      <c r="B24" s="7" t="inlineStr">
        <is>
          <t>CAP-019</t>
        </is>
      </c>
      <c r="C24" s="11" t="inlineStr">
        <is>
          <t>Data &amp; Analytics</t>
        </is>
      </c>
      <c r="D24" s="7" t="inlineStr">
        <is>
          <t>Data Engineering</t>
        </is>
      </c>
      <c r="E24" s="21" t="inlineStr">
        <is>
          <t>High</t>
        </is>
      </c>
      <c r="F24" s="21" t="n">
        <v>5</v>
      </c>
    </row>
    <row r="25">
      <c r="B25" s="7" t="inlineStr">
        <is>
          <t>CAP-020</t>
        </is>
      </c>
      <c r="C25" s="11" t="inlineStr">
        <is>
          <t>Data &amp; Analytics</t>
        </is>
      </c>
      <c r="D25" s="7" t="inlineStr">
        <is>
          <t>Business Intelligence</t>
        </is>
      </c>
      <c r="E25" s="21" t="inlineStr">
        <is>
          <t>Medium</t>
        </is>
      </c>
      <c r="F25" s="21" t="n">
        <v>4</v>
      </c>
    </row>
    <row r="26">
      <c r="B26" s="7" t="inlineStr">
        <is>
          <t>CAP-021</t>
        </is>
      </c>
      <c r="C26" s="11" t="inlineStr">
        <is>
          <t>Data &amp; Analytics</t>
        </is>
      </c>
      <c r="D26" s="7" t="inlineStr">
        <is>
          <t>Reporting</t>
        </is>
      </c>
      <c r="E26" s="21" t="inlineStr">
        <is>
          <t>Low</t>
        </is>
      </c>
      <c r="F26" s="21" t="n">
        <v>5</v>
      </c>
    </row>
    <row r="27">
      <c r="B27" s="7" t="inlineStr">
        <is>
          <t>CAP-022</t>
        </is>
      </c>
      <c r="C27" s="11" t="inlineStr">
        <is>
          <t>Data &amp; Analytics</t>
        </is>
      </c>
      <c r="D27" s="7" t="inlineStr">
        <is>
          <t>Advanced Analytics</t>
        </is>
      </c>
      <c r="E27" s="21" t="inlineStr">
        <is>
          <t>High</t>
        </is>
      </c>
      <c r="F27" s="21" t="n">
        <v>4</v>
      </c>
    </row>
    <row r="28">
      <c r="B28" s="7" t="inlineStr">
        <is>
          <t>CAP-023</t>
        </is>
      </c>
      <c r="C28" s="11" t="inlineStr">
        <is>
          <t>Data &amp; Analytics</t>
        </is>
      </c>
      <c r="D28" s="7" t="inlineStr">
        <is>
          <t>Snowflake</t>
        </is>
      </c>
      <c r="E28" s="21" t="inlineStr">
        <is>
          <t>High</t>
        </is>
      </c>
      <c r="F28" s="21" t="n">
        <v>4</v>
      </c>
    </row>
    <row r="29">
      <c r="B29" s="7" t="inlineStr">
        <is>
          <t>CAP-024</t>
        </is>
      </c>
      <c r="C29" s="11" t="inlineStr">
        <is>
          <t>Data &amp; Analytics</t>
        </is>
      </c>
      <c r="D29" s="7" t="inlineStr">
        <is>
          <t>Databricks</t>
        </is>
      </c>
      <c r="E29" s="21" t="inlineStr">
        <is>
          <t>High</t>
        </is>
      </c>
      <c r="F29" s="21" t="n">
        <v>4</v>
      </c>
    </row>
    <row r="30">
      <c r="B30" s="7" t="inlineStr">
        <is>
          <t>CAP-025</t>
        </is>
      </c>
      <c r="C30" s="11" t="inlineStr">
        <is>
          <t>Data &amp; Analytics</t>
        </is>
      </c>
      <c r="D30" s="7" t="inlineStr">
        <is>
          <t>Informatica</t>
        </is>
      </c>
      <c r="E30" s="21" t="inlineStr">
        <is>
          <t>Medium</t>
        </is>
      </c>
      <c r="F30" s="21" t="n">
        <v>3</v>
      </c>
    </row>
    <row r="31">
      <c r="B31" s="7" t="inlineStr">
        <is>
          <t>CAP-026</t>
        </is>
      </c>
      <c r="C31" s="11" t="inlineStr">
        <is>
          <t>Data &amp; Analytics</t>
        </is>
      </c>
      <c r="D31" s="7" t="inlineStr">
        <is>
          <t>Collibra</t>
        </is>
      </c>
      <c r="E31" s="21" t="inlineStr">
        <is>
          <t>Medium</t>
        </is>
      </c>
      <c r="F31" s="21" t="n">
        <v>3</v>
      </c>
    </row>
    <row r="32">
      <c r="B32" s="7" t="inlineStr">
        <is>
          <t>CAP-027</t>
        </is>
      </c>
      <c r="C32" s="11" t="inlineStr">
        <is>
          <t>AI &amp; GenAI</t>
        </is>
      </c>
      <c r="D32" s="7" t="inlineStr">
        <is>
          <t>Agentic AI</t>
        </is>
      </c>
      <c r="E32" s="21" t="inlineStr">
        <is>
          <t>High</t>
        </is>
      </c>
      <c r="F32" s="21" t="n">
        <v>5</v>
      </c>
    </row>
    <row r="33">
      <c r="B33" s="7" t="inlineStr">
        <is>
          <t>CAP-028</t>
        </is>
      </c>
      <c r="C33" s="11" t="inlineStr">
        <is>
          <t>AI &amp; GenAI</t>
        </is>
      </c>
      <c r="D33" s="7" t="inlineStr">
        <is>
          <t>Generative AI</t>
        </is>
      </c>
      <c r="E33" s="21" t="inlineStr">
        <is>
          <t>High</t>
        </is>
      </c>
      <c r="F33" s="21" t="n">
        <v>5</v>
      </c>
    </row>
    <row r="34">
      <c r="B34" s="7" t="inlineStr">
        <is>
          <t>CAP-029</t>
        </is>
      </c>
      <c r="C34" s="11" t="inlineStr">
        <is>
          <t>AI &amp; GenAI</t>
        </is>
      </c>
      <c r="D34" s="7" t="inlineStr">
        <is>
          <t>Prompt Engineering</t>
        </is>
      </c>
      <c r="E34" s="21" t="inlineStr">
        <is>
          <t>High</t>
        </is>
      </c>
      <c r="F34" s="21" t="n">
        <v>5</v>
      </c>
    </row>
    <row r="35">
      <c r="B35" s="7" t="inlineStr">
        <is>
          <t>CAP-030</t>
        </is>
      </c>
      <c r="C35" s="11" t="inlineStr">
        <is>
          <t>AI &amp; GenAI</t>
        </is>
      </c>
      <c r="D35" s="7" t="inlineStr">
        <is>
          <t>Machine Learning</t>
        </is>
      </c>
      <c r="E35" s="21" t="inlineStr">
        <is>
          <t>High</t>
        </is>
      </c>
      <c r="F35" s="21" t="n">
        <v>4</v>
      </c>
    </row>
    <row r="36">
      <c r="B36" s="7" t="inlineStr">
        <is>
          <t>CAP-031</t>
        </is>
      </c>
      <c r="C36" s="11" t="inlineStr">
        <is>
          <t>AI &amp; GenAI</t>
        </is>
      </c>
      <c r="D36" s="7" t="inlineStr">
        <is>
          <t>MLOps</t>
        </is>
      </c>
      <c r="E36" s="21" t="inlineStr">
        <is>
          <t>High</t>
        </is>
      </c>
      <c r="F36" s="21" t="n">
        <v>5</v>
      </c>
    </row>
    <row r="37">
      <c r="B37" s="7" t="inlineStr">
        <is>
          <t>CAP-032</t>
        </is>
      </c>
      <c r="C37" s="11" t="inlineStr">
        <is>
          <t>AI &amp; GenAI</t>
        </is>
      </c>
      <c r="D37" s="7" t="inlineStr">
        <is>
          <t>LLMOps</t>
        </is>
      </c>
      <c r="E37" s="21" t="inlineStr">
        <is>
          <t>High</t>
        </is>
      </c>
      <c r="F37" s="21" t="n">
        <v>5</v>
      </c>
    </row>
    <row r="38">
      <c r="B38" s="7" t="inlineStr">
        <is>
          <t>CAP-033</t>
        </is>
      </c>
      <c r="C38" s="11" t="inlineStr">
        <is>
          <t>AI &amp; GenAI</t>
        </is>
      </c>
      <c r="D38" s="7" t="inlineStr">
        <is>
          <t>Responsible AI</t>
        </is>
      </c>
      <c r="E38" s="21" t="inlineStr">
        <is>
          <t>High</t>
        </is>
      </c>
      <c r="F38" s="21" t="n">
        <v>3</v>
      </c>
    </row>
    <row r="39">
      <c r="B39" s="7" t="inlineStr">
        <is>
          <t>CAP-034</t>
        </is>
      </c>
      <c r="C39" s="11" t="inlineStr">
        <is>
          <t>AI &amp; GenAI</t>
        </is>
      </c>
      <c r="D39" s="7" t="inlineStr">
        <is>
          <t>AI Governance</t>
        </is>
      </c>
      <c r="E39" s="21" t="inlineStr">
        <is>
          <t>High</t>
        </is>
      </c>
      <c r="F39" s="21" t="n">
        <v>3</v>
      </c>
    </row>
    <row r="40">
      <c r="B40" s="7" t="inlineStr">
        <is>
          <t>CAP-035</t>
        </is>
      </c>
      <c r="C40" s="11" t="inlineStr">
        <is>
          <t>AI &amp; GenAI</t>
        </is>
      </c>
      <c r="D40" s="7" t="inlineStr">
        <is>
          <t>Model Validation</t>
        </is>
      </c>
      <c r="E40" s="21" t="inlineStr">
        <is>
          <t>High</t>
        </is>
      </c>
      <c r="F40" s="21" t="n">
        <v>3</v>
      </c>
    </row>
    <row r="41">
      <c r="B41" s="7" t="inlineStr">
        <is>
          <t>CAP-036</t>
        </is>
      </c>
      <c r="C41" s="11" t="inlineStr">
        <is>
          <t>Digital Experience</t>
        </is>
      </c>
      <c r="D41" s="7" t="inlineStr">
        <is>
          <t>UX Design</t>
        </is>
      </c>
      <c r="E41" s="21" t="inlineStr">
        <is>
          <t>Medium</t>
        </is>
      </c>
      <c r="F41" s="21" t="n">
        <v>4</v>
      </c>
    </row>
    <row r="42">
      <c r="B42" s="7" t="inlineStr">
        <is>
          <t>CAP-037</t>
        </is>
      </c>
      <c r="C42" s="11" t="inlineStr">
        <is>
          <t>Digital Experience</t>
        </is>
      </c>
      <c r="D42" s="7" t="inlineStr">
        <is>
          <t>UI Design</t>
        </is>
      </c>
      <c r="E42" s="21" t="inlineStr">
        <is>
          <t>Medium</t>
        </is>
      </c>
      <c r="F42" s="21" t="n">
        <v>4</v>
      </c>
    </row>
    <row r="43">
      <c r="B43" s="7" t="inlineStr">
        <is>
          <t>CAP-038</t>
        </is>
      </c>
      <c r="C43" s="11" t="inlineStr">
        <is>
          <t>Digital Experience</t>
        </is>
      </c>
      <c r="D43" s="7" t="inlineStr">
        <is>
          <t>Customer Journey</t>
        </is>
      </c>
      <c r="E43" s="21" t="inlineStr">
        <is>
          <t>Medium</t>
        </is>
      </c>
      <c r="F43" s="21" t="n">
        <v>4</v>
      </c>
    </row>
    <row r="44">
      <c r="B44" s="7" t="inlineStr">
        <is>
          <t>CAP-039</t>
        </is>
      </c>
      <c r="C44" s="11" t="inlineStr">
        <is>
          <t>Digital Experience</t>
        </is>
      </c>
      <c r="D44" s="7" t="inlineStr">
        <is>
          <t>Commerce</t>
        </is>
      </c>
      <c r="E44" s="21" t="inlineStr">
        <is>
          <t>Medium</t>
        </is>
      </c>
      <c r="F44" s="21" t="n">
        <v>4</v>
      </c>
    </row>
    <row r="45">
      <c r="B45" s="7" t="inlineStr">
        <is>
          <t>CAP-040</t>
        </is>
      </c>
      <c r="C45" s="11" t="inlineStr">
        <is>
          <t>Digital Experience</t>
        </is>
      </c>
      <c r="D45" s="7" t="inlineStr">
        <is>
          <t>Content Management</t>
        </is>
      </c>
      <c r="E45" s="21" t="inlineStr">
        <is>
          <t>Low</t>
        </is>
      </c>
      <c r="F45" s="21" t="n">
        <v>5</v>
      </c>
    </row>
    <row r="46">
      <c r="B46" s="7" t="inlineStr">
        <is>
          <t>CAP-041</t>
        </is>
      </c>
      <c r="C46" s="11" t="inlineStr">
        <is>
          <t>Marketing Technology</t>
        </is>
      </c>
      <c r="D46" s="7" t="inlineStr">
        <is>
          <t>Adobe AEM</t>
        </is>
      </c>
      <c r="E46" s="21" t="inlineStr">
        <is>
          <t>High</t>
        </is>
      </c>
      <c r="F46" s="21" t="n">
        <v>3</v>
      </c>
    </row>
    <row r="47">
      <c r="B47" s="7" t="inlineStr">
        <is>
          <t>CAP-042</t>
        </is>
      </c>
      <c r="C47" s="11" t="inlineStr">
        <is>
          <t>Marketing Technology</t>
        </is>
      </c>
      <c r="D47" s="7" t="inlineStr">
        <is>
          <t>Adobe Analytics</t>
        </is>
      </c>
      <c r="E47" s="21" t="inlineStr">
        <is>
          <t>Medium</t>
        </is>
      </c>
      <c r="F47" s="21" t="n">
        <v>4</v>
      </c>
    </row>
    <row r="48">
      <c r="B48" s="7" t="inlineStr">
        <is>
          <t>CAP-043</t>
        </is>
      </c>
      <c r="C48" s="11" t="inlineStr">
        <is>
          <t>Marketing Technology</t>
        </is>
      </c>
      <c r="D48" s="7" t="inlineStr">
        <is>
          <t>MarTech Strategy</t>
        </is>
      </c>
      <c r="E48" s="21" t="inlineStr">
        <is>
          <t>Medium</t>
        </is>
      </c>
      <c r="F48" s="21" t="n">
        <v>4</v>
      </c>
    </row>
    <row r="49">
      <c r="B49" s="7" t="inlineStr">
        <is>
          <t>CAP-044</t>
        </is>
      </c>
      <c r="C49" s="11" t="inlineStr">
        <is>
          <t>Marketing Technology</t>
        </is>
      </c>
      <c r="D49" s="7" t="inlineStr">
        <is>
          <t>Customer Data Platform</t>
        </is>
      </c>
      <c r="E49" s="21" t="inlineStr">
        <is>
          <t>High</t>
        </is>
      </c>
      <c r="F49" s="21" t="n">
        <v>4</v>
      </c>
    </row>
    <row r="50">
      <c r="B50" s="7" t="inlineStr">
        <is>
          <t>CAP-045</t>
        </is>
      </c>
      <c r="C50" s="11" t="inlineStr">
        <is>
          <t>Marketing Technology</t>
        </is>
      </c>
      <c r="D50" s="7" t="inlineStr">
        <is>
          <t>Journey Orchestration</t>
        </is>
      </c>
      <c r="E50" s="21" t="inlineStr">
        <is>
          <t>Medium</t>
        </is>
      </c>
      <c r="F50" s="21" t="n">
        <v>4</v>
      </c>
    </row>
    <row r="51">
      <c r="B51" s="7" t="inlineStr">
        <is>
          <t>CAP-046</t>
        </is>
      </c>
      <c r="C51" s="11" t="inlineStr">
        <is>
          <t>Product Management</t>
        </is>
      </c>
      <c r="D51" s="7" t="inlineStr">
        <is>
          <t>Product Strategy</t>
        </is>
      </c>
      <c r="E51" s="21" t="inlineStr">
        <is>
          <t>High</t>
        </is>
      </c>
      <c r="F51" s="21" t="n">
        <v>3</v>
      </c>
    </row>
    <row r="52">
      <c r="B52" s="7" t="inlineStr">
        <is>
          <t>CAP-047</t>
        </is>
      </c>
      <c r="C52" s="11" t="inlineStr">
        <is>
          <t>Product Management</t>
        </is>
      </c>
      <c r="D52" s="7" t="inlineStr">
        <is>
          <t>Product Ownership</t>
        </is>
      </c>
      <c r="E52" s="21" t="inlineStr">
        <is>
          <t>Medium</t>
        </is>
      </c>
      <c r="F52" s="21" t="n">
        <v>4</v>
      </c>
    </row>
    <row r="53">
      <c r="B53" s="7" t="inlineStr">
        <is>
          <t>CAP-048</t>
        </is>
      </c>
      <c r="C53" s="11" t="inlineStr">
        <is>
          <t>Product Management</t>
        </is>
      </c>
      <c r="D53" s="7" t="inlineStr">
        <is>
          <t>Product Discovery</t>
        </is>
      </c>
      <c r="E53" s="21" t="inlineStr">
        <is>
          <t>Medium</t>
        </is>
      </c>
      <c r="F53" s="21" t="n">
        <v>4</v>
      </c>
    </row>
    <row r="54">
      <c r="B54" s="7" t="inlineStr">
        <is>
          <t>CAP-049</t>
        </is>
      </c>
      <c r="C54" s="11" t="inlineStr">
        <is>
          <t>Application Engineering</t>
        </is>
      </c>
      <c r="D54" s="7" t="inlineStr">
        <is>
          <t>Microservices</t>
        </is>
      </c>
      <c r="E54" s="21" t="inlineStr">
        <is>
          <t>High</t>
        </is>
      </c>
      <c r="F54" s="21" t="n">
        <v>5</v>
      </c>
    </row>
    <row r="55">
      <c r="B55" s="7" t="inlineStr">
        <is>
          <t>CAP-050</t>
        </is>
      </c>
      <c r="C55" s="11" t="inlineStr">
        <is>
          <t>Application Engineering</t>
        </is>
      </c>
      <c r="D55" s="7" t="inlineStr">
        <is>
          <t>API Engineering</t>
        </is>
      </c>
      <c r="E55" s="21" t="inlineStr">
        <is>
          <t>High</t>
        </is>
      </c>
      <c r="F55" s="21" t="n">
        <v>5</v>
      </c>
    </row>
    <row r="56">
      <c r="B56" s="7" t="inlineStr">
        <is>
          <t>CAP-051</t>
        </is>
      </c>
      <c r="C56" s="11" t="inlineStr">
        <is>
          <t>Application Engineering</t>
        </is>
      </c>
      <c r="D56" s="7" t="inlineStr">
        <is>
          <t>Frontend Engineering</t>
        </is>
      </c>
      <c r="E56" s="21" t="inlineStr">
        <is>
          <t>Medium</t>
        </is>
      </c>
      <c r="F56" s="21" t="n">
        <v>5</v>
      </c>
    </row>
    <row r="57">
      <c r="B57" s="7" t="inlineStr">
        <is>
          <t>CAP-052</t>
        </is>
      </c>
      <c r="C57" s="11" t="inlineStr">
        <is>
          <t>Application Engineering</t>
        </is>
      </c>
      <c r="D57" s="7" t="inlineStr">
        <is>
          <t>Backend Engineering</t>
        </is>
      </c>
      <c r="E57" s="21" t="inlineStr">
        <is>
          <t>High</t>
        </is>
      </c>
      <c r="F57" s="21" t="n">
        <v>5</v>
      </c>
    </row>
    <row r="58">
      <c r="B58" s="7" t="inlineStr">
        <is>
          <t>CAP-053</t>
        </is>
      </c>
      <c r="C58" s="11" t="inlineStr">
        <is>
          <t>Application Engineering</t>
        </is>
      </c>
      <c r="D58" s="7" t="inlineStr">
        <is>
          <t>Mobile Engineering</t>
        </is>
      </c>
      <c r="E58" s="21" t="inlineStr">
        <is>
          <t>Medium</t>
        </is>
      </c>
      <c r="F58" s="21" t="n">
        <v>5</v>
      </c>
    </row>
    <row r="59">
      <c r="B59" s="7" t="inlineStr">
        <is>
          <t>CAP-054</t>
        </is>
      </c>
      <c r="C59" s="11" t="inlineStr">
        <is>
          <t>Application Engineering</t>
        </is>
      </c>
      <c r="D59" s="7" t="inlineStr">
        <is>
          <t>App Modernization</t>
        </is>
      </c>
      <c r="E59" s="21" t="inlineStr">
        <is>
          <t>High</t>
        </is>
      </c>
      <c r="F59" s="21" t="n">
        <v>4</v>
      </c>
    </row>
    <row r="60">
      <c r="B60" s="7" t="inlineStr">
        <is>
          <t>CAP-055</t>
        </is>
      </c>
      <c r="C60" s="11" t="inlineStr">
        <is>
          <t>Integration</t>
        </is>
      </c>
      <c r="D60" s="7" t="inlineStr">
        <is>
          <t>iPaaS</t>
        </is>
      </c>
      <c r="E60" s="21" t="inlineStr">
        <is>
          <t>Medium</t>
        </is>
      </c>
      <c r="F60" s="21" t="n">
        <v>4</v>
      </c>
    </row>
    <row r="61">
      <c r="B61" s="7" t="inlineStr">
        <is>
          <t>CAP-056</t>
        </is>
      </c>
      <c r="C61" s="11" t="inlineStr">
        <is>
          <t>Integration</t>
        </is>
      </c>
      <c r="D61" s="7" t="inlineStr">
        <is>
          <t>Event Streaming</t>
        </is>
      </c>
      <c r="E61" s="21" t="inlineStr">
        <is>
          <t>High</t>
        </is>
      </c>
      <c r="F61" s="21" t="n">
        <v>4</v>
      </c>
    </row>
    <row r="62">
      <c r="B62" s="7" t="inlineStr">
        <is>
          <t>CAP-057</t>
        </is>
      </c>
      <c r="C62" s="11" t="inlineStr">
        <is>
          <t>Integration</t>
        </is>
      </c>
      <c r="D62" s="7" t="inlineStr">
        <is>
          <t>API Management</t>
        </is>
      </c>
      <c r="E62" s="21" t="inlineStr">
        <is>
          <t>Medium</t>
        </is>
      </c>
      <c r="F62" s="21" t="n">
        <v>4</v>
      </c>
    </row>
    <row r="63">
      <c r="B63" s="7" t="inlineStr">
        <is>
          <t>CAP-058</t>
        </is>
      </c>
      <c r="C63" s="11" t="inlineStr">
        <is>
          <t>Integration</t>
        </is>
      </c>
      <c r="D63" s="7" t="inlineStr">
        <is>
          <t>ESB / Middleware</t>
        </is>
      </c>
      <c r="E63" s="21" t="inlineStr">
        <is>
          <t>Medium</t>
        </is>
      </c>
      <c r="F63" s="21" t="n">
        <v>3</v>
      </c>
    </row>
    <row r="64">
      <c r="B64" s="7" t="inlineStr">
        <is>
          <t>CAP-059</t>
        </is>
      </c>
      <c r="C64" s="11" t="inlineStr">
        <is>
          <t>ERP</t>
        </is>
      </c>
      <c r="D64" s="7" t="inlineStr">
        <is>
          <t>SAP Finance</t>
        </is>
      </c>
      <c r="E64" s="21" t="inlineStr">
        <is>
          <t>High</t>
        </is>
      </c>
      <c r="F64" s="21" t="n">
        <v>3</v>
      </c>
    </row>
    <row r="65">
      <c r="B65" s="7" t="inlineStr">
        <is>
          <t>CAP-060</t>
        </is>
      </c>
      <c r="C65" s="11" t="inlineStr">
        <is>
          <t>ERP</t>
        </is>
      </c>
      <c r="D65" s="7" t="inlineStr">
        <is>
          <t>SAP Supply Chain</t>
        </is>
      </c>
      <c r="E65" s="21" t="inlineStr">
        <is>
          <t>High</t>
        </is>
      </c>
      <c r="F65" s="21" t="n">
        <v>3</v>
      </c>
    </row>
    <row r="66">
      <c r="B66" s="7" t="inlineStr">
        <is>
          <t>CAP-061</t>
        </is>
      </c>
      <c r="C66" s="11" t="inlineStr">
        <is>
          <t>ERP</t>
        </is>
      </c>
      <c r="D66" s="7" t="inlineStr">
        <is>
          <t>SAP Basis</t>
        </is>
      </c>
      <c r="E66" s="21" t="inlineStr">
        <is>
          <t>Medium</t>
        </is>
      </c>
      <c r="F66" s="21" t="n">
        <v>3</v>
      </c>
    </row>
    <row r="67">
      <c r="B67" s="7" t="inlineStr">
        <is>
          <t>CAP-062</t>
        </is>
      </c>
      <c r="C67" s="11" t="inlineStr">
        <is>
          <t>ERP</t>
        </is>
      </c>
      <c r="D67" s="7" t="inlineStr">
        <is>
          <t>Oracle Finance</t>
        </is>
      </c>
      <c r="E67" s="21" t="inlineStr">
        <is>
          <t>High</t>
        </is>
      </c>
      <c r="F67" s="21" t="n">
        <v>3</v>
      </c>
    </row>
    <row r="68">
      <c r="B68" s="7" t="inlineStr">
        <is>
          <t>CAP-063</t>
        </is>
      </c>
      <c r="C68" s="11" t="inlineStr">
        <is>
          <t>ERP</t>
        </is>
      </c>
      <c r="D68" s="7" t="inlineStr">
        <is>
          <t>Oracle SCM</t>
        </is>
      </c>
      <c r="E68" s="21" t="inlineStr">
        <is>
          <t>High</t>
        </is>
      </c>
      <c r="F68" s="21" t="n">
        <v>3</v>
      </c>
    </row>
    <row r="69">
      <c r="B69" s="7" t="inlineStr">
        <is>
          <t>CAP-064</t>
        </is>
      </c>
      <c r="C69" s="11" t="inlineStr">
        <is>
          <t>ERP</t>
        </is>
      </c>
      <c r="D69" s="7" t="inlineStr">
        <is>
          <t>Workday HCM</t>
        </is>
      </c>
      <c r="E69" s="21" t="inlineStr">
        <is>
          <t>High</t>
        </is>
      </c>
      <c r="F69" s="21" t="n">
        <v>3</v>
      </c>
    </row>
    <row r="70">
      <c r="B70" s="7" t="inlineStr">
        <is>
          <t>CAP-065</t>
        </is>
      </c>
      <c r="C70" s="11" t="inlineStr">
        <is>
          <t>ERP</t>
        </is>
      </c>
      <c r="D70" s="7" t="inlineStr">
        <is>
          <t>Workday Finance</t>
        </is>
      </c>
      <c r="E70" s="21" t="inlineStr">
        <is>
          <t>High</t>
        </is>
      </c>
      <c r="F70" s="21" t="n">
        <v>3</v>
      </c>
    </row>
    <row r="71">
      <c r="B71" s="7" t="inlineStr">
        <is>
          <t>CAP-066</t>
        </is>
      </c>
      <c r="C71" s="11" t="inlineStr">
        <is>
          <t>Cloud</t>
        </is>
      </c>
      <c r="D71" s="7" t="inlineStr">
        <is>
          <t>Azure</t>
        </is>
      </c>
      <c r="E71" s="21" t="inlineStr">
        <is>
          <t>High</t>
        </is>
      </c>
      <c r="F71" s="21" t="n">
        <v>4</v>
      </c>
    </row>
    <row r="72">
      <c r="B72" s="7" t="inlineStr">
        <is>
          <t>CAP-067</t>
        </is>
      </c>
      <c r="C72" s="11" t="inlineStr">
        <is>
          <t>Cloud</t>
        </is>
      </c>
      <c r="D72" s="7" t="inlineStr">
        <is>
          <t>AWS</t>
        </is>
      </c>
      <c r="E72" s="21" t="inlineStr">
        <is>
          <t>High</t>
        </is>
      </c>
      <c r="F72" s="21" t="n">
        <v>4</v>
      </c>
    </row>
    <row r="73">
      <c r="B73" s="7" t="inlineStr">
        <is>
          <t>CAP-068</t>
        </is>
      </c>
      <c r="C73" s="11" t="inlineStr">
        <is>
          <t>Cloud</t>
        </is>
      </c>
      <c r="D73" s="7" t="inlineStr">
        <is>
          <t>GCP</t>
        </is>
      </c>
      <c r="E73" s="21" t="inlineStr">
        <is>
          <t>Medium</t>
        </is>
      </c>
      <c r="F73" s="21" t="n">
        <v>4</v>
      </c>
    </row>
    <row r="74">
      <c r="B74" s="7" t="inlineStr">
        <is>
          <t>CAP-069</t>
        </is>
      </c>
      <c r="C74" s="11" t="inlineStr">
        <is>
          <t>Cloud</t>
        </is>
      </c>
      <c r="D74" s="7" t="inlineStr">
        <is>
          <t>Platform Engineering</t>
        </is>
      </c>
      <c r="E74" s="21" t="inlineStr">
        <is>
          <t>High</t>
        </is>
      </c>
      <c r="F74" s="21" t="n">
        <v>5</v>
      </c>
    </row>
    <row r="75">
      <c r="B75" s="7" t="inlineStr">
        <is>
          <t>CAP-070</t>
        </is>
      </c>
      <c r="C75" s="11" t="inlineStr">
        <is>
          <t>Cloud</t>
        </is>
      </c>
      <c r="D75" s="7" t="inlineStr">
        <is>
          <t>DevOps</t>
        </is>
      </c>
      <c r="E75" s="21" t="inlineStr">
        <is>
          <t>High</t>
        </is>
      </c>
      <c r="F75" s="21" t="n">
        <v>5</v>
      </c>
    </row>
    <row r="76">
      <c r="B76" s="7" t="inlineStr">
        <is>
          <t>CAP-071</t>
        </is>
      </c>
      <c r="C76" s="11" t="inlineStr">
        <is>
          <t>Cloud</t>
        </is>
      </c>
      <c r="D76" s="7" t="inlineStr">
        <is>
          <t>SRE</t>
        </is>
      </c>
      <c r="E76" s="21" t="inlineStr">
        <is>
          <t>High</t>
        </is>
      </c>
      <c r="F76" s="21" t="n">
        <v>4</v>
      </c>
    </row>
    <row r="77">
      <c r="B77" s="7" t="inlineStr">
        <is>
          <t>CAP-072</t>
        </is>
      </c>
      <c r="C77" s="11" t="inlineStr">
        <is>
          <t>Infrastructure</t>
        </is>
      </c>
      <c r="D77" s="7" t="inlineStr">
        <is>
          <t>Network</t>
        </is>
      </c>
      <c r="E77" s="21" t="inlineStr">
        <is>
          <t>Medium</t>
        </is>
      </c>
      <c r="F77" s="21" t="n">
        <v>3</v>
      </c>
    </row>
    <row r="78">
      <c r="B78" s="7" t="inlineStr">
        <is>
          <t>CAP-073</t>
        </is>
      </c>
      <c r="C78" s="11" t="inlineStr">
        <is>
          <t>Infrastructure</t>
        </is>
      </c>
      <c r="D78" s="7" t="inlineStr">
        <is>
          <t>Storage</t>
        </is>
      </c>
      <c r="E78" s="21" t="inlineStr">
        <is>
          <t>Medium</t>
        </is>
      </c>
      <c r="F78" s="21" t="n">
        <v>3</v>
      </c>
    </row>
    <row r="79">
      <c r="B79" s="7" t="inlineStr">
        <is>
          <t>CAP-074</t>
        </is>
      </c>
      <c r="C79" s="11" t="inlineStr">
        <is>
          <t>Infrastructure</t>
        </is>
      </c>
      <c r="D79" s="7" t="inlineStr">
        <is>
          <t>Compute</t>
        </is>
      </c>
      <c r="E79" s="21" t="inlineStr">
        <is>
          <t>Medium</t>
        </is>
      </c>
      <c r="F79" s="21" t="n">
        <v>3</v>
      </c>
    </row>
    <row r="80">
      <c r="B80" s="7" t="inlineStr">
        <is>
          <t>CAP-075</t>
        </is>
      </c>
      <c r="C80" s="11" t="inlineStr">
        <is>
          <t>Infrastructure</t>
        </is>
      </c>
      <c r="D80" s="7" t="inlineStr">
        <is>
          <t>Identity</t>
        </is>
      </c>
      <c r="E80" s="21" t="inlineStr">
        <is>
          <t>High</t>
        </is>
      </c>
      <c r="F80" s="21" t="n">
        <v>4</v>
      </c>
    </row>
    <row r="81">
      <c r="B81" s="7" t="inlineStr">
        <is>
          <t>CAP-076</t>
        </is>
      </c>
      <c r="C81" s="11" t="inlineStr">
        <is>
          <t>Infrastructure</t>
        </is>
      </c>
      <c r="D81" s="7" t="inlineStr">
        <is>
          <t>End-User Compute</t>
        </is>
      </c>
      <c r="E81" s="21" t="inlineStr">
        <is>
          <t>Low</t>
        </is>
      </c>
      <c r="F81" s="21" t="n">
        <v>4</v>
      </c>
    </row>
    <row r="82">
      <c r="B82" s="7" t="inlineStr">
        <is>
          <t>CAP-077</t>
        </is>
      </c>
      <c r="C82" s="11" t="inlineStr">
        <is>
          <t>Cybersecurity</t>
        </is>
      </c>
      <c r="D82" s="7" t="inlineStr">
        <is>
          <t>IAM</t>
        </is>
      </c>
      <c r="E82" s="21" t="inlineStr">
        <is>
          <t>High</t>
        </is>
      </c>
      <c r="F82" s="21" t="n">
        <v>4</v>
      </c>
    </row>
    <row r="83">
      <c r="B83" s="7" t="inlineStr">
        <is>
          <t>CAP-078</t>
        </is>
      </c>
      <c r="C83" s="11" t="inlineStr">
        <is>
          <t>Cybersecurity</t>
        </is>
      </c>
      <c r="D83" s="7" t="inlineStr">
        <is>
          <t>SOC</t>
        </is>
      </c>
      <c r="E83" s="21" t="inlineStr">
        <is>
          <t>High</t>
        </is>
      </c>
      <c r="F83" s="21" t="n">
        <v>4</v>
      </c>
    </row>
    <row r="84">
      <c r="B84" s="7" t="inlineStr">
        <is>
          <t>CAP-079</t>
        </is>
      </c>
      <c r="C84" s="11" t="inlineStr">
        <is>
          <t>Cybersecurity</t>
        </is>
      </c>
      <c r="D84" s="7" t="inlineStr">
        <is>
          <t>GRC</t>
        </is>
      </c>
      <c r="E84" s="21" t="inlineStr">
        <is>
          <t>High</t>
        </is>
      </c>
      <c r="F84" s="21" t="n">
        <v>3</v>
      </c>
    </row>
    <row r="85">
      <c r="B85" s="7" t="inlineStr">
        <is>
          <t>CAP-080</t>
        </is>
      </c>
      <c r="C85" s="11" t="inlineStr">
        <is>
          <t>Cybersecurity</t>
        </is>
      </c>
      <c r="D85" s="7" t="inlineStr">
        <is>
          <t>Application Security</t>
        </is>
      </c>
      <c r="E85" s="21" t="inlineStr">
        <is>
          <t>High</t>
        </is>
      </c>
      <c r="F85" s="21" t="n">
        <v>4</v>
      </c>
    </row>
    <row r="86">
      <c r="B86" s="7" t="inlineStr">
        <is>
          <t>CAP-081</t>
        </is>
      </c>
      <c r="C86" s="11" t="inlineStr">
        <is>
          <t>Cybersecurity</t>
        </is>
      </c>
      <c r="D86" s="7" t="inlineStr">
        <is>
          <t>Threat &amp; Vuln Mgmt</t>
        </is>
      </c>
      <c r="E86" s="21" t="inlineStr">
        <is>
          <t>High</t>
        </is>
      </c>
      <c r="F86" s="21" t="n">
        <v>4</v>
      </c>
    </row>
    <row r="87">
      <c r="B87" s="7" t="inlineStr">
        <is>
          <t>CAP-082</t>
        </is>
      </c>
      <c r="C87" s="11" t="inlineStr">
        <is>
          <t>Quality Engineering</t>
        </is>
      </c>
      <c r="D87" s="7" t="inlineStr">
        <is>
          <t>Test Strategy</t>
        </is>
      </c>
      <c r="E87" s="21" t="inlineStr">
        <is>
          <t>Medium</t>
        </is>
      </c>
      <c r="F87" s="21" t="n">
        <v>4</v>
      </c>
    </row>
    <row r="88">
      <c r="B88" s="7" t="inlineStr">
        <is>
          <t>CAP-083</t>
        </is>
      </c>
      <c r="C88" s="11" t="inlineStr">
        <is>
          <t>Quality Engineering</t>
        </is>
      </c>
      <c r="D88" s="7" t="inlineStr">
        <is>
          <t>Test Automation</t>
        </is>
      </c>
      <c r="E88" s="21" t="inlineStr">
        <is>
          <t>High</t>
        </is>
      </c>
      <c r="F88" s="21" t="n">
        <v>5</v>
      </c>
    </row>
    <row r="89">
      <c r="B89" s="7" t="inlineStr">
        <is>
          <t>CAP-084</t>
        </is>
      </c>
      <c r="C89" s="11" t="inlineStr">
        <is>
          <t>Quality Engineering</t>
        </is>
      </c>
      <c r="D89" s="7" t="inlineStr">
        <is>
          <t>Performance Testing</t>
        </is>
      </c>
      <c r="E89" s="21" t="inlineStr">
        <is>
          <t>Medium</t>
        </is>
      </c>
      <c r="F89" s="21" t="n">
        <v>4</v>
      </c>
    </row>
    <row r="90">
      <c r="B90" s="7" t="inlineStr">
        <is>
          <t>CAP-085</t>
        </is>
      </c>
      <c r="C90" s="11" t="inlineStr">
        <is>
          <t>Quality Engineering</t>
        </is>
      </c>
      <c r="D90" s="7" t="inlineStr">
        <is>
          <t>Security Testing</t>
        </is>
      </c>
      <c r="E90" s="21" t="inlineStr">
        <is>
          <t>High</t>
        </is>
      </c>
      <c r="F90" s="21" t="n">
        <v>4</v>
      </c>
    </row>
    <row r="91">
      <c r="B91" s="7" t="inlineStr">
        <is>
          <t>CAP-086</t>
        </is>
      </c>
      <c r="C91" s="11" t="inlineStr">
        <is>
          <t>Operations</t>
        </is>
      </c>
      <c r="D91" s="7" t="inlineStr">
        <is>
          <t>Service Operations</t>
        </is>
      </c>
      <c r="E91" s="21" t="inlineStr">
        <is>
          <t>Low</t>
        </is>
      </c>
      <c r="F91" s="21" t="n">
        <v>5</v>
      </c>
    </row>
    <row r="92">
      <c r="B92" s="7" t="inlineStr">
        <is>
          <t>CAP-087</t>
        </is>
      </c>
      <c r="C92" s="11" t="inlineStr">
        <is>
          <t>Operations</t>
        </is>
      </c>
      <c r="D92" s="7" t="inlineStr">
        <is>
          <t>Monitoring &amp; Observability</t>
        </is>
      </c>
      <c r="E92" s="21" t="inlineStr">
        <is>
          <t>Medium</t>
        </is>
      </c>
      <c r="F92" s="21" t="n">
        <v>5</v>
      </c>
    </row>
    <row r="93">
      <c r="B93" s="7" t="inlineStr">
        <is>
          <t>CAP-088</t>
        </is>
      </c>
      <c r="C93" s="11" t="inlineStr">
        <is>
          <t>Operations</t>
        </is>
      </c>
      <c r="D93" s="7" t="inlineStr">
        <is>
          <t>Site Reliability</t>
        </is>
      </c>
      <c r="E93" s="21" t="inlineStr">
        <is>
          <t>High</t>
        </is>
      </c>
      <c r="F93" s="21" t="n">
        <v>4</v>
      </c>
    </row>
    <row r="94">
      <c r="B94" s="7" t="inlineStr">
        <is>
          <t>CAP-089</t>
        </is>
      </c>
      <c r="C94" s="11" t="inlineStr">
        <is>
          <t>Managed Services</t>
        </is>
      </c>
      <c r="D94" s="7" t="inlineStr">
        <is>
          <t>AMS L1</t>
        </is>
      </c>
      <c r="E94" s="21" t="inlineStr">
        <is>
          <t>Low</t>
        </is>
      </c>
      <c r="F94" s="21" t="n">
        <v>5</v>
      </c>
    </row>
    <row r="95">
      <c r="B95" s="7" t="inlineStr">
        <is>
          <t>CAP-090</t>
        </is>
      </c>
      <c r="C95" s="11" t="inlineStr">
        <is>
          <t>Managed Services</t>
        </is>
      </c>
      <c r="D95" s="7" t="inlineStr">
        <is>
          <t>AMS L2</t>
        </is>
      </c>
      <c r="E95" s="21" t="inlineStr">
        <is>
          <t>Medium</t>
        </is>
      </c>
      <c r="F95" s="21" t="n">
        <v>5</v>
      </c>
    </row>
    <row r="96">
      <c r="B96" s="7" t="inlineStr">
        <is>
          <t>CAP-091</t>
        </is>
      </c>
      <c r="C96" s="11" t="inlineStr">
        <is>
          <t>Managed Services</t>
        </is>
      </c>
      <c r="D96" s="7" t="inlineStr">
        <is>
          <t>AMS L3</t>
        </is>
      </c>
      <c r="E96" s="21" t="inlineStr">
        <is>
          <t>High</t>
        </is>
      </c>
      <c r="F96" s="21" t="n">
        <v>4</v>
      </c>
    </row>
    <row r="97">
      <c r="B97" s="7" t="inlineStr">
        <is>
          <t>CAP-092</t>
        </is>
      </c>
      <c r="C97" s="11" t="inlineStr">
        <is>
          <t>Legacy &amp; Mainframe</t>
        </is>
      </c>
      <c r="D97" s="7" t="inlineStr">
        <is>
          <t>Mainframe</t>
        </is>
      </c>
      <c r="E97" s="21" t="inlineStr">
        <is>
          <t>High</t>
        </is>
      </c>
      <c r="F97" s="21" t="n">
        <v>2</v>
      </c>
    </row>
    <row r="98">
      <c r="B98" s="7" t="inlineStr">
        <is>
          <t>CAP-093</t>
        </is>
      </c>
      <c r="C98" s="11" t="inlineStr">
        <is>
          <t>Legacy &amp; Mainframe</t>
        </is>
      </c>
      <c r="D98" s="7" t="inlineStr">
        <is>
          <t>COBOL</t>
        </is>
      </c>
      <c r="E98" s="21" t="inlineStr">
        <is>
          <t>High</t>
        </is>
      </c>
      <c r="F98" s="21" t="n">
        <v>3</v>
      </c>
    </row>
    <row r="99">
      <c r="B99" s="7" t="inlineStr">
        <is>
          <t>CAP-094</t>
        </is>
      </c>
      <c r="C99" s="11" t="inlineStr">
        <is>
          <t>Legacy &amp; Mainframe</t>
        </is>
      </c>
      <c r="D99" s="7" t="inlineStr">
        <is>
          <t>DB2</t>
        </is>
      </c>
      <c r="E99" s="21" t="inlineStr">
        <is>
          <t>Medium</t>
        </is>
      </c>
      <c r="F99" s="21" t="n">
        <v>3</v>
      </c>
    </row>
    <row r="100">
      <c r="B100" s="7" t="inlineStr">
        <is>
          <t>CAP-095</t>
        </is>
      </c>
      <c r="C100" s="11" t="inlineStr">
        <is>
          <t>Legacy &amp; Mainframe</t>
        </is>
      </c>
      <c r="D100" s="7" t="inlineStr">
        <is>
          <t>z/OS</t>
        </is>
      </c>
      <c r="E100" s="21" t="inlineStr">
        <is>
          <t>High</t>
        </is>
      </c>
      <c r="F100" s="21" t="n">
        <v>2</v>
      </c>
    </row>
    <row r="101">
      <c r="B101" s="7" t="inlineStr">
        <is>
          <t>CAP-096</t>
        </is>
      </c>
      <c r="C101" s="11" t="inlineStr">
        <is>
          <t>Change Management</t>
        </is>
      </c>
      <c r="D101" s="7" t="inlineStr">
        <is>
          <t>Organizational Change</t>
        </is>
      </c>
      <c r="E101" s="21" t="inlineStr">
        <is>
          <t>Medium</t>
        </is>
      </c>
      <c r="F101" s="21" t="n">
        <v>3</v>
      </c>
    </row>
    <row r="102">
      <c r="B102" s="7" t="inlineStr">
        <is>
          <t>CAP-097</t>
        </is>
      </c>
      <c r="C102" s="11" t="inlineStr">
        <is>
          <t>Change Management</t>
        </is>
      </c>
      <c r="D102" s="7" t="inlineStr">
        <is>
          <t>Training</t>
        </is>
      </c>
      <c r="E102" s="21" t="inlineStr">
        <is>
          <t>Low</t>
        </is>
      </c>
      <c r="F102" s="21" t="n">
        <v>4</v>
      </c>
    </row>
    <row r="103">
      <c r="B103" s="7" t="inlineStr">
        <is>
          <t>CAP-098</t>
        </is>
      </c>
      <c r="C103" s="11" t="inlineStr">
        <is>
          <t>Change Management</t>
        </is>
      </c>
      <c r="D103" s="7" t="inlineStr">
        <is>
          <t>Communications</t>
        </is>
      </c>
      <c r="E103" s="21" t="inlineStr">
        <is>
          <t>Low</t>
        </is>
      </c>
      <c r="F103" s="21" t="n">
        <v>4</v>
      </c>
    </row>
    <row r="104">
      <c r="B104" s="7" t="inlineStr">
        <is>
          <t>CAP-099</t>
        </is>
      </c>
      <c r="C104" s="11" t="inlineStr">
        <is>
          <t>Change Management</t>
        </is>
      </c>
      <c r="D104" s="7" t="inlineStr">
        <is>
          <t>Adoption</t>
        </is>
      </c>
      <c r="E104" s="21" t="inlineStr">
        <is>
          <t>Medium</t>
        </is>
      </c>
      <c r="F104" s="21" t="n">
        <v>4</v>
      </c>
    </row>
    <row r="105">
      <c r="B105" s="7" t="inlineStr">
        <is>
          <t>CAP-100</t>
        </is>
      </c>
      <c r="C105" s="11" t="inlineStr">
        <is>
          <t>Program Management</t>
        </is>
      </c>
      <c r="D105" s="7" t="inlineStr">
        <is>
          <t>PMO</t>
        </is>
      </c>
      <c r="E105" s="21" t="inlineStr">
        <is>
          <t>Medium</t>
        </is>
      </c>
      <c r="F105" s="21" t="n">
        <v>4</v>
      </c>
    </row>
    <row r="106">
      <c r="B106" s="7" t="inlineStr">
        <is>
          <t>CAP-101</t>
        </is>
      </c>
      <c r="C106" s="11" t="inlineStr">
        <is>
          <t>Program Management</t>
        </is>
      </c>
      <c r="D106" s="7" t="inlineStr">
        <is>
          <t>Program Delivery</t>
        </is>
      </c>
      <c r="E106" s="21" t="inlineStr">
        <is>
          <t>Medium</t>
        </is>
      </c>
      <c r="F106" s="21" t="n">
        <v>3</v>
      </c>
    </row>
    <row r="107">
      <c r="B107" s="7" t="inlineStr">
        <is>
          <t>CAP-102</t>
        </is>
      </c>
      <c r="C107" s="11" t="inlineStr">
        <is>
          <t>Program Management</t>
        </is>
      </c>
      <c r="D107" s="7" t="inlineStr">
        <is>
          <t>Agile Delivery</t>
        </is>
      </c>
      <c r="E107" s="21" t="inlineStr">
        <is>
          <t>Medium</t>
        </is>
      </c>
      <c r="F107" s="21" t="n">
        <v>4</v>
      </c>
    </row>
    <row r="108">
      <c r="B108" s="7" t="inlineStr">
        <is>
          <t>CAP-103</t>
        </is>
      </c>
      <c r="C108" s="11" t="inlineStr">
        <is>
          <t>Enterprise Architecture</t>
        </is>
      </c>
      <c r="D108" s="7" t="inlineStr">
        <is>
          <t>Enterprise Architecture</t>
        </is>
      </c>
      <c r="E108" s="21" t="inlineStr">
        <is>
          <t>High</t>
        </is>
      </c>
      <c r="F108" s="21" t="n">
        <v>3</v>
      </c>
    </row>
    <row r="109">
      <c r="B109" s="7" t="inlineStr">
        <is>
          <t>CAP-104</t>
        </is>
      </c>
      <c r="C109" s="11" t="inlineStr">
        <is>
          <t>Enterprise Architecture</t>
        </is>
      </c>
      <c r="D109" s="7" t="inlineStr">
        <is>
          <t>Solution Architecture</t>
        </is>
      </c>
      <c r="E109" s="21" t="inlineStr">
        <is>
          <t>High</t>
        </is>
      </c>
      <c r="F109" s="21" t="n">
        <v>3</v>
      </c>
    </row>
    <row r="110">
      <c r="B110" s="7" t="inlineStr">
        <is>
          <t>CAP-105</t>
        </is>
      </c>
      <c r="C110" s="11" t="inlineStr">
        <is>
          <t>Enterprise Architecture</t>
        </is>
      </c>
      <c r="D110" s="7" t="inlineStr">
        <is>
          <t>Technical Architecture</t>
        </is>
      </c>
      <c r="E110" s="21" t="inlineStr">
        <is>
          <t>High</t>
        </is>
      </c>
      <c r="F110" s="21" t="n">
        <v>4</v>
      </c>
    </row>
    <row r="111">
      <c r="B111" s="7" t="inlineStr">
        <is>
          <t>CAP-106</t>
        </is>
      </c>
      <c r="C111" s="11" t="inlineStr">
        <is>
          <t>ERP</t>
        </is>
      </c>
      <c r="D111" s="7" t="inlineStr">
        <is>
          <t>SAP S/4HANA</t>
        </is>
      </c>
      <c r="E111" s="21" t="inlineStr">
        <is>
          <t>High</t>
        </is>
      </c>
      <c r="F111" s="21" t="n">
        <v>3</v>
      </c>
    </row>
    <row r="112">
      <c r="B112" s="7" t="inlineStr">
        <is>
          <t>CAP-107</t>
        </is>
      </c>
      <c r="C112" s="11" t="inlineStr">
        <is>
          <t>ERP</t>
        </is>
      </c>
      <c r="D112" s="7" t="inlineStr">
        <is>
          <t>SAP ABAP &amp; Fiori</t>
        </is>
      </c>
      <c r="E112" s="21" t="inlineStr">
        <is>
          <t>Medium</t>
        </is>
      </c>
      <c r="F112" s="21" t="n">
        <v>4</v>
      </c>
    </row>
    <row r="113">
      <c r="B113" s="7" t="inlineStr">
        <is>
          <t>CAP-108</t>
        </is>
      </c>
      <c r="C113" s="11" t="inlineStr">
        <is>
          <t>ERP</t>
        </is>
      </c>
      <c r="D113" s="7" t="inlineStr">
        <is>
          <t>SAP BTP &amp; Integration</t>
        </is>
      </c>
      <c r="E113" s="21" t="inlineStr">
        <is>
          <t>High</t>
        </is>
      </c>
      <c r="F113" s="21" t="n">
        <v>3</v>
      </c>
    </row>
    <row r="114">
      <c r="B114" s="7" t="inlineStr">
        <is>
          <t>CAP-109</t>
        </is>
      </c>
      <c r="C114" s="11" t="inlineStr">
        <is>
          <t>ERP</t>
        </is>
      </c>
      <c r="D114" s="7" t="inlineStr">
        <is>
          <t>SAP SuccessFactors</t>
        </is>
      </c>
      <c r="E114" s="21" t="inlineStr">
        <is>
          <t>Medium</t>
        </is>
      </c>
      <c r="F114" s="21" t="n">
        <v>3</v>
      </c>
    </row>
    <row r="115">
      <c r="B115" s="7" t="inlineStr">
        <is>
          <t>CAP-110</t>
        </is>
      </c>
      <c r="C115" s="11" t="inlineStr">
        <is>
          <t>ERP</t>
        </is>
      </c>
      <c r="D115" s="7" t="inlineStr">
        <is>
          <t>SAP Ariba</t>
        </is>
      </c>
      <c r="E115" s="21" t="inlineStr">
        <is>
          <t>Medium</t>
        </is>
      </c>
      <c r="F115" s="21" t="n">
        <v>3</v>
      </c>
    </row>
    <row r="116">
      <c r="B116" s="7" t="inlineStr">
        <is>
          <t>CAP-111</t>
        </is>
      </c>
      <c r="C116" s="11" t="inlineStr">
        <is>
          <t>ERP</t>
        </is>
      </c>
      <c r="D116" s="7" t="inlineStr">
        <is>
          <t>SAP Analytics Cloud</t>
        </is>
      </c>
      <c r="E116" s="21" t="inlineStr">
        <is>
          <t>Medium</t>
        </is>
      </c>
      <c r="F116" s="21" t="n">
        <v>4</v>
      </c>
    </row>
    <row r="117">
      <c r="B117" s="7" t="inlineStr">
        <is>
          <t>CAP-112</t>
        </is>
      </c>
      <c r="C117" s="11" t="inlineStr">
        <is>
          <t>ERP</t>
        </is>
      </c>
      <c r="D117" s="7" t="inlineStr">
        <is>
          <t>Oracle Fusion</t>
        </is>
      </c>
      <c r="E117" s="21" t="inlineStr">
        <is>
          <t>High</t>
        </is>
      </c>
      <c r="F117" s="21" t="n">
        <v>3</v>
      </c>
    </row>
    <row r="118">
      <c r="B118" s="7" t="inlineStr">
        <is>
          <t>CAP-113</t>
        </is>
      </c>
      <c r="C118" s="11" t="inlineStr">
        <is>
          <t>ERP</t>
        </is>
      </c>
      <c r="D118" s="7" t="inlineStr">
        <is>
          <t>Oracle Cloud Infrastructure</t>
        </is>
      </c>
      <c r="E118" s="21" t="inlineStr">
        <is>
          <t>High</t>
        </is>
      </c>
      <c r="F118" s="21" t="n">
        <v>3</v>
      </c>
    </row>
    <row r="119">
      <c r="B119" s="7" t="inlineStr">
        <is>
          <t>CAP-114</t>
        </is>
      </c>
      <c r="C119" s="11" t="inlineStr">
        <is>
          <t>ERP</t>
        </is>
      </c>
      <c r="D119" s="7" t="inlineStr">
        <is>
          <t>Workday Integration</t>
        </is>
      </c>
      <c r="E119" s="21" t="inlineStr">
        <is>
          <t>High</t>
        </is>
      </c>
      <c r="F119" s="21" t="n">
        <v>3</v>
      </c>
    </row>
    <row r="120">
      <c r="B120" s="7" t="inlineStr">
        <is>
          <t>CAP-115</t>
        </is>
      </c>
      <c r="C120" s="11" t="inlineStr">
        <is>
          <t>Application Engineering</t>
        </is>
      </c>
      <c r="D120" s="7" t="inlineStr">
        <is>
          <t>ServiceNow ITSM</t>
        </is>
      </c>
      <c r="E120" s="21" t="inlineStr">
        <is>
          <t>High</t>
        </is>
      </c>
      <c r="F120" s="21" t="n">
        <v>4</v>
      </c>
    </row>
    <row r="121">
      <c r="B121" s="7" t="inlineStr">
        <is>
          <t>CAP-116</t>
        </is>
      </c>
      <c r="C121" s="11" t="inlineStr">
        <is>
          <t>Application Engineering</t>
        </is>
      </c>
      <c r="D121" s="7" t="inlineStr">
        <is>
          <t>ServiceNow HRSD</t>
        </is>
      </c>
      <c r="E121" s="21" t="inlineStr">
        <is>
          <t>Medium</t>
        </is>
      </c>
      <c r="F121" s="21" t="n">
        <v>4</v>
      </c>
    </row>
    <row r="122">
      <c r="B122" s="7" t="inlineStr">
        <is>
          <t>CAP-117</t>
        </is>
      </c>
      <c r="C122" s="11" t="inlineStr">
        <is>
          <t>Application Engineering</t>
        </is>
      </c>
      <c r="D122" s="7" t="inlineStr">
        <is>
          <t>ServiceNow CSM</t>
        </is>
      </c>
      <c r="E122" s="21" t="inlineStr">
        <is>
          <t>Medium</t>
        </is>
      </c>
      <c r="F122" s="21" t="n">
        <v>4</v>
      </c>
    </row>
    <row r="123">
      <c r="B123" s="7" t="inlineStr">
        <is>
          <t>CAP-118</t>
        </is>
      </c>
      <c r="C123" s="11" t="inlineStr">
        <is>
          <t>Application Engineering</t>
        </is>
      </c>
      <c r="D123" s="7" t="inlineStr">
        <is>
          <t>ServiceNow ITOM</t>
        </is>
      </c>
      <c r="E123" s="21" t="inlineStr">
        <is>
          <t>High</t>
        </is>
      </c>
      <c r="F123" s="21" t="n">
        <v>4</v>
      </c>
    </row>
    <row r="124">
      <c r="B124" s="7" t="inlineStr">
        <is>
          <t>CAP-119</t>
        </is>
      </c>
      <c r="C124" s="11" t="inlineStr">
        <is>
          <t>Application Engineering</t>
        </is>
      </c>
      <c r="D124" s="7" t="inlineStr">
        <is>
          <t>ServiceNow SecOps</t>
        </is>
      </c>
      <c r="E124" s="21" t="inlineStr">
        <is>
          <t>High</t>
        </is>
      </c>
      <c r="F124" s="21" t="n">
        <v>4</v>
      </c>
    </row>
    <row r="125">
      <c r="B125" s="7" t="inlineStr">
        <is>
          <t>CAP-120</t>
        </is>
      </c>
      <c r="C125" s="11" t="inlineStr">
        <is>
          <t>Application Engineering</t>
        </is>
      </c>
      <c r="D125" s="7" t="inlineStr">
        <is>
          <t>Salesforce Sales Cloud</t>
        </is>
      </c>
      <c r="E125" s="21" t="inlineStr">
        <is>
          <t>High</t>
        </is>
      </c>
      <c r="F125" s="21" t="n">
        <v>4</v>
      </c>
    </row>
    <row r="126">
      <c r="B126" s="7" t="inlineStr">
        <is>
          <t>CAP-121</t>
        </is>
      </c>
      <c r="C126" s="11" t="inlineStr">
        <is>
          <t>Application Engineering</t>
        </is>
      </c>
      <c r="D126" s="7" t="inlineStr">
        <is>
          <t>Salesforce Service Cloud</t>
        </is>
      </c>
      <c r="E126" s="21" t="inlineStr">
        <is>
          <t>High</t>
        </is>
      </c>
      <c r="F126" s="21" t="n">
        <v>4</v>
      </c>
    </row>
    <row r="127">
      <c r="B127" s="7" t="inlineStr">
        <is>
          <t>CAP-122</t>
        </is>
      </c>
      <c r="C127" s="11" t="inlineStr">
        <is>
          <t>Application Engineering</t>
        </is>
      </c>
      <c r="D127" s="7" t="inlineStr">
        <is>
          <t>Salesforce Marketing Cloud</t>
        </is>
      </c>
      <c r="E127" s="21" t="inlineStr">
        <is>
          <t>Medium</t>
        </is>
      </c>
      <c r="F127" s="21" t="n">
        <v>4</v>
      </c>
    </row>
    <row r="128">
      <c r="B128" s="7" t="inlineStr">
        <is>
          <t>CAP-123</t>
        </is>
      </c>
      <c r="C128" s="11" t="inlineStr">
        <is>
          <t>Application Engineering</t>
        </is>
      </c>
      <c r="D128" s="7" t="inlineStr">
        <is>
          <t>Salesforce Platform</t>
        </is>
      </c>
      <c r="E128" s="21" t="inlineStr">
        <is>
          <t>High</t>
        </is>
      </c>
      <c r="F128" s="21" t="n">
        <v>4</v>
      </c>
    </row>
    <row r="129">
      <c r="B129" s="7" t="inlineStr">
        <is>
          <t>CAP-124</t>
        </is>
      </c>
      <c r="C129" s="11" t="inlineStr">
        <is>
          <t>Integration</t>
        </is>
      </c>
      <c r="D129" s="7" t="inlineStr">
        <is>
          <t>MuleSoft</t>
        </is>
      </c>
      <c r="E129" s="21" t="inlineStr">
        <is>
          <t>High</t>
        </is>
      </c>
      <c r="F129" s="21" t="n">
        <v>4</v>
      </c>
    </row>
    <row r="130">
      <c r="B130" s="7" t="inlineStr">
        <is>
          <t>CAP-125</t>
        </is>
      </c>
      <c r="C130" s="11" t="inlineStr">
        <is>
          <t>Cloud</t>
        </is>
      </c>
      <c r="D130" s="7" t="inlineStr">
        <is>
          <t>Kubernetes</t>
        </is>
      </c>
      <c r="E130" s="21" t="inlineStr">
        <is>
          <t>High</t>
        </is>
      </c>
      <c r="F130" s="21" t="n">
        <v>4</v>
      </c>
    </row>
    <row r="131">
      <c r="B131" s="7" t="inlineStr">
        <is>
          <t>CAP-126</t>
        </is>
      </c>
      <c r="C131" s="11" t="inlineStr">
        <is>
          <t>Cloud</t>
        </is>
      </c>
      <c r="D131" s="7" t="inlineStr">
        <is>
          <t>FinOps</t>
        </is>
      </c>
      <c r="E131" s="21" t="inlineStr">
        <is>
          <t>Medium</t>
        </is>
      </c>
      <c r="F131" s="21" t="n">
        <v>4</v>
      </c>
    </row>
    <row r="132">
      <c r="B132" s="7" t="inlineStr">
        <is>
          <t>CAP-127</t>
        </is>
      </c>
      <c r="C132" s="11" t="inlineStr">
        <is>
          <t>Cloud</t>
        </is>
      </c>
      <c r="D132" s="7" t="inlineStr">
        <is>
          <t>Infrastructure as Code</t>
        </is>
      </c>
      <c r="E132" s="21" t="inlineStr">
        <is>
          <t>High</t>
        </is>
      </c>
      <c r="F132" s="21" t="n">
        <v>5</v>
      </c>
    </row>
    <row r="133">
      <c r="B133" s="7" t="inlineStr">
        <is>
          <t>CAP-128</t>
        </is>
      </c>
      <c r="C133" s="11" t="inlineStr">
        <is>
          <t>Cybersecurity</t>
        </is>
      </c>
      <c r="D133" s="7" t="inlineStr">
        <is>
          <t>Zero Trust</t>
        </is>
      </c>
      <c r="E133" s="21" t="inlineStr">
        <is>
          <t>High</t>
        </is>
      </c>
      <c r="F133" s="21" t="n">
        <v>3</v>
      </c>
    </row>
    <row r="134">
      <c r="B134" s="7" t="inlineStr">
        <is>
          <t>CAP-129</t>
        </is>
      </c>
      <c r="C134" s="11" t="inlineStr">
        <is>
          <t>Business Process</t>
        </is>
      </c>
      <c r="D134" s="7" t="inlineStr">
        <is>
          <t>Robotic Process Automation</t>
        </is>
      </c>
      <c r="E134" s="21" t="inlineStr">
        <is>
          <t>Medium</t>
        </is>
      </c>
      <c r="F134" s="21" t="n">
        <v>5</v>
      </c>
    </row>
    <row r="135">
      <c r="B135" s="7" t="inlineStr">
        <is>
          <t>CAP-130</t>
        </is>
      </c>
      <c r="C135" s="11" t="inlineStr">
        <is>
          <t>Industry SMEs</t>
        </is>
      </c>
      <c r="D135" s="7" t="inlineStr">
        <is>
          <t>Banking Domain</t>
        </is>
      </c>
      <c r="E135" s="21" t="inlineStr">
        <is>
          <t>High</t>
        </is>
      </c>
      <c r="F135" s="21" t="n">
        <v>2</v>
      </c>
    </row>
    <row r="136">
      <c r="B136" s="7" t="inlineStr">
        <is>
          <t>CAP-131</t>
        </is>
      </c>
      <c r="C136" s="11" t="inlineStr">
        <is>
          <t>Industry SMEs</t>
        </is>
      </c>
      <c r="D136" s="7" t="inlineStr">
        <is>
          <t>Capital Markets Domain</t>
        </is>
      </c>
      <c r="E136" s="21" t="inlineStr">
        <is>
          <t>High</t>
        </is>
      </c>
      <c r="F136" s="21" t="n">
        <v>2</v>
      </c>
    </row>
    <row r="137">
      <c r="B137" s="7" t="inlineStr">
        <is>
          <t>CAP-132</t>
        </is>
      </c>
      <c r="C137" s="11" t="inlineStr">
        <is>
          <t>Industry SMEs</t>
        </is>
      </c>
      <c r="D137" s="7" t="inlineStr">
        <is>
          <t>Insurance Domain</t>
        </is>
      </c>
      <c r="E137" s="21" t="inlineStr">
        <is>
          <t>High</t>
        </is>
      </c>
      <c r="F137" s="21" t="n">
        <v>2</v>
      </c>
    </row>
    <row r="138">
      <c r="B138" s="7" t="inlineStr">
        <is>
          <t>CAP-133</t>
        </is>
      </c>
      <c r="C138" s="11" t="inlineStr">
        <is>
          <t>Industry SMEs</t>
        </is>
      </c>
      <c r="D138" s="7" t="inlineStr">
        <is>
          <t>Payments Domain</t>
        </is>
      </c>
      <c r="E138" s="21" t="inlineStr">
        <is>
          <t>High</t>
        </is>
      </c>
      <c r="F138" s="21" t="n">
        <v>2</v>
      </c>
    </row>
    <row r="139">
      <c r="B139" s="7" t="inlineStr">
        <is>
          <t>CAP-134</t>
        </is>
      </c>
      <c r="C139" s="11" t="inlineStr">
        <is>
          <t>Industry SMEs</t>
        </is>
      </c>
      <c r="D139" s="7" t="inlineStr">
        <is>
          <t>Payer Domain</t>
        </is>
      </c>
      <c r="E139" s="21" t="inlineStr">
        <is>
          <t>High</t>
        </is>
      </c>
      <c r="F139" s="21" t="n">
        <v>2</v>
      </c>
    </row>
    <row r="140">
      <c r="B140" s="7" t="inlineStr">
        <is>
          <t>CAP-135</t>
        </is>
      </c>
      <c r="C140" s="11" t="inlineStr">
        <is>
          <t>Industry SMEs</t>
        </is>
      </c>
      <c r="D140" s="7" t="inlineStr">
        <is>
          <t>Provider Domain</t>
        </is>
      </c>
      <c r="E140" s="21" t="inlineStr">
        <is>
          <t>High</t>
        </is>
      </c>
      <c r="F140" s="21" t="n">
        <v>2</v>
      </c>
    </row>
    <row r="141">
      <c r="B141" s="7" t="inlineStr">
        <is>
          <t>CAP-136</t>
        </is>
      </c>
      <c r="C141" s="11" t="inlineStr">
        <is>
          <t>Industry SMEs</t>
        </is>
      </c>
      <c r="D141" s="7" t="inlineStr">
        <is>
          <t>Life Sciences Domain</t>
        </is>
      </c>
      <c r="E141" s="21" t="inlineStr">
        <is>
          <t>High</t>
        </is>
      </c>
      <c r="F141" s="21" t="n">
        <v>2</v>
      </c>
    </row>
    <row r="142">
      <c r="B142" s="7" t="inlineStr">
        <is>
          <t>CAP-137</t>
        </is>
      </c>
      <c r="C142" s="11" t="inlineStr">
        <is>
          <t>Industry SMEs</t>
        </is>
      </c>
      <c r="D142" s="7" t="inlineStr">
        <is>
          <t>Energy &amp; Utilities Domain</t>
        </is>
      </c>
      <c r="E142" s="21" t="inlineStr">
        <is>
          <t>Medium</t>
        </is>
      </c>
      <c r="F142" s="21" t="n">
        <v>2</v>
      </c>
    </row>
    <row r="143">
      <c r="B143" s="7" t="inlineStr">
        <is>
          <t>CAP-138</t>
        </is>
      </c>
      <c r="C143" s="11" t="inlineStr">
        <is>
          <t>Industry SMEs</t>
        </is>
      </c>
      <c r="D143" s="7" t="inlineStr">
        <is>
          <t>Telecom Domain</t>
        </is>
      </c>
      <c r="E143" s="21" t="inlineStr">
        <is>
          <t>Medium</t>
        </is>
      </c>
      <c r="F143" s="21" t="n">
        <v>2</v>
      </c>
    </row>
    <row r="144">
      <c r="B144" s="7" t="inlineStr">
        <is>
          <t>CAP-139</t>
        </is>
      </c>
      <c r="C144" s="11" t="inlineStr">
        <is>
          <t>Industry SMEs</t>
        </is>
      </c>
      <c r="D144" s="7" t="inlineStr">
        <is>
          <t>Media Domain</t>
        </is>
      </c>
      <c r="E144" s="21" t="inlineStr">
        <is>
          <t>Medium</t>
        </is>
      </c>
      <c r="F144" s="21" t="n">
        <v>2</v>
      </c>
    </row>
  </sheetData>
  <autoFilter ref="B5:F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EA8"/>
    <outlinePr summaryBelow="1" summaryRight="1"/>
    <pageSetUpPr/>
  </sheetPr>
  <dimension ref="B2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8" customWidth="1" min="4" max="4"/>
    <col width="50" customWidth="1" min="5" max="5"/>
  </cols>
  <sheetData>
    <row r="2">
      <c r="B2" s="14" t="inlineStr">
        <is>
          <t>CAREER LEVEL MODEL</t>
        </is>
      </c>
    </row>
    <row r="4">
      <c r="B4" s="6" t="inlineStr">
        <is>
          <t>Level</t>
        </is>
      </c>
      <c r="C4" s="6" t="inlineStr">
        <is>
          <t>Years Exp</t>
        </is>
      </c>
      <c r="D4" s="6" t="inlineStr">
        <is>
          <t>Base Salary (US)</t>
        </is>
      </c>
      <c r="E4" s="6" t="inlineStr">
        <is>
          <t>Expectation</t>
        </is>
      </c>
    </row>
    <row r="5">
      <c r="B5" s="7" t="inlineStr">
        <is>
          <t>Partner</t>
        </is>
      </c>
      <c r="C5" s="21" t="inlineStr">
        <is>
          <t>25+</t>
        </is>
      </c>
      <c r="D5" s="22">
        <f>VLOOKUP(B5,Assumptions!$B$50:$D$59,3,FALSE)</f>
        <v/>
      </c>
      <c r="E5" s="5" t="inlineStr">
        <is>
          <t>Owns client P&amp;L, sells &amp; sponsors transformation</t>
        </is>
      </c>
    </row>
    <row r="6">
      <c r="B6" s="7" t="inlineStr">
        <is>
          <t>Managing Director</t>
        </is>
      </c>
      <c r="C6" s="21" t="inlineStr">
        <is>
          <t>20+</t>
        </is>
      </c>
      <c r="D6" s="22">
        <f>VLOOKUP(B6,Assumptions!$B$50:$D$59,3,FALSE)</f>
        <v/>
      </c>
      <c r="E6" s="5" t="inlineStr">
        <is>
          <t>Owns portfolio, executive relationships, delivery assurance</t>
        </is>
      </c>
    </row>
    <row r="7">
      <c r="B7" s="7" t="inlineStr">
        <is>
          <t>Principal</t>
        </is>
      </c>
      <c r="C7" s="21" t="inlineStr">
        <is>
          <t>18+</t>
        </is>
      </c>
      <c r="D7" s="22">
        <f>VLOOKUP(B7,Assumptions!$B$50:$D$59,3,FALSE)</f>
        <v/>
      </c>
      <c r="E7" s="5" t="inlineStr">
        <is>
          <t>Owns large program design and outcomes</t>
        </is>
      </c>
    </row>
    <row r="8">
      <c r="B8" s="7" t="inlineStr">
        <is>
          <t>Director</t>
        </is>
      </c>
      <c r="C8" s="21" t="inlineStr">
        <is>
          <t>15+</t>
        </is>
      </c>
      <c r="D8" s="22">
        <f>VLOOKUP(B8,Assumptions!$B$50:$D$59,3,FALSE)</f>
        <v/>
      </c>
      <c r="E8" s="5" t="inlineStr">
        <is>
          <t>Owns workstream/program delivery and quality</t>
        </is>
      </c>
    </row>
    <row r="9">
      <c r="B9" s="7" t="inlineStr">
        <is>
          <t>Senior Manager</t>
        </is>
      </c>
      <c r="C9" s="21" t="inlineStr">
        <is>
          <t>12+</t>
        </is>
      </c>
      <c r="D9" s="22">
        <f>VLOOKUP(B9,Assumptions!$B$50:$D$59,3,FALSE)</f>
        <v/>
      </c>
      <c r="E9" s="5" t="inlineStr">
        <is>
          <t>Leads multiple teams / a delivery track</t>
        </is>
      </c>
    </row>
    <row r="10">
      <c r="B10" s="7" t="inlineStr">
        <is>
          <t>Manager</t>
        </is>
      </c>
      <c r="C10" s="21" t="inlineStr">
        <is>
          <t>10+</t>
        </is>
      </c>
      <c r="D10" s="22">
        <f>VLOOKUP(B10,Assumptions!$B$50:$D$59,3,FALSE)</f>
        <v/>
      </c>
      <c r="E10" s="5" t="inlineStr">
        <is>
          <t>Leads a team and a deliverable scope</t>
        </is>
      </c>
    </row>
    <row r="11">
      <c r="B11" s="7" t="inlineStr">
        <is>
          <t>Lead</t>
        </is>
      </c>
      <c r="C11" s="21" t="inlineStr">
        <is>
          <t>8+</t>
        </is>
      </c>
      <c r="D11" s="22">
        <f>VLOOKUP(B11,Assumptions!$B$50:$D$59,3,FALSE)</f>
        <v/>
      </c>
      <c r="E11" s="5" t="inlineStr">
        <is>
          <t>Technical/functional lead for a squad</t>
        </is>
      </c>
    </row>
    <row r="12">
      <c r="B12" s="7" t="inlineStr">
        <is>
          <t>Senior</t>
        </is>
      </c>
      <c r="C12" s="21" t="inlineStr">
        <is>
          <t>6+</t>
        </is>
      </c>
      <c r="D12" s="22">
        <f>VLOOKUP(B12,Assumptions!$B$50:$D$59,3,FALSE)</f>
        <v/>
      </c>
      <c r="E12" s="5" t="inlineStr">
        <is>
          <t>Independent senior contributor</t>
        </is>
      </c>
    </row>
    <row r="13">
      <c r="B13" s="7" t="inlineStr">
        <is>
          <t>Intermediate</t>
        </is>
      </c>
      <c r="C13" s="21" t="inlineStr">
        <is>
          <t>3+</t>
        </is>
      </c>
      <c r="D13" s="22">
        <f>VLOOKUP(B13,Assumptions!$B$50:$D$59,3,FALSE)</f>
        <v/>
      </c>
      <c r="E13" s="5" t="inlineStr">
        <is>
          <t>Contributor with guidance</t>
        </is>
      </c>
    </row>
    <row r="14">
      <c r="B14" s="7" t="inlineStr">
        <is>
          <t>Junior</t>
        </is>
      </c>
      <c r="C14" s="21" t="inlineStr">
        <is>
          <t>0-3</t>
        </is>
      </c>
      <c r="D14" s="22">
        <f>VLOOKUP(B14,Assumptions!$B$50:$D$59,3,FALSE)</f>
        <v/>
      </c>
      <c r="E14" s="5" t="inlineStr">
        <is>
          <t>Entry contributor, supervised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EA8"/>
    <outlinePr summaryBelow="1" summaryRight="1"/>
    <pageSetUpPr/>
  </sheetPr>
  <dimension ref="B2:J3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34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4" t="inlineStr">
        <is>
          <t>ROLE TAXONOMY</t>
        </is>
      </c>
    </row>
    <row r="3">
      <c r="B3" s="9" t="inlineStr">
        <is>
          <t>321 roles across 21 towers. Loaded hourly pulls from Internal Cost Model; scarcity adjusts.</t>
        </is>
      </c>
    </row>
    <row r="5">
      <c r="B5" s="6" t="inlineStr">
        <is>
          <t>ID</t>
        </is>
      </c>
      <c r="C5" s="6" t="inlineStr">
        <is>
          <t>Tower</t>
        </is>
      </c>
      <c r="D5" s="6" t="inlineStr">
        <is>
          <t>Role</t>
        </is>
      </c>
      <c r="E5" s="6" t="inlineStr">
        <is>
          <t>Capability</t>
        </is>
      </c>
      <c r="F5" s="6" t="inlineStr">
        <is>
          <t>Scarcity</t>
        </is>
      </c>
      <c r="G5" s="6" t="inlineStr">
        <is>
          <t>Min Level</t>
        </is>
      </c>
      <c r="H5" s="6" t="inlineStr">
        <is>
          <t>Max Level</t>
        </is>
      </c>
      <c r="I5" s="6" t="inlineStr">
        <is>
          <t>Loaded $/hr (min lvl)</t>
        </is>
      </c>
      <c r="J5" s="6" t="inlineStr">
        <is>
          <t>Scarcity-Adj $/hr</t>
        </is>
      </c>
    </row>
    <row r="6">
      <c r="B6" s="7" t="inlineStr">
        <is>
          <t>ROL-001</t>
        </is>
      </c>
      <c r="C6" s="11" t="inlineStr">
        <is>
          <t>Strategy &amp; Transformation</t>
        </is>
      </c>
      <c r="D6" s="7" t="inlineStr">
        <is>
          <t>Transformation Partner</t>
        </is>
      </c>
      <c r="E6" s="11" t="inlineStr">
        <is>
          <t>Transformation Strategy</t>
        </is>
      </c>
      <c r="F6" s="21" t="inlineStr">
        <is>
          <t>High</t>
        </is>
      </c>
      <c r="G6" s="11" t="inlineStr">
        <is>
          <t>Partner</t>
        </is>
      </c>
      <c r="H6" s="11" t="inlineStr">
        <is>
          <t>Partner</t>
        </is>
      </c>
      <c r="I6" s="23">
        <f>VLOOKUP(G6,'Internal Cost Model'!$B$6:$F$15,5,FALSE)</f>
        <v/>
      </c>
      <c r="J6" s="24">
        <f>I6*VLOOKUP(F6,Assumptions!$B$43:$C$45,2,FALSE)</f>
        <v/>
      </c>
    </row>
    <row r="7">
      <c r="B7" s="7" t="inlineStr">
        <is>
          <t>ROL-002</t>
        </is>
      </c>
      <c r="C7" s="11" t="inlineStr">
        <is>
          <t>Strategy &amp; Transformation</t>
        </is>
      </c>
      <c r="D7" s="7" t="inlineStr">
        <is>
          <t>Transformation Director</t>
        </is>
      </c>
      <c r="E7" s="11" t="inlineStr">
        <is>
          <t>Transformation Strategy</t>
        </is>
      </c>
      <c r="F7" s="21" t="inlineStr">
        <is>
          <t>High</t>
        </is>
      </c>
      <c r="G7" s="11" t="inlineStr">
        <is>
          <t>Director</t>
        </is>
      </c>
      <c r="H7" s="11" t="inlineStr">
        <is>
          <t>Principal</t>
        </is>
      </c>
      <c r="I7" s="23">
        <f>VLOOKUP(G7,'Internal Cost Model'!$B$6:$F$15,5,FALSE)</f>
        <v/>
      </c>
      <c r="J7" s="24">
        <f>I7*VLOOKUP(F7,Assumptions!$B$43:$C$45,2,FALSE)</f>
        <v/>
      </c>
    </row>
    <row r="8">
      <c r="B8" s="7" t="inlineStr">
        <is>
          <t>ROL-003</t>
        </is>
      </c>
      <c r="C8" s="11" t="inlineStr">
        <is>
          <t>Strategy &amp; Transformation</t>
        </is>
      </c>
      <c r="D8" s="7" t="inlineStr">
        <is>
          <t>Operating Model Lead</t>
        </is>
      </c>
      <c r="E8" s="11" t="inlineStr">
        <is>
          <t>Operating Model Design</t>
        </is>
      </c>
      <c r="F8" s="21" t="inlineStr">
        <is>
          <t>High</t>
        </is>
      </c>
      <c r="G8" s="11" t="inlineStr">
        <is>
          <t>Senior Manager</t>
        </is>
      </c>
      <c r="H8" s="11" t="inlineStr">
        <is>
          <t>Director</t>
        </is>
      </c>
      <c r="I8" s="23">
        <f>VLOOKUP(G8,'Internal Cost Model'!$B$6:$F$15,5,FALSE)</f>
        <v/>
      </c>
      <c r="J8" s="24">
        <f>I8*VLOOKUP(F8,Assumptions!$B$43:$C$45,2,FALSE)</f>
        <v/>
      </c>
    </row>
    <row r="9">
      <c r="B9" s="7" t="inlineStr">
        <is>
          <t>ROL-004</t>
        </is>
      </c>
      <c r="C9" s="11" t="inlineStr">
        <is>
          <t>Strategy &amp; Transformation</t>
        </is>
      </c>
      <c r="D9" s="7" t="inlineStr">
        <is>
          <t>Value Architect</t>
        </is>
      </c>
      <c r="E9" s="11" t="inlineStr">
        <is>
          <t>Value Architecture</t>
        </is>
      </c>
      <c r="F9" s="21" t="inlineStr">
        <is>
          <t>Medium</t>
        </is>
      </c>
      <c r="G9" s="11" t="inlineStr">
        <is>
          <t>Manager</t>
        </is>
      </c>
      <c r="H9" s="11" t="inlineStr">
        <is>
          <t>Principal</t>
        </is>
      </c>
      <c r="I9" s="23">
        <f>VLOOKUP(G9,'Internal Cost Model'!$B$6:$F$15,5,FALSE)</f>
        <v/>
      </c>
      <c r="J9" s="24">
        <f>I9*VLOOKUP(F9,Assumptions!$B$43:$C$45,2,FALSE)</f>
        <v/>
      </c>
    </row>
    <row r="10">
      <c r="B10" s="7" t="inlineStr">
        <is>
          <t>ROL-005</t>
        </is>
      </c>
      <c r="C10" s="11" t="inlineStr">
        <is>
          <t>Strategy &amp; Transformation</t>
        </is>
      </c>
      <c r="D10" s="7" t="inlineStr">
        <is>
          <t>Business Case Lead</t>
        </is>
      </c>
      <c r="E10" s="11" t="inlineStr">
        <is>
          <t>Business Case &amp; ROI</t>
        </is>
      </c>
      <c r="F10" s="21" t="inlineStr">
        <is>
          <t>Medium</t>
        </is>
      </c>
      <c r="G10" s="11" t="inlineStr">
        <is>
          <t>Manager</t>
        </is>
      </c>
      <c r="H10" s="11" t="inlineStr">
        <is>
          <t>Director</t>
        </is>
      </c>
      <c r="I10" s="23">
        <f>VLOOKUP(G10,'Internal Cost Model'!$B$6:$F$15,5,FALSE)</f>
        <v/>
      </c>
      <c r="J10" s="24">
        <f>I10*VLOOKUP(F10,Assumptions!$B$43:$C$45,2,FALSE)</f>
        <v/>
      </c>
    </row>
    <row r="11">
      <c r="B11" s="7" t="inlineStr">
        <is>
          <t>ROL-006</t>
        </is>
      </c>
      <c r="C11" s="11" t="inlineStr">
        <is>
          <t>Strategy &amp; Transformation</t>
        </is>
      </c>
      <c r="D11" s="7" t="inlineStr">
        <is>
          <t>Transformation Consultant</t>
        </is>
      </c>
      <c r="E11" s="11" t="inlineStr">
        <is>
          <t>Transformation Strategy</t>
        </is>
      </c>
      <c r="F11" s="21" t="inlineStr">
        <is>
          <t>Medium</t>
        </is>
      </c>
      <c r="G11" s="11" t="inlineStr">
        <is>
          <t>Intermediate</t>
        </is>
      </c>
      <c r="H11" s="11" t="inlineStr">
        <is>
          <t>Manager</t>
        </is>
      </c>
      <c r="I11" s="23">
        <f>VLOOKUP(G11,'Internal Cost Model'!$B$6:$F$15,5,FALSE)</f>
        <v/>
      </c>
      <c r="J11" s="24">
        <f>I11*VLOOKUP(F11,Assumptions!$B$43:$C$45,2,FALSE)</f>
        <v/>
      </c>
    </row>
    <row r="12">
      <c r="B12" s="7" t="inlineStr">
        <is>
          <t>ROL-007</t>
        </is>
      </c>
      <c r="C12" s="11" t="inlineStr">
        <is>
          <t>Industry SMEs</t>
        </is>
      </c>
      <c r="D12" s="7" t="inlineStr">
        <is>
          <t>Financial Services Principal SME</t>
        </is>
      </c>
      <c r="E12" s="11" t="inlineStr">
        <is>
          <t>Financial Services Domain</t>
        </is>
      </c>
      <c r="F12" s="21" t="inlineStr">
        <is>
          <t>High</t>
        </is>
      </c>
      <c r="G12" s="11" t="inlineStr">
        <is>
          <t>Principal</t>
        </is>
      </c>
      <c r="H12" s="11" t="inlineStr">
        <is>
          <t>Managing Director</t>
        </is>
      </c>
      <c r="I12" s="23">
        <f>VLOOKUP(G12,'Internal Cost Model'!$B$6:$F$15,5,FALSE)</f>
        <v/>
      </c>
      <c r="J12" s="24">
        <f>I12*VLOOKUP(F12,Assumptions!$B$43:$C$45,2,FALSE)</f>
        <v/>
      </c>
    </row>
    <row r="13">
      <c r="B13" s="7" t="inlineStr">
        <is>
          <t>ROL-008</t>
        </is>
      </c>
      <c r="C13" s="11" t="inlineStr">
        <is>
          <t>Industry SMEs</t>
        </is>
      </c>
      <c r="D13" s="7" t="inlineStr">
        <is>
          <t>Financial Services Domain Consultant</t>
        </is>
      </c>
      <c r="E13" s="11" t="inlineStr">
        <is>
          <t>Financial Services Domain</t>
        </is>
      </c>
      <c r="F13" s="21" t="inlineStr">
        <is>
          <t>Medium</t>
        </is>
      </c>
      <c r="G13" s="11" t="inlineStr">
        <is>
          <t>Senior</t>
        </is>
      </c>
      <c r="H13" s="11" t="inlineStr">
        <is>
          <t>Senior Manager</t>
        </is>
      </c>
      <c r="I13" s="23">
        <f>VLOOKUP(G13,'Internal Cost Model'!$B$6:$F$15,5,FALSE)</f>
        <v/>
      </c>
      <c r="J13" s="24">
        <f>I13*VLOOKUP(F13,Assumptions!$B$43:$C$45,2,FALSE)</f>
        <v/>
      </c>
    </row>
    <row r="14">
      <c r="B14" s="7" t="inlineStr">
        <is>
          <t>ROL-009</t>
        </is>
      </c>
      <c r="C14" s="11" t="inlineStr">
        <is>
          <t>Industry SMEs</t>
        </is>
      </c>
      <c r="D14" s="7" t="inlineStr">
        <is>
          <t>Healthcare Principal SME</t>
        </is>
      </c>
      <c r="E14" s="11" t="inlineStr">
        <is>
          <t>Healthcare Domain</t>
        </is>
      </c>
      <c r="F14" s="21" t="inlineStr">
        <is>
          <t>High</t>
        </is>
      </c>
      <c r="G14" s="11" t="inlineStr">
        <is>
          <t>Principal</t>
        </is>
      </c>
      <c r="H14" s="11" t="inlineStr">
        <is>
          <t>Managing Director</t>
        </is>
      </c>
      <c r="I14" s="23">
        <f>VLOOKUP(G14,'Internal Cost Model'!$B$6:$F$15,5,FALSE)</f>
        <v/>
      </c>
      <c r="J14" s="24">
        <f>I14*VLOOKUP(F14,Assumptions!$B$43:$C$45,2,FALSE)</f>
        <v/>
      </c>
    </row>
    <row r="15">
      <c r="B15" s="7" t="inlineStr">
        <is>
          <t>ROL-010</t>
        </is>
      </c>
      <c r="C15" s="11" t="inlineStr">
        <is>
          <t>Industry SMEs</t>
        </is>
      </c>
      <c r="D15" s="7" t="inlineStr">
        <is>
          <t>Healthcare Domain Consultant</t>
        </is>
      </c>
      <c r="E15" s="11" t="inlineStr">
        <is>
          <t>Healthcare Domain</t>
        </is>
      </c>
      <c r="F15" s="21" t="inlineStr">
        <is>
          <t>Medium</t>
        </is>
      </c>
      <c r="G15" s="11" t="inlineStr">
        <is>
          <t>Senior</t>
        </is>
      </c>
      <c r="H15" s="11" t="inlineStr">
        <is>
          <t>Senior Manager</t>
        </is>
      </c>
      <c r="I15" s="23">
        <f>VLOOKUP(G15,'Internal Cost Model'!$B$6:$F$15,5,FALSE)</f>
        <v/>
      </c>
      <c r="J15" s="24">
        <f>I15*VLOOKUP(F15,Assumptions!$B$43:$C$45,2,FALSE)</f>
        <v/>
      </c>
    </row>
    <row r="16">
      <c r="B16" s="7" t="inlineStr">
        <is>
          <t>ROL-011</t>
        </is>
      </c>
      <c r="C16" s="11" t="inlineStr">
        <is>
          <t>Industry SMEs</t>
        </is>
      </c>
      <c r="D16" s="7" t="inlineStr">
        <is>
          <t>Retail &amp; CPG Principal SME</t>
        </is>
      </c>
      <c r="E16" s="11" t="inlineStr">
        <is>
          <t>Retail &amp; CPG Domain</t>
        </is>
      </c>
      <c r="F16" s="21" t="inlineStr">
        <is>
          <t>High</t>
        </is>
      </c>
      <c r="G16" s="11" t="inlineStr">
        <is>
          <t>Principal</t>
        </is>
      </c>
      <c r="H16" s="11" t="inlineStr">
        <is>
          <t>Managing Director</t>
        </is>
      </c>
      <c r="I16" s="23">
        <f>VLOOKUP(G16,'Internal Cost Model'!$B$6:$F$15,5,FALSE)</f>
        <v/>
      </c>
      <c r="J16" s="24">
        <f>I16*VLOOKUP(F16,Assumptions!$B$43:$C$45,2,FALSE)</f>
        <v/>
      </c>
    </row>
    <row r="17">
      <c r="B17" s="7" t="inlineStr">
        <is>
          <t>ROL-012</t>
        </is>
      </c>
      <c r="C17" s="11" t="inlineStr">
        <is>
          <t>Industry SMEs</t>
        </is>
      </c>
      <c r="D17" s="7" t="inlineStr">
        <is>
          <t>Retail &amp; CPG Domain Consultant</t>
        </is>
      </c>
      <c r="E17" s="11" t="inlineStr">
        <is>
          <t>Retail &amp; CPG Domain</t>
        </is>
      </c>
      <c r="F17" s="21" t="inlineStr">
        <is>
          <t>Medium</t>
        </is>
      </c>
      <c r="G17" s="11" t="inlineStr">
        <is>
          <t>Senior</t>
        </is>
      </c>
      <c r="H17" s="11" t="inlineStr">
        <is>
          <t>Senior Manager</t>
        </is>
      </c>
      <c r="I17" s="23">
        <f>VLOOKUP(G17,'Internal Cost Model'!$B$6:$F$15,5,FALSE)</f>
        <v/>
      </c>
      <c r="J17" s="24">
        <f>I17*VLOOKUP(F17,Assumptions!$B$43:$C$45,2,FALSE)</f>
        <v/>
      </c>
    </row>
    <row r="18">
      <c r="B18" s="7" t="inlineStr">
        <is>
          <t>ROL-013</t>
        </is>
      </c>
      <c r="C18" s="11" t="inlineStr">
        <is>
          <t>Industry SMEs</t>
        </is>
      </c>
      <c r="D18" s="7" t="inlineStr">
        <is>
          <t>Manufacturing Principal SME</t>
        </is>
      </c>
      <c r="E18" s="11" t="inlineStr">
        <is>
          <t>Manufacturing Domain</t>
        </is>
      </c>
      <c r="F18" s="21" t="inlineStr">
        <is>
          <t>High</t>
        </is>
      </c>
      <c r="G18" s="11" t="inlineStr">
        <is>
          <t>Principal</t>
        </is>
      </c>
      <c r="H18" s="11" t="inlineStr">
        <is>
          <t>Managing Director</t>
        </is>
      </c>
      <c r="I18" s="23">
        <f>VLOOKUP(G18,'Internal Cost Model'!$B$6:$F$15,5,FALSE)</f>
        <v/>
      </c>
      <c r="J18" s="24">
        <f>I18*VLOOKUP(F18,Assumptions!$B$43:$C$45,2,FALSE)</f>
        <v/>
      </c>
    </row>
    <row r="19">
      <c r="B19" s="7" t="inlineStr">
        <is>
          <t>ROL-014</t>
        </is>
      </c>
      <c r="C19" s="11" t="inlineStr">
        <is>
          <t>Industry SMEs</t>
        </is>
      </c>
      <c r="D19" s="7" t="inlineStr">
        <is>
          <t>Manufacturing Domain Consultant</t>
        </is>
      </c>
      <c r="E19" s="11" t="inlineStr">
        <is>
          <t>Manufacturing Domain</t>
        </is>
      </c>
      <c r="F19" s="21" t="inlineStr">
        <is>
          <t>Medium</t>
        </is>
      </c>
      <c r="G19" s="11" t="inlineStr">
        <is>
          <t>Senior</t>
        </is>
      </c>
      <c r="H19" s="11" t="inlineStr">
        <is>
          <t>Senior Manager</t>
        </is>
      </c>
      <c r="I19" s="23">
        <f>VLOOKUP(G19,'Internal Cost Model'!$B$6:$F$15,5,FALSE)</f>
        <v/>
      </c>
      <c r="J19" s="24">
        <f>I19*VLOOKUP(F19,Assumptions!$B$43:$C$45,2,FALSE)</f>
        <v/>
      </c>
    </row>
    <row r="20">
      <c r="B20" s="7" t="inlineStr">
        <is>
          <t>ROL-015</t>
        </is>
      </c>
      <c r="C20" s="11" t="inlineStr">
        <is>
          <t>Industry SMEs</t>
        </is>
      </c>
      <c r="D20" s="7" t="inlineStr">
        <is>
          <t>Public Sector Principal SME</t>
        </is>
      </c>
      <c r="E20" s="11" t="inlineStr">
        <is>
          <t>Public Sector Domain</t>
        </is>
      </c>
      <c r="F20" s="21" t="inlineStr">
        <is>
          <t>High</t>
        </is>
      </c>
      <c r="G20" s="11" t="inlineStr">
        <is>
          <t>Principal</t>
        </is>
      </c>
      <c r="H20" s="11" t="inlineStr">
        <is>
          <t>Managing Director</t>
        </is>
      </c>
      <c r="I20" s="23">
        <f>VLOOKUP(G20,'Internal Cost Model'!$B$6:$F$15,5,FALSE)</f>
        <v/>
      </c>
      <c r="J20" s="24">
        <f>I20*VLOOKUP(F20,Assumptions!$B$43:$C$45,2,FALSE)</f>
        <v/>
      </c>
    </row>
    <row r="21">
      <c r="B21" s="7" t="inlineStr">
        <is>
          <t>ROL-016</t>
        </is>
      </c>
      <c r="C21" s="11" t="inlineStr">
        <is>
          <t>Industry SMEs</t>
        </is>
      </c>
      <c r="D21" s="7" t="inlineStr">
        <is>
          <t>Public Sector Domain Consultant</t>
        </is>
      </c>
      <c r="E21" s="11" t="inlineStr">
        <is>
          <t>Public Sector Domain</t>
        </is>
      </c>
      <c r="F21" s="21" t="inlineStr">
        <is>
          <t>Medium</t>
        </is>
      </c>
      <c r="G21" s="11" t="inlineStr">
        <is>
          <t>Senior</t>
        </is>
      </c>
      <c r="H21" s="11" t="inlineStr">
        <is>
          <t>Senior Manager</t>
        </is>
      </c>
      <c r="I21" s="23">
        <f>VLOOKUP(G21,'Internal Cost Model'!$B$6:$F$15,5,FALSE)</f>
        <v/>
      </c>
      <c r="J21" s="24">
        <f>I21*VLOOKUP(F21,Assumptions!$B$43:$C$45,2,FALSE)</f>
        <v/>
      </c>
    </row>
    <row r="22">
      <c r="B22" s="7" t="inlineStr">
        <is>
          <t>ROL-017</t>
        </is>
      </c>
      <c r="C22" s="11" t="inlineStr">
        <is>
          <t>Business Process</t>
        </is>
      </c>
      <c r="D22" s="7" t="inlineStr">
        <is>
          <t>Process Design Lead</t>
        </is>
      </c>
      <c r="E22" s="11" t="inlineStr">
        <is>
          <t>Process Design</t>
        </is>
      </c>
      <c r="F22" s="21" t="inlineStr">
        <is>
          <t>Medium</t>
        </is>
      </c>
      <c r="G22" s="11" t="inlineStr">
        <is>
          <t>Manager</t>
        </is>
      </c>
      <c r="H22" s="11" t="inlineStr">
        <is>
          <t>Director</t>
        </is>
      </c>
      <c r="I22" s="23">
        <f>VLOOKUP(G22,'Internal Cost Model'!$B$6:$F$15,5,FALSE)</f>
        <v/>
      </c>
      <c r="J22" s="24">
        <f>I22*VLOOKUP(F22,Assumptions!$B$43:$C$45,2,FALSE)</f>
        <v/>
      </c>
    </row>
    <row r="23">
      <c r="B23" s="7" t="inlineStr">
        <is>
          <t>ROL-018</t>
        </is>
      </c>
      <c r="C23" s="11" t="inlineStr">
        <is>
          <t>Business Process</t>
        </is>
      </c>
      <c r="D23" s="7" t="inlineStr">
        <is>
          <t>Process Mining Consultant</t>
        </is>
      </c>
      <c r="E23" s="11" t="inlineStr">
        <is>
          <t>Process Mining</t>
        </is>
      </c>
      <c r="F23" s="21" t="inlineStr">
        <is>
          <t>Medium</t>
        </is>
      </c>
      <c r="G23" s="11" t="inlineStr">
        <is>
          <t>Senior</t>
        </is>
      </c>
      <c r="H23" s="11" t="inlineStr">
        <is>
          <t>Manager</t>
        </is>
      </c>
      <c r="I23" s="23">
        <f>VLOOKUP(G23,'Internal Cost Model'!$B$6:$F$15,5,FALSE)</f>
        <v/>
      </c>
      <c r="J23" s="24">
        <f>I23*VLOOKUP(F23,Assumptions!$B$43:$C$45,2,FALSE)</f>
        <v/>
      </c>
    </row>
    <row r="24">
      <c r="B24" s="7" t="inlineStr">
        <is>
          <t>ROL-019</t>
        </is>
      </c>
      <c r="C24" s="11" t="inlineStr">
        <is>
          <t>Business Process</t>
        </is>
      </c>
      <c r="D24" s="7" t="inlineStr">
        <is>
          <t>Intelligent Automation Architect</t>
        </is>
      </c>
      <c r="E24" s="11" t="inlineStr">
        <is>
          <t>Intelligent Automation</t>
        </is>
      </c>
      <c r="F24" s="21" t="inlineStr">
        <is>
          <t>High</t>
        </is>
      </c>
      <c r="G24" s="11" t="inlineStr">
        <is>
          <t>Lead</t>
        </is>
      </c>
      <c r="H24" s="11" t="inlineStr">
        <is>
          <t>Director</t>
        </is>
      </c>
      <c r="I24" s="23">
        <f>VLOOKUP(G24,'Internal Cost Model'!$B$6:$F$15,5,FALSE)</f>
        <v/>
      </c>
      <c r="J24" s="24">
        <f>I24*VLOOKUP(F24,Assumptions!$B$43:$C$45,2,FALSE)</f>
        <v/>
      </c>
    </row>
    <row r="25">
      <c r="B25" s="7" t="inlineStr">
        <is>
          <t>ROL-020</t>
        </is>
      </c>
      <c r="C25" s="11" t="inlineStr">
        <is>
          <t>Business Process</t>
        </is>
      </c>
      <c r="D25" s="7" t="inlineStr">
        <is>
          <t>Automation Engineer</t>
        </is>
      </c>
      <c r="E25" s="11" t="inlineStr">
        <is>
          <t>Intelligent Automation</t>
        </is>
      </c>
      <c r="F25" s="21" t="inlineStr">
        <is>
          <t>Medium</t>
        </is>
      </c>
      <c r="G25" s="11" t="inlineStr">
        <is>
          <t>Intermediate</t>
        </is>
      </c>
      <c r="H25" s="11" t="inlineStr">
        <is>
          <t>Senior</t>
        </is>
      </c>
      <c r="I25" s="23">
        <f>VLOOKUP(G25,'Internal Cost Model'!$B$6:$F$15,5,FALSE)</f>
        <v/>
      </c>
      <c r="J25" s="24">
        <f>I25*VLOOKUP(F25,Assumptions!$B$43:$C$45,2,FALSE)</f>
        <v/>
      </c>
    </row>
    <row r="26">
      <c r="B26" s="7" t="inlineStr">
        <is>
          <t>ROL-021</t>
        </is>
      </c>
      <c r="C26" s="11" t="inlineStr">
        <is>
          <t>Data &amp; Analytics</t>
        </is>
      </c>
      <c r="D26" s="7" t="inlineStr">
        <is>
          <t>Chief Data Officer (Advisory)</t>
        </is>
      </c>
      <c r="E26" s="11" t="inlineStr">
        <is>
          <t>Data Strategy</t>
        </is>
      </c>
      <c r="F26" s="21" t="inlineStr">
        <is>
          <t>High</t>
        </is>
      </c>
      <c r="G26" s="11" t="inlineStr">
        <is>
          <t>Managing Director</t>
        </is>
      </c>
      <c r="H26" s="11" t="inlineStr">
        <is>
          <t>Partner</t>
        </is>
      </c>
      <c r="I26" s="23">
        <f>VLOOKUP(G26,'Internal Cost Model'!$B$6:$F$15,5,FALSE)</f>
        <v/>
      </c>
      <c r="J26" s="24">
        <f>I26*VLOOKUP(F26,Assumptions!$B$43:$C$45,2,FALSE)</f>
        <v/>
      </c>
    </row>
    <row r="27">
      <c r="B27" s="7" t="inlineStr">
        <is>
          <t>ROL-022</t>
        </is>
      </c>
      <c r="C27" s="11" t="inlineStr">
        <is>
          <t>Data &amp; Analytics</t>
        </is>
      </c>
      <c r="D27" s="7" t="inlineStr">
        <is>
          <t>Enterprise Data Architect</t>
        </is>
      </c>
      <c r="E27" s="11" t="inlineStr">
        <is>
          <t>Data Strategy</t>
        </is>
      </c>
      <c r="F27" s="21" t="inlineStr">
        <is>
          <t>High</t>
        </is>
      </c>
      <c r="G27" s="11" t="inlineStr">
        <is>
          <t>Director</t>
        </is>
      </c>
      <c r="H27" s="11" t="inlineStr">
        <is>
          <t>Principal</t>
        </is>
      </c>
      <c r="I27" s="23">
        <f>VLOOKUP(G27,'Internal Cost Model'!$B$6:$F$15,5,FALSE)</f>
        <v/>
      </c>
      <c r="J27" s="24">
        <f>I27*VLOOKUP(F27,Assumptions!$B$43:$C$45,2,FALSE)</f>
        <v/>
      </c>
    </row>
    <row r="28">
      <c r="B28" s="7" t="inlineStr">
        <is>
          <t>ROL-023</t>
        </is>
      </c>
      <c r="C28" s="11" t="inlineStr">
        <is>
          <t>Data &amp; Analytics</t>
        </is>
      </c>
      <c r="D28" s="7" t="inlineStr">
        <is>
          <t>Data Architect</t>
        </is>
      </c>
      <c r="E28" s="11" t="inlineStr">
        <is>
          <t>Data Strategy</t>
        </is>
      </c>
      <c r="F28" s="21" t="inlineStr">
        <is>
          <t>High</t>
        </is>
      </c>
      <c r="G28" s="11" t="inlineStr">
        <is>
          <t>Lead</t>
        </is>
      </c>
      <c r="H28" s="11" t="inlineStr">
        <is>
          <t>Director</t>
        </is>
      </c>
      <c r="I28" s="23">
        <f>VLOOKUP(G28,'Internal Cost Model'!$B$6:$F$15,5,FALSE)</f>
        <v/>
      </c>
      <c r="J28" s="24">
        <f>I28*VLOOKUP(F28,Assumptions!$B$43:$C$45,2,FALSE)</f>
        <v/>
      </c>
    </row>
    <row r="29">
      <c r="B29" s="7" t="inlineStr">
        <is>
          <t>ROL-024</t>
        </is>
      </c>
      <c r="C29" s="11" t="inlineStr">
        <is>
          <t>Data &amp; Analytics</t>
        </is>
      </c>
      <c r="D29" s="7" t="inlineStr">
        <is>
          <t>Data Product Manager</t>
        </is>
      </c>
      <c r="E29" s="11" t="inlineStr">
        <is>
          <t>Data Products</t>
        </is>
      </c>
      <c r="F29" s="21" t="inlineStr">
        <is>
          <t>High</t>
        </is>
      </c>
      <c r="G29" s="11" t="inlineStr">
        <is>
          <t>Manager</t>
        </is>
      </c>
      <c r="H29" s="11" t="inlineStr">
        <is>
          <t>Director</t>
        </is>
      </c>
      <c r="I29" s="23">
        <f>VLOOKUP(G29,'Internal Cost Model'!$B$6:$F$15,5,FALSE)</f>
        <v/>
      </c>
      <c r="J29" s="24">
        <f>I29*VLOOKUP(F29,Assumptions!$B$43:$C$45,2,FALSE)</f>
        <v/>
      </c>
    </row>
    <row r="30">
      <c r="B30" s="7" t="inlineStr">
        <is>
          <t>ROL-025</t>
        </is>
      </c>
      <c r="C30" s="11" t="inlineStr">
        <is>
          <t>Data &amp; Analytics</t>
        </is>
      </c>
      <c r="D30" s="7" t="inlineStr">
        <is>
          <t>Data Product Owner</t>
        </is>
      </c>
      <c r="E30" s="11" t="inlineStr">
        <is>
          <t>Data Products</t>
        </is>
      </c>
      <c r="F30" s="21" t="inlineStr">
        <is>
          <t>Medium</t>
        </is>
      </c>
      <c r="G30" s="11" t="inlineStr">
        <is>
          <t>Senior</t>
        </is>
      </c>
      <c r="H30" s="11" t="inlineStr">
        <is>
          <t>Senior Manager</t>
        </is>
      </c>
      <c r="I30" s="23">
        <f>VLOOKUP(G30,'Internal Cost Model'!$B$6:$F$15,5,FALSE)</f>
        <v/>
      </c>
      <c r="J30" s="24">
        <f>I30*VLOOKUP(F30,Assumptions!$B$43:$C$45,2,FALSE)</f>
        <v/>
      </c>
    </row>
    <row r="31">
      <c r="B31" s="7" t="inlineStr">
        <is>
          <t>ROL-026</t>
        </is>
      </c>
      <c r="C31" s="11" t="inlineStr">
        <is>
          <t>Data &amp; Analytics</t>
        </is>
      </c>
      <c r="D31" s="7" t="inlineStr">
        <is>
          <t>Data Governance Lead</t>
        </is>
      </c>
      <c r="E31" s="11" t="inlineStr">
        <is>
          <t>Data Governance</t>
        </is>
      </c>
      <c r="F31" s="21" t="inlineStr">
        <is>
          <t>High</t>
        </is>
      </c>
      <c r="G31" s="11" t="inlineStr">
        <is>
          <t>Manager</t>
        </is>
      </c>
      <c r="H31" s="11" t="inlineStr">
        <is>
          <t>Director</t>
        </is>
      </c>
      <c r="I31" s="23">
        <f>VLOOKUP(G31,'Internal Cost Model'!$B$6:$F$15,5,FALSE)</f>
        <v/>
      </c>
      <c r="J31" s="24">
        <f>I31*VLOOKUP(F31,Assumptions!$B$43:$C$45,2,FALSE)</f>
        <v/>
      </c>
    </row>
    <row r="32">
      <c r="B32" s="7" t="inlineStr">
        <is>
          <t>ROL-027</t>
        </is>
      </c>
      <c r="C32" s="11" t="inlineStr">
        <is>
          <t>Data &amp; Analytics</t>
        </is>
      </c>
      <c r="D32" s="7" t="inlineStr">
        <is>
          <t>Data Steward</t>
        </is>
      </c>
      <c r="E32" s="11" t="inlineStr">
        <is>
          <t>Data Governance</t>
        </is>
      </c>
      <c r="F32" s="21" t="inlineStr">
        <is>
          <t>Medium</t>
        </is>
      </c>
      <c r="G32" s="11" t="inlineStr">
        <is>
          <t>Intermediate</t>
        </is>
      </c>
      <c r="H32" s="11" t="inlineStr">
        <is>
          <t>Senior</t>
        </is>
      </c>
      <c r="I32" s="23">
        <f>VLOOKUP(G32,'Internal Cost Model'!$B$6:$F$15,5,FALSE)</f>
        <v/>
      </c>
      <c r="J32" s="24">
        <f>I32*VLOOKUP(F32,Assumptions!$B$43:$C$45,2,FALSE)</f>
        <v/>
      </c>
    </row>
    <row r="33">
      <c r="B33" s="7" t="inlineStr">
        <is>
          <t>ROL-028</t>
        </is>
      </c>
      <c r="C33" s="11" t="inlineStr">
        <is>
          <t>Data &amp; Analytics</t>
        </is>
      </c>
      <c r="D33" s="7" t="inlineStr">
        <is>
          <t>Metadata Lead</t>
        </is>
      </c>
      <c r="E33" s="11" t="inlineStr">
        <is>
          <t>Metadata Management</t>
        </is>
      </c>
      <c r="F33" s="21" t="inlineStr">
        <is>
          <t>Medium</t>
        </is>
      </c>
      <c r="G33" s="11" t="inlineStr">
        <is>
          <t>Lead</t>
        </is>
      </c>
      <c r="H33" s="11" t="inlineStr">
        <is>
          <t>Senior Manager</t>
        </is>
      </c>
      <c r="I33" s="23">
        <f>VLOOKUP(G33,'Internal Cost Model'!$B$6:$F$15,5,FALSE)</f>
        <v/>
      </c>
      <c r="J33" s="24">
        <f>I33*VLOOKUP(F33,Assumptions!$B$43:$C$45,2,FALSE)</f>
        <v/>
      </c>
    </row>
    <row r="34">
      <c r="B34" s="7" t="inlineStr">
        <is>
          <t>ROL-029</t>
        </is>
      </c>
      <c r="C34" s="11" t="inlineStr">
        <is>
          <t>Data &amp; Analytics</t>
        </is>
      </c>
      <c r="D34" s="7" t="inlineStr">
        <is>
          <t>MDM Architect</t>
        </is>
      </c>
      <c r="E34" s="11" t="inlineStr">
        <is>
          <t>Master Data Management</t>
        </is>
      </c>
      <c r="F34" s="21" t="inlineStr">
        <is>
          <t>High</t>
        </is>
      </c>
      <c r="G34" s="11" t="inlineStr">
        <is>
          <t>Lead</t>
        </is>
      </c>
      <c r="H34" s="11" t="inlineStr">
        <is>
          <t>Director</t>
        </is>
      </c>
      <c r="I34" s="23">
        <f>VLOOKUP(G34,'Internal Cost Model'!$B$6:$F$15,5,FALSE)</f>
        <v/>
      </c>
      <c r="J34" s="24">
        <f>I34*VLOOKUP(F34,Assumptions!$B$43:$C$45,2,FALSE)</f>
        <v/>
      </c>
    </row>
    <row r="35">
      <c r="B35" s="7" t="inlineStr">
        <is>
          <t>ROL-030</t>
        </is>
      </c>
      <c r="C35" s="11" t="inlineStr">
        <is>
          <t>Data &amp; Analytics</t>
        </is>
      </c>
      <c r="D35" s="7" t="inlineStr">
        <is>
          <t>Data Quality Lead</t>
        </is>
      </c>
      <c r="E35" s="11" t="inlineStr">
        <is>
          <t>Data Quality</t>
        </is>
      </c>
      <c r="F35" s="21" t="inlineStr">
        <is>
          <t>Medium</t>
        </is>
      </c>
      <c r="G35" s="11" t="inlineStr">
        <is>
          <t>Lead</t>
        </is>
      </c>
      <c r="H35" s="11" t="inlineStr">
        <is>
          <t>Senior Manager</t>
        </is>
      </c>
      <c r="I35" s="23">
        <f>VLOOKUP(G35,'Internal Cost Model'!$B$6:$F$15,5,FALSE)</f>
        <v/>
      </c>
      <c r="J35" s="24">
        <f>I35*VLOOKUP(F35,Assumptions!$B$43:$C$45,2,FALSE)</f>
        <v/>
      </c>
    </row>
    <row r="36">
      <c r="B36" s="7" t="inlineStr">
        <is>
          <t>ROL-031</t>
        </is>
      </c>
      <c r="C36" s="11" t="inlineStr">
        <is>
          <t>Data &amp; Analytics</t>
        </is>
      </c>
      <c r="D36" s="7" t="inlineStr">
        <is>
          <t>Snowflake Architect</t>
        </is>
      </c>
      <c r="E36" s="11" t="inlineStr">
        <is>
          <t>Snowflake</t>
        </is>
      </c>
      <c r="F36" s="21" t="inlineStr">
        <is>
          <t>High</t>
        </is>
      </c>
      <c r="G36" s="11" t="inlineStr">
        <is>
          <t>Lead</t>
        </is>
      </c>
      <c r="H36" s="11" t="inlineStr">
        <is>
          <t>Director</t>
        </is>
      </c>
      <c r="I36" s="23">
        <f>VLOOKUP(G36,'Internal Cost Model'!$B$6:$F$15,5,FALSE)</f>
        <v/>
      </c>
      <c r="J36" s="24">
        <f>I36*VLOOKUP(F36,Assumptions!$B$43:$C$45,2,FALSE)</f>
        <v/>
      </c>
    </row>
    <row r="37">
      <c r="B37" s="7" t="inlineStr">
        <is>
          <t>ROL-032</t>
        </is>
      </c>
      <c r="C37" s="11" t="inlineStr">
        <is>
          <t>Data &amp; Analytics</t>
        </is>
      </c>
      <c r="D37" s="7" t="inlineStr">
        <is>
          <t>Snowflake Engineer</t>
        </is>
      </c>
      <c r="E37" s="11" t="inlineStr">
        <is>
          <t>Snowflake</t>
        </is>
      </c>
      <c r="F37" s="21" t="inlineStr">
        <is>
          <t>High</t>
        </is>
      </c>
      <c r="G37" s="11" t="inlineStr">
        <is>
          <t>Intermediate</t>
        </is>
      </c>
      <c r="H37" s="11" t="inlineStr">
        <is>
          <t>Senior</t>
        </is>
      </c>
      <c r="I37" s="23">
        <f>VLOOKUP(G37,'Internal Cost Model'!$B$6:$F$15,5,FALSE)</f>
        <v/>
      </c>
      <c r="J37" s="24">
        <f>I37*VLOOKUP(F37,Assumptions!$B$43:$C$45,2,FALSE)</f>
        <v/>
      </c>
    </row>
    <row r="38">
      <c r="B38" s="7" t="inlineStr">
        <is>
          <t>ROL-033</t>
        </is>
      </c>
      <c r="C38" s="11" t="inlineStr">
        <is>
          <t>Data &amp; Analytics</t>
        </is>
      </c>
      <c r="D38" s="7" t="inlineStr">
        <is>
          <t>Databricks Architect</t>
        </is>
      </c>
      <c r="E38" s="11" t="inlineStr">
        <is>
          <t>Databricks</t>
        </is>
      </c>
      <c r="F38" s="21" t="inlineStr">
        <is>
          <t>High</t>
        </is>
      </c>
      <c r="G38" s="11" t="inlineStr">
        <is>
          <t>Lead</t>
        </is>
      </c>
      <c r="H38" s="11" t="inlineStr">
        <is>
          <t>Director</t>
        </is>
      </c>
      <c r="I38" s="23">
        <f>VLOOKUP(G38,'Internal Cost Model'!$B$6:$F$15,5,FALSE)</f>
        <v/>
      </c>
      <c r="J38" s="24">
        <f>I38*VLOOKUP(F38,Assumptions!$B$43:$C$45,2,FALSE)</f>
        <v/>
      </c>
    </row>
    <row r="39">
      <c r="B39" s="7" t="inlineStr">
        <is>
          <t>ROL-034</t>
        </is>
      </c>
      <c r="C39" s="11" t="inlineStr">
        <is>
          <t>Data &amp; Analytics</t>
        </is>
      </c>
      <c r="D39" s="7" t="inlineStr">
        <is>
          <t>Databricks Engineer</t>
        </is>
      </c>
      <c r="E39" s="11" t="inlineStr">
        <is>
          <t>Databricks</t>
        </is>
      </c>
      <c r="F39" s="21" t="inlineStr">
        <is>
          <t>High</t>
        </is>
      </c>
      <c r="G39" s="11" t="inlineStr">
        <is>
          <t>Intermediate</t>
        </is>
      </c>
      <c r="H39" s="11" t="inlineStr">
        <is>
          <t>Senior</t>
        </is>
      </c>
      <c r="I39" s="23">
        <f>VLOOKUP(G39,'Internal Cost Model'!$B$6:$F$15,5,FALSE)</f>
        <v/>
      </c>
      <c r="J39" s="24">
        <f>I39*VLOOKUP(F39,Assumptions!$B$43:$C$45,2,FALSE)</f>
        <v/>
      </c>
    </row>
    <row r="40">
      <c r="B40" s="7" t="inlineStr">
        <is>
          <t>ROL-035</t>
        </is>
      </c>
      <c r="C40" s="11" t="inlineStr">
        <is>
          <t>Data &amp; Analytics</t>
        </is>
      </c>
      <c r="D40" s="7" t="inlineStr">
        <is>
          <t>Lead Data Engineer</t>
        </is>
      </c>
      <c r="E40" s="11" t="inlineStr">
        <is>
          <t>Data Engineering</t>
        </is>
      </c>
      <c r="F40" s="21" t="inlineStr">
        <is>
          <t>High</t>
        </is>
      </c>
      <c r="G40" s="11" t="inlineStr">
        <is>
          <t>Lead</t>
        </is>
      </c>
      <c r="H40" s="11" t="inlineStr">
        <is>
          <t>Senior Manager</t>
        </is>
      </c>
      <c r="I40" s="23">
        <f>VLOOKUP(G40,'Internal Cost Model'!$B$6:$F$15,5,FALSE)</f>
        <v/>
      </c>
      <c r="J40" s="24">
        <f>I40*VLOOKUP(F40,Assumptions!$B$43:$C$45,2,FALSE)</f>
        <v/>
      </c>
    </row>
    <row r="41">
      <c r="B41" s="7" t="inlineStr">
        <is>
          <t>ROL-036</t>
        </is>
      </c>
      <c r="C41" s="11" t="inlineStr">
        <is>
          <t>Data &amp; Analytics</t>
        </is>
      </c>
      <c r="D41" s="7" t="inlineStr">
        <is>
          <t>Senior Data Engineer</t>
        </is>
      </c>
      <c r="E41" s="11" t="inlineStr">
        <is>
          <t>Data Engineering</t>
        </is>
      </c>
      <c r="F41" s="21" t="inlineStr">
        <is>
          <t>High</t>
        </is>
      </c>
      <c r="G41" s="11" t="inlineStr">
        <is>
          <t>Senior</t>
        </is>
      </c>
      <c r="H41" s="11" t="inlineStr">
        <is>
          <t>Senior</t>
        </is>
      </c>
      <c r="I41" s="23">
        <f>VLOOKUP(G41,'Internal Cost Model'!$B$6:$F$15,5,FALSE)</f>
        <v/>
      </c>
      <c r="J41" s="24">
        <f>I41*VLOOKUP(F41,Assumptions!$B$43:$C$45,2,FALSE)</f>
        <v/>
      </c>
    </row>
    <row r="42">
      <c r="B42" s="7" t="inlineStr">
        <is>
          <t>ROL-037</t>
        </is>
      </c>
      <c r="C42" s="11" t="inlineStr">
        <is>
          <t>Data &amp; Analytics</t>
        </is>
      </c>
      <c r="D42" s="7" t="inlineStr">
        <is>
          <t>Data Engineer</t>
        </is>
      </c>
      <c r="E42" s="11" t="inlineStr">
        <is>
          <t>Data Engineering</t>
        </is>
      </c>
      <c r="F42" s="21" t="inlineStr">
        <is>
          <t>High</t>
        </is>
      </c>
      <c r="G42" s="11" t="inlineStr">
        <is>
          <t>Intermediate</t>
        </is>
      </c>
      <c r="H42" s="11" t="inlineStr">
        <is>
          <t>Senior</t>
        </is>
      </c>
      <c r="I42" s="23">
        <f>VLOOKUP(G42,'Internal Cost Model'!$B$6:$F$15,5,FALSE)</f>
        <v/>
      </c>
      <c r="J42" s="24">
        <f>I42*VLOOKUP(F42,Assumptions!$B$43:$C$45,2,FALSE)</f>
        <v/>
      </c>
    </row>
    <row r="43">
      <c r="B43" s="7" t="inlineStr">
        <is>
          <t>ROL-038</t>
        </is>
      </c>
      <c r="C43" s="11" t="inlineStr">
        <is>
          <t>Data &amp; Analytics</t>
        </is>
      </c>
      <c r="D43" s="7" t="inlineStr">
        <is>
          <t>Informatica Developer</t>
        </is>
      </c>
      <c r="E43" s="11" t="inlineStr">
        <is>
          <t>Informatica</t>
        </is>
      </c>
      <c r="F43" s="21" t="inlineStr">
        <is>
          <t>Medium</t>
        </is>
      </c>
      <c r="G43" s="11" t="inlineStr">
        <is>
          <t>Intermediate</t>
        </is>
      </c>
      <c r="H43" s="11" t="inlineStr">
        <is>
          <t>Senior</t>
        </is>
      </c>
      <c r="I43" s="23">
        <f>VLOOKUP(G43,'Internal Cost Model'!$B$6:$F$15,5,FALSE)</f>
        <v/>
      </c>
      <c r="J43" s="24">
        <f>I43*VLOOKUP(F43,Assumptions!$B$43:$C$45,2,FALSE)</f>
        <v/>
      </c>
    </row>
    <row r="44">
      <c r="B44" s="7" t="inlineStr">
        <is>
          <t>ROL-039</t>
        </is>
      </c>
      <c r="C44" s="11" t="inlineStr">
        <is>
          <t>Data &amp; Analytics</t>
        </is>
      </c>
      <c r="D44" s="7" t="inlineStr">
        <is>
          <t>Collibra Consultant</t>
        </is>
      </c>
      <c r="E44" s="11" t="inlineStr">
        <is>
          <t>Collibra</t>
        </is>
      </c>
      <c r="F44" s="21" t="inlineStr">
        <is>
          <t>Medium</t>
        </is>
      </c>
      <c r="G44" s="11" t="inlineStr">
        <is>
          <t>Senior</t>
        </is>
      </c>
      <c r="H44" s="11" t="inlineStr">
        <is>
          <t>Manager</t>
        </is>
      </c>
      <c r="I44" s="23">
        <f>VLOOKUP(G44,'Internal Cost Model'!$B$6:$F$15,5,FALSE)</f>
        <v/>
      </c>
      <c r="J44" s="24">
        <f>I44*VLOOKUP(F44,Assumptions!$B$43:$C$45,2,FALSE)</f>
        <v/>
      </c>
    </row>
    <row r="45">
      <c r="B45" s="7" t="inlineStr">
        <is>
          <t>ROL-040</t>
        </is>
      </c>
      <c r="C45" s="11" t="inlineStr">
        <is>
          <t>Data &amp; Analytics</t>
        </is>
      </c>
      <c r="D45" s="7" t="inlineStr">
        <is>
          <t>BI Architect</t>
        </is>
      </c>
      <c r="E45" s="11" t="inlineStr">
        <is>
          <t>Business Intelligence</t>
        </is>
      </c>
      <c r="F45" s="21" t="inlineStr">
        <is>
          <t>Medium</t>
        </is>
      </c>
      <c r="G45" s="11" t="inlineStr">
        <is>
          <t>Lead</t>
        </is>
      </c>
      <c r="H45" s="11" t="inlineStr">
        <is>
          <t>Director</t>
        </is>
      </c>
      <c r="I45" s="23">
        <f>VLOOKUP(G45,'Internal Cost Model'!$B$6:$F$15,5,FALSE)</f>
        <v/>
      </c>
      <c r="J45" s="24">
        <f>I45*VLOOKUP(F45,Assumptions!$B$43:$C$45,2,FALSE)</f>
        <v/>
      </c>
    </row>
    <row r="46">
      <c r="B46" s="7" t="inlineStr">
        <is>
          <t>ROL-041</t>
        </is>
      </c>
      <c r="C46" s="11" t="inlineStr">
        <is>
          <t>Data &amp; Analytics</t>
        </is>
      </c>
      <c r="D46" s="7" t="inlineStr">
        <is>
          <t>BI Developer</t>
        </is>
      </c>
      <c r="E46" s="11" t="inlineStr">
        <is>
          <t>Business Intelligence</t>
        </is>
      </c>
      <c r="F46" s="21" t="inlineStr">
        <is>
          <t>Medium</t>
        </is>
      </c>
      <c r="G46" s="11" t="inlineStr">
        <is>
          <t>Intermediate</t>
        </is>
      </c>
      <c r="H46" s="11" t="inlineStr">
        <is>
          <t>Senior</t>
        </is>
      </c>
      <c r="I46" s="23">
        <f>VLOOKUP(G46,'Internal Cost Model'!$B$6:$F$15,5,FALSE)</f>
        <v/>
      </c>
      <c r="J46" s="24">
        <f>I46*VLOOKUP(F46,Assumptions!$B$43:$C$45,2,FALSE)</f>
        <v/>
      </c>
    </row>
    <row r="47">
      <c r="B47" s="7" t="inlineStr">
        <is>
          <t>ROL-042</t>
        </is>
      </c>
      <c r="C47" s="11" t="inlineStr">
        <is>
          <t>Data &amp; Analytics</t>
        </is>
      </c>
      <c r="D47" s="7" t="inlineStr">
        <is>
          <t>Analytics Lead</t>
        </is>
      </c>
      <c r="E47" s="11" t="inlineStr">
        <is>
          <t>Advanced Analytics</t>
        </is>
      </c>
      <c r="F47" s="21" t="inlineStr">
        <is>
          <t>High</t>
        </is>
      </c>
      <c r="G47" s="11" t="inlineStr">
        <is>
          <t>Lead</t>
        </is>
      </c>
      <c r="H47" s="11" t="inlineStr">
        <is>
          <t>Senior Manager</t>
        </is>
      </c>
      <c r="I47" s="23">
        <f>VLOOKUP(G47,'Internal Cost Model'!$B$6:$F$15,5,FALSE)</f>
        <v/>
      </c>
      <c r="J47" s="24">
        <f>I47*VLOOKUP(F47,Assumptions!$B$43:$C$45,2,FALSE)</f>
        <v/>
      </c>
    </row>
    <row r="48">
      <c r="B48" s="7" t="inlineStr">
        <is>
          <t>ROL-043</t>
        </is>
      </c>
      <c r="C48" s="11" t="inlineStr">
        <is>
          <t>Data &amp; Analytics</t>
        </is>
      </c>
      <c r="D48" s="7" t="inlineStr">
        <is>
          <t>Analytics Consultant</t>
        </is>
      </c>
      <c r="E48" s="11" t="inlineStr">
        <is>
          <t>Advanced Analytics</t>
        </is>
      </c>
      <c r="F48" s="21" t="inlineStr">
        <is>
          <t>Medium</t>
        </is>
      </c>
      <c r="G48" s="11" t="inlineStr">
        <is>
          <t>Intermediate</t>
        </is>
      </c>
      <c r="H48" s="11" t="inlineStr">
        <is>
          <t>Senior</t>
        </is>
      </c>
      <c r="I48" s="23">
        <f>VLOOKUP(G48,'Internal Cost Model'!$B$6:$F$15,5,FALSE)</f>
        <v/>
      </c>
      <c r="J48" s="24">
        <f>I48*VLOOKUP(F48,Assumptions!$B$43:$C$45,2,FALSE)</f>
        <v/>
      </c>
    </row>
    <row r="49">
      <c r="B49" s="7" t="inlineStr">
        <is>
          <t>ROL-044</t>
        </is>
      </c>
      <c r="C49" s="11" t="inlineStr">
        <is>
          <t>Data &amp; Analytics</t>
        </is>
      </c>
      <c r="D49" s="7" t="inlineStr">
        <is>
          <t>Reporting Analyst</t>
        </is>
      </c>
      <c r="E49" s="11" t="inlineStr">
        <is>
          <t>Reporting</t>
        </is>
      </c>
      <c r="F49" s="21" t="inlineStr">
        <is>
          <t>Low</t>
        </is>
      </c>
      <c r="G49" s="11" t="inlineStr">
        <is>
          <t>Junior</t>
        </is>
      </c>
      <c r="H49" s="11" t="inlineStr">
        <is>
          <t>Intermediate</t>
        </is>
      </c>
      <c r="I49" s="23">
        <f>VLOOKUP(G49,'Internal Cost Model'!$B$6:$F$15,5,FALSE)</f>
        <v/>
      </c>
      <c r="J49" s="24">
        <f>I49*VLOOKUP(F49,Assumptions!$B$43:$C$45,2,FALSE)</f>
        <v/>
      </c>
    </row>
    <row r="50">
      <c r="B50" s="7" t="inlineStr">
        <is>
          <t>ROL-045</t>
        </is>
      </c>
      <c r="C50" s="11" t="inlineStr">
        <is>
          <t>AI &amp; GenAI</t>
        </is>
      </c>
      <c r="D50" s="7" t="inlineStr">
        <is>
          <t>Chief AI Officer (Advisory)</t>
        </is>
      </c>
      <c r="E50" s="11" t="inlineStr">
        <is>
          <t>AI Governance</t>
        </is>
      </c>
      <c r="F50" s="21" t="inlineStr">
        <is>
          <t>High</t>
        </is>
      </c>
      <c r="G50" s="11" t="inlineStr">
        <is>
          <t>Managing Director</t>
        </is>
      </c>
      <c r="H50" s="11" t="inlineStr">
        <is>
          <t>Partner</t>
        </is>
      </c>
      <c r="I50" s="23">
        <f>VLOOKUP(G50,'Internal Cost Model'!$B$6:$F$15,5,FALSE)</f>
        <v/>
      </c>
      <c r="J50" s="24">
        <f>I50*VLOOKUP(F50,Assumptions!$B$43:$C$45,2,FALSE)</f>
        <v/>
      </c>
    </row>
    <row r="51">
      <c r="B51" s="7" t="inlineStr">
        <is>
          <t>ROL-046</t>
        </is>
      </c>
      <c r="C51" s="11" t="inlineStr">
        <is>
          <t>AI &amp; GenAI</t>
        </is>
      </c>
      <c r="D51" s="7" t="inlineStr">
        <is>
          <t>Chief AI Architect</t>
        </is>
      </c>
      <c r="E51" s="11" t="inlineStr">
        <is>
          <t>Agentic AI</t>
        </is>
      </c>
      <c r="F51" s="21" t="inlineStr">
        <is>
          <t>High</t>
        </is>
      </c>
      <c r="G51" s="11" t="inlineStr">
        <is>
          <t>Director</t>
        </is>
      </c>
      <c r="H51" s="11" t="inlineStr">
        <is>
          <t>Principal</t>
        </is>
      </c>
      <c r="I51" s="23">
        <f>VLOOKUP(G51,'Internal Cost Model'!$B$6:$F$15,5,FALSE)</f>
        <v/>
      </c>
      <c r="J51" s="24">
        <f>I51*VLOOKUP(F51,Assumptions!$B$43:$C$45,2,FALSE)</f>
        <v/>
      </c>
    </row>
    <row r="52">
      <c r="B52" s="7" t="inlineStr">
        <is>
          <t>ROL-047</t>
        </is>
      </c>
      <c r="C52" s="11" t="inlineStr">
        <is>
          <t>AI &amp; GenAI</t>
        </is>
      </c>
      <c r="D52" s="7" t="inlineStr">
        <is>
          <t>AI Strategist</t>
        </is>
      </c>
      <c r="E52" s="11" t="inlineStr">
        <is>
          <t>Generative AI</t>
        </is>
      </c>
      <c r="F52" s="21" t="inlineStr">
        <is>
          <t>High</t>
        </is>
      </c>
      <c r="G52" s="11" t="inlineStr">
        <is>
          <t>Manager</t>
        </is>
      </c>
      <c r="H52" s="11" t="inlineStr">
        <is>
          <t>Director</t>
        </is>
      </c>
      <c r="I52" s="23">
        <f>VLOOKUP(G52,'Internal Cost Model'!$B$6:$F$15,5,FALSE)</f>
        <v/>
      </c>
      <c r="J52" s="24">
        <f>I52*VLOOKUP(F52,Assumptions!$B$43:$C$45,2,FALSE)</f>
        <v/>
      </c>
    </row>
    <row r="53">
      <c r="B53" s="7" t="inlineStr">
        <is>
          <t>ROL-048</t>
        </is>
      </c>
      <c r="C53" s="11" t="inlineStr">
        <is>
          <t>AI &amp; GenAI</t>
        </is>
      </c>
      <c r="D53" s="7" t="inlineStr">
        <is>
          <t>AI Product Manager</t>
        </is>
      </c>
      <c r="E53" s="11" t="inlineStr">
        <is>
          <t>Generative AI</t>
        </is>
      </c>
      <c r="F53" s="21" t="inlineStr">
        <is>
          <t>High</t>
        </is>
      </c>
      <c r="G53" s="11" t="inlineStr">
        <is>
          <t>Manager</t>
        </is>
      </c>
      <c r="H53" s="11" t="inlineStr">
        <is>
          <t>Director</t>
        </is>
      </c>
      <c r="I53" s="23">
        <f>VLOOKUP(G53,'Internal Cost Model'!$B$6:$F$15,5,FALSE)</f>
        <v/>
      </c>
      <c r="J53" s="24">
        <f>I53*VLOOKUP(F53,Assumptions!$B$43:$C$45,2,FALSE)</f>
        <v/>
      </c>
    </row>
    <row r="54">
      <c r="B54" s="7" t="inlineStr">
        <is>
          <t>ROL-049</t>
        </is>
      </c>
      <c r="C54" s="11" t="inlineStr">
        <is>
          <t>AI &amp; GenAI</t>
        </is>
      </c>
      <c r="D54" s="7" t="inlineStr">
        <is>
          <t>Agent Architect</t>
        </is>
      </c>
      <c r="E54" s="11" t="inlineStr">
        <is>
          <t>Agentic AI</t>
        </is>
      </c>
      <c r="F54" s="21" t="inlineStr">
        <is>
          <t>High</t>
        </is>
      </c>
      <c r="G54" s="11" t="inlineStr">
        <is>
          <t>Lead</t>
        </is>
      </c>
      <c r="H54" s="11" t="inlineStr">
        <is>
          <t>Director</t>
        </is>
      </c>
      <c r="I54" s="23">
        <f>VLOOKUP(G54,'Internal Cost Model'!$B$6:$F$15,5,FALSE)</f>
        <v/>
      </c>
      <c r="J54" s="24">
        <f>I54*VLOOKUP(F54,Assumptions!$B$43:$C$45,2,FALSE)</f>
        <v/>
      </c>
    </row>
    <row r="55">
      <c r="B55" s="7" t="inlineStr">
        <is>
          <t>ROL-050</t>
        </is>
      </c>
      <c r="C55" s="11" t="inlineStr">
        <is>
          <t>AI &amp; GenAI</t>
        </is>
      </c>
      <c r="D55" s="7" t="inlineStr">
        <is>
          <t>Forward Deployed Engineer</t>
        </is>
      </c>
      <c r="E55" s="11" t="inlineStr">
        <is>
          <t>Agentic AI</t>
        </is>
      </c>
      <c r="F55" s="21" t="inlineStr">
        <is>
          <t>High</t>
        </is>
      </c>
      <c r="G55" s="11" t="inlineStr">
        <is>
          <t>Senior</t>
        </is>
      </c>
      <c r="H55" s="11" t="inlineStr">
        <is>
          <t>Senior Manager</t>
        </is>
      </c>
      <c r="I55" s="23">
        <f>VLOOKUP(G55,'Internal Cost Model'!$B$6:$F$15,5,FALSE)</f>
        <v/>
      </c>
      <c r="J55" s="24">
        <f>I55*VLOOKUP(F55,Assumptions!$B$43:$C$45,2,FALSE)</f>
        <v/>
      </c>
    </row>
    <row r="56">
      <c r="B56" s="7" t="inlineStr">
        <is>
          <t>ROL-051</t>
        </is>
      </c>
      <c r="C56" s="11" t="inlineStr">
        <is>
          <t>AI &amp; GenAI</t>
        </is>
      </c>
      <c r="D56" s="7" t="inlineStr">
        <is>
          <t>Principal AI Engineer</t>
        </is>
      </c>
      <c r="E56" s="11" t="inlineStr">
        <is>
          <t>Machine Learning</t>
        </is>
      </c>
      <c r="F56" s="21" t="inlineStr">
        <is>
          <t>High</t>
        </is>
      </c>
      <c r="G56" s="11" t="inlineStr">
        <is>
          <t>Principal</t>
        </is>
      </c>
      <c r="H56" s="11" t="inlineStr">
        <is>
          <t>Principal</t>
        </is>
      </c>
      <c r="I56" s="23">
        <f>VLOOKUP(G56,'Internal Cost Model'!$B$6:$F$15,5,FALSE)</f>
        <v/>
      </c>
      <c r="J56" s="24">
        <f>I56*VLOOKUP(F56,Assumptions!$B$43:$C$45,2,FALSE)</f>
        <v/>
      </c>
    </row>
    <row r="57">
      <c r="B57" s="7" t="inlineStr">
        <is>
          <t>ROL-052</t>
        </is>
      </c>
      <c r="C57" s="11" t="inlineStr">
        <is>
          <t>AI &amp; GenAI</t>
        </is>
      </c>
      <c r="D57" s="7" t="inlineStr">
        <is>
          <t>Lead AI Engineer</t>
        </is>
      </c>
      <c r="E57" s="11" t="inlineStr">
        <is>
          <t>Machine Learning</t>
        </is>
      </c>
      <c r="F57" s="21" t="inlineStr">
        <is>
          <t>High</t>
        </is>
      </c>
      <c r="G57" s="11" t="inlineStr">
        <is>
          <t>Lead</t>
        </is>
      </c>
      <c r="H57" s="11" t="inlineStr">
        <is>
          <t>Senior Manager</t>
        </is>
      </c>
      <c r="I57" s="23">
        <f>VLOOKUP(G57,'Internal Cost Model'!$B$6:$F$15,5,FALSE)</f>
        <v/>
      </c>
      <c r="J57" s="24">
        <f>I57*VLOOKUP(F57,Assumptions!$B$43:$C$45,2,FALSE)</f>
        <v/>
      </c>
    </row>
    <row r="58">
      <c r="B58" s="7" t="inlineStr">
        <is>
          <t>ROL-053</t>
        </is>
      </c>
      <c r="C58" s="11" t="inlineStr">
        <is>
          <t>AI &amp; GenAI</t>
        </is>
      </c>
      <c r="D58" s="7" t="inlineStr">
        <is>
          <t>AI Engineer</t>
        </is>
      </c>
      <c r="E58" s="11" t="inlineStr">
        <is>
          <t>Generative AI</t>
        </is>
      </c>
      <c r="F58" s="21" t="inlineStr">
        <is>
          <t>High</t>
        </is>
      </c>
      <c r="G58" s="11" t="inlineStr">
        <is>
          <t>Intermediate</t>
        </is>
      </c>
      <c r="H58" s="11" t="inlineStr">
        <is>
          <t>Senior</t>
        </is>
      </c>
      <c r="I58" s="23">
        <f>VLOOKUP(G58,'Internal Cost Model'!$B$6:$F$15,5,FALSE)</f>
        <v/>
      </c>
      <c r="J58" s="24">
        <f>I58*VLOOKUP(F58,Assumptions!$B$43:$C$45,2,FALSE)</f>
        <v/>
      </c>
    </row>
    <row r="59">
      <c r="B59" s="7" t="inlineStr">
        <is>
          <t>ROL-054</t>
        </is>
      </c>
      <c r="C59" s="11" t="inlineStr">
        <is>
          <t>AI &amp; GenAI</t>
        </is>
      </c>
      <c r="D59" s="7" t="inlineStr">
        <is>
          <t>ML Engineer</t>
        </is>
      </c>
      <c r="E59" s="11" t="inlineStr">
        <is>
          <t>Machine Learning</t>
        </is>
      </c>
      <c r="F59" s="21" t="inlineStr">
        <is>
          <t>High</t>
        </is>
      </c>
      <c r="G59" s="11" t="inlineStr">
        <is>
          <t>Intermediate</t>
        </is>
      </c>
      <c r="H59" s="11" t="inlineStr">
        <is>
          <t>Senior</t>
        </is>
      </c>
      <c r="I59" s="23">
        <f>VLOOKUP(G59,'Internal Cost Model'!$B$6:$F$15,5,FALSE)</f>
        <v/>
      </c>
      <c r="J59" s="24">
        <f>I59*VLOOKUP(F59,Assumptions!$B$43:$C$45,2,FALSE)</f>
        <v/>
      </c>
    </row>
    <row r="60">
      <c r="B60" s="7" t="inlineStr">
        <is>
          <t>ROL-055</t>
        </is>
      </c>
      <c r="C60" s="11" t="inlineStr">
        <is>
          <t>AI &amp; GenAI</t>
        </is>
      </c>
      <c r="D60" s="7" t="inlineStr">
        <is>
          <t>MLOps Engineer</t>
        </is>
      </c>
      <c r="E60" s="11" t="inlineStr">
        <is>
          <t>MLOps</t>
        </is>
      </c>
      <c r="F60" s="21" t="inlineStr">
        <is>
          <t>High</t>
        </is>
      </c>
      <c r="G60" s="11" t="inlineStr">
        <is>
          <t>Senior</t>
        </is>
      </c>
      <c r="H60" s="11" t="inlineStr">
        <is>
          <t>Lead</t>
        </is>
      </c>
      <c r="I60" s="23">
        <f>VLOOKUP(G60,'Internal Cost Model'!$B$6:$F$15,5,FALSE)</f>
        <v/>
      </c>
      <c r="J60" s="24">
        <f>I60*VLOOKUP(F60,Assumptions!$B$43:$C$45,2,FALSE)</f>
        <v/>
      </c>
    </row>
    <row r="61">
      <c r="B61" s="7" t="inlineStr">
        <is>
          <t>ROL-056</t>
        </is>
      </c>
      <c r="C61" s="11" t="inlineStr">
        <is>
          <t>AI &amp; GenAI</t>
        </is>
      </c>
      <c r="D61" s="7" t="inlineStr">
        <is>
          <t>LLMOps Engineer</t>
        </is>
      </c>
      <c r="E61" s="11" t="inlineStr">
        <is>
          <t>LLMOps</t>
        </is>
      </c>
      <c r="F61" s="21" t="inlineStr">
        <is>
          <t>High</t>
        </is>
      </c>
      <c r="G61" s="11" t="inlineStr">
        <is>
          <t>Senior</t>
        </is>
      </c>
      <c r="H61" s="11" t="inlineStr">
        <is>
          <t>Lead</t>
        </is>
      </c>
      <c r="I61" s="23">
        <f>VLOOKUP(G61,'Internal Cost Model'!$B$6:$F$15,5,FALSE)</f>
        <v/>
      </c>
      <c r="J61" s="24">
        <f>I61*VLOOKUP(F61,Assumptions!$B$43:$C$45,2,FALSE)</f>
        <v/>
      </c>
    </row>
    <row r="62">
      <c r="B62" s="7" t="inlineStr">
        <is>
          <t>ROL-057</t>
        </is>
      </c>
      <c r="C62" s="11" t="inlineStr">
        <is>
          <t>AI &amp; GenAI</t>
        </is>
      </c>
      <c r="D62" s="7" t="inlineStr">
        <is>
          <t>Prompt Engineer</t>
        </is>
      </c>
      <c r="E62" s="11" t="inlineStr">
        <is>
          <t>Prompt Engineering</t>
        </is>
      </c>
      <c r="F62" s="21" t="inlineStr">
        <is>
          <t>High</t>
        </is>
      </c>
      <c r="G62" s="11" t="inlineStr">
        <is>
          <t>Intermediate</t>
        </is>
      </c>
      <c r="H62" s="11" t="inlineStr">
        <is>
          <t>Senior</t>
        </is>
      </c>
      <c r="I62" s="23">
        <f>VLOOKUP(G62,'Internal Cost Model'!$B$6:$F$15,5,FALSE)</f>
        <v/>
      </c>
      <c r="J62" s="24">
        <f>I62*VLOOKUP(F62,Assumptions!$B$43:$C$45,2,FALSE)</f>
        <v/>
      </c>
    </row>
    <row r="63">
      <c r="B63" s="7" t="inlineStr">
        <is>
          <t>ROL-058</t>
        </is>
      </c>
      <c r="C63" s="11" t="inlineStr">
        <is>
          <t>AI &amp; GenAI</t>
        </is>
      </c>
      <c r="D63" s="7" t="inlineStr">
        <is>
          <t>Responsible AI Lead</t>
        </is>
      </c>
      <c r="E63" s="11" t="inlineStr">
        <is>
          <t>Responsible AI</t>
        </is>
      </c>
      <c r="F63" s="21" t="inlineStr">
        <is>
          <t>High</t>
        </is>
      </c>
      <c r="G63" s="11" t="inlineStr">
        <is>
          <t>Manager</t>
        </is>
      </c>
      <c r="H63" s="11" t="inlineStr">
        <is>
          <t>Director</t>
        </is>
      </c>
      <c r="I63" s="23">
        <f>VLOOKUP(G63,'Internal Cost Model'!$B$6:$F$15,5,FALSE)</f>
        <v/>
      </c>
      <c r="J63" s="24">
        <f>I63*VLOOKUP(F63,Assumptions!$B$43:$C$45,2,FALSE)</f>
        <v/>
      </c>
    </row>
    <row r="64">
      <c r="B64" s="7" t="inlineStr">
        <is>
          <t>ROL-059</t>
        </is>
      </c>
      <c r="C64" s="11" t="inlineStr">
        <is>
          <t>AI &amp; GenAI</t>
        </is>
      </c>
      <c r="D64" s="7" t="inlineStr">
        <is>
          <t>AI Governance Lead</t>
        </is>
      </c>
      <c r="E64" s="11" t="inlineStr">
        <is>
          <t>AI Governance</t>
        </is>
      </c>
      <c r="F64" s="21" t="inlineStr">
        <is>
          <t>High</t>
        </is>
      </c>
      <c r="G64" s="11" t="inlineStr">
        <is>
          <t>Manager</t>
        </is>
      </c>
      <c r="H64" s="11" t="inlineStr">
        <is>
          <t>Director</t>
        </is>
      </c>
      <c r="I64" s="23">
        <f>VLOOKUP(G64,'Internal Cost Model'!$B$6:$F$15,5,FALSE)</f>
        <v/>
      </c>
      <c r="J64" s="24">
        <f>I64*VLOOKUP(F64,Assumptions!$B$43:$C$45,2,FALSE)</f>
        <v/>
      </c>
    </row>
    <row r="65">
      <c r="B65" s="7" t="inlineStr">
        <is>
          <t>ROL-060</t>
        </is>
      </c>
      <c r="C65" s="11" t="inlineStr">
        <is>
          <t>AI &amp; GenAI</t>
        </is>
      </c>
      <c r="D65" s="7" t="inlineStr">
        <is>
          <t>Model Validation Lead</t>
        </is>
      </c>
      <c r="E65" s="11" t="inlineStr">
        <is>
          <t>Model Validation</t>
        </is>
      </c>
      <c r="F65" s="21" t="inlineStr">
        <is>
          <t>High</t>
        </is>
      </c>
      <c r="G65" s="11" t="inlineStr">
        <is>
          <t>Lead</t>
        </is>
      </c>
      <c r="H65" s="11" t="inlineStr">
        <is>
          <t>Senior Manager</t>
        </is>
      </c>
      <c r="I65" s="23">
        <f>VLOOKUP(G65,'Internal Cost Model'!$B$6:$F$15,5,FALSE)</f>
        <v/>
      </c>
      <c r="J65" s="24">
        <f>I65*VLOOKUP(F65,Assumptions!$B$43:$C$45,2,FALSE)</f>
        <v/>
      </c>
    </row>
    <row r="66">
      <c r="B66" s="7" t="inlineStr">
        <is>
          <t>ROL-061</t>
        </is>
      </c>
      <c r="C66" s="11" t="inlineStr">
        <is>
          <t>Digital Experience</t>
        </is>
      </c>
      <c r="D66" s="7" t="inlineStr">
        <is>
          <t>Experience Director</t>
        </is>
      </c>
      <c r="E66" s="11" t="inlineStr">
        <is>
          <t>UX Design</t>
        </is>
      </c>
      <c r="F66" s="21" t="inlineStr">
        <is>
          <t>Medium</t>
        </is>
      </c>
      <c r="G66" s="11" t="inlineStr">
        <is>
          <t>Director</t>
        </is>
      </c>
      <c r="H66" s="11" t="inlineStr">
        <is>
          <t>Principal</t>
        </is>
      </c>
      <c r="I66" s="23">
        <f>VLOOKUP(G66,'Internal Cost Model'!$B$6:$F$15,5,FALSE)</f>
        <v/>
      </c>
      <c r="J66" s="24">
        <f>I66*VLOOKUP(F66,Assumptions!$B$43:$C$45,2,FALSE)</f>
        <v/>
      </c>
    </row>
    <row r="67">
      <c r="B67" s="7" t="inlineStr">
        <is>
          <t>ROL-062</t>
        </is>
      </c>
      <c r="C67" s="11" t="inlineStr">
        <is>
          <t>Digital Experience</t>
        </is>
      </c>
      <c r="D67" s="7" t="inlineStr">
        <is>
          <t>UX Lead</t>
        </is>
      </c>
      <c r="E67" s="11" t="inlineStr">
        <is>
          <t>UX Design</t>
        </is>
      </c>
      <c r="F67" s="21" t="inlineStr">
        <is>
          <t>Medium</t>
        </is>
      </c>
      <c r="G67" s="11" t="inlineStr">
        <is>
          <t>Lead</t>
        </is>
      </c>
      <c r="H67" s="11" t="inlineStr">
        <is>
          <t>Senior Manager</t>
        </is>
      </c>
      <c r="I67" s="23">
        <f>VLOOKUP(G67,'Internal Cost Model'!$B$6:$F$15,5,FALSE)</f>
        <v/>
      </c>
      <c r="J67" s="24">
        <f>I67*VLOOKUP(F67,Assumptions!$B$43:$C$45,2,FALSE)</f>
        <v/>
      </c>
    </row>
    <row r="68">
      <c r="B68" s="7" t="inlineStr">
        <is>
          <t>ROL-063</t>
        </is>
      </c>
      <c r="C68" s="11" t="inlineStr">
        <is>
          <t>Digital Experience</t>
        </is>
      </c>
      <c r="D68" s="7" t="inlineStr">
        <is>
          <t>UX Designer</t>
        </is>
      </c>
      <c r="E68" s="11" t="inlineStr">
        <is>
          <t>UX Design</t>
        </is>
      </c>
      <c r="F68" s="21" t="inlineStr">
        <is>
          <t>Medium</t>
        </is>
      </c>
      <c r="G68" s="11" t="inlineStr">
        <is>
          <t>Intermediate</t>
        </is>
      </c>
      <c r="H68" s="11" t="inlineStr">
        <is>
          <t>Senior</t>
        </is>
      </c>
      <c r="I68" s="23">
        <f>VLOOKUP(G68,'Internal Cost Model'!$B$6:$F$15,5,FALSE)</f>
        <v/>
      </c>
      <c r="J68" s="24">
        <f>I68*VLOOKUP(F68,Assumptions!$B$43:$C$45,2,FALSE)</f>
        <v/>
      </c>
    </row>
    <row r="69">
      <c r="B69" s="7" t="inlineStr">
        <is>
          <t>ROL-064</t>
        </is>
      </c>
      <c r="C69" s="11" t="inlineStr">
        <is>
          <t>Digital Experience</t>
        </is>
      </c>
      <c r="D69" s="7" t="inlineStr">
        <is>
          <t>UI Designer</t>
        </is>
      </c>
      <c r="E69" s="11" t="inlineStr">
        <is>
          <t>UI Design</t>
        </is>
      </c>
      <c r="F69" s="21" t="inlineStr">
        <is>
          <t>Medium</t>
        </is>
      </c>
      <c r="G69" s="11" t="inlineStr">
        <is>
          <t>Intermediate</t>
        </is>
      </c>
      <c r="H69" s="11" t="inlineStr">
        <is>
          <t>Senior</t>
        </is>
      </c>
      <c r="I69" s="23">
        <f>VLOOKUP(G69,'Internal Cost Model'!$B$6:$F$15,5,FALSE)</f>
        <v/>
      </c>
      <c r="J69" s="24">
        <f>I69*VLOOKUP(F69,Assumptions!$B$43:$C$45,2,FALSE)</f>
        <v/>
      </c>
    </row>
    <row r="70">
      <c r="B70" s="7" t="inlineStr">
        <is>
          <t>ROL-065</t>
        </is>
      </c>
      <c r="C70" s="11" t="inlineStr">
        <is>
          <t>Digital Experience</t>
        </is>
      </c>
      <c r="D70" s="7" t="inlineStr">
        <is>
          <t>Journey Architect</t>
        </is>
      </c>
      <c r="E70" s="11" t="inlineStr">
        <is>
          <t>Customer Journey</t>
        </is>
      </c>
      <c r="F70" s="21" t="inlineStr">
        <is>
          <t>Medium</t>
        </is>
      </c>
      <c r="G70" s="11" t="inlineStr">
        <is>
          <t>Lead</t>
        </is>
      </c>
      <c r="H70" s="11" t="inlineStr">
        <is>
          <t>Director</t>
        </is>
      </c>
      <c r="I70" s="23">
        <f>VLOOKUP(G70,'Internal Cost Model'!$B$6:$F$15,5,FALSE)</f>
        <v/>
      </c>
      <c r="J70" s="24">
        <f>I70*VLOOKUP(F70,Assumptions!$B$43:$C$45,2,FALSE)</f>
        <v/>
      </c>
    </row>
    <row r="71">
      <c r="B71" s="7" t="inlineStr">
        <is>
          <t>ROL-066</t>
        </is>
      </c>
      <c r="C71" s="11" t="inlineStr">
        <is>
          <t>Digital Experience</t>
        </is>
      </c>
      <c r="D71" s="7" t="inlineStr">
        <is>
          <t>Commerce Architect</t>
        </is>
      </c>
      <c r="E71" s="11" t="inlineStr">
        <is>
          <t>Commerce</t>
        </is>
      </c>
      <c r="F71" s="21" t="inlineStr">
        <is>
          <t>Medium</t>
        </is>
      </c>
      <c r="G71" s="11" t="inlineStr">
        <is>
          <t>Lead</t>
        </is>
      </c>
      <c r="H71" s="11" t="inlineStr">
        <is>
          <t>Director</t>
        </is>
      </c>
      <c r="I71" s="23">
        <f>VLOOKUP(G71,'Internal Cost Model'!$B$6:$F$15,5,FALSE)</f>
        <v/>
      </c>
      <c r="J71" s="24">
        <f>I71*VLOOKUP(F71,Assumptions!$B$43:$C$45,2,FALSE)</f>
        <v/>
      </c>
    </row>
    <row r="72">
      <c r="B72" s="7" t="inlineStr">
        <is>
          <t>ROL-067</t>
        </is>
      </c>
      <c r="C72" s="11" t="inlineStr">
        <is>
          <t>Marketing Technology</t>
        </is>
      </c>
      <c r="D72" s="7" t="inlineStr">
        <is>
          <t>Adobe Architect</t>
        </is>
      </c>
      <c r="E72" s="11" t="inlineStr">
        <is>
          <t>Adobe AEM</t>
        </is>
      </c>
      <c r="F72" s="21" t="inlineStr">
        <is>
          <t>High</t>
        </is>
      </c>
      <c r="G72" s="11" t="inlineStr">
        <is>
          <t>Lead</t>
        </is>
      </c>
      <c r="H72" s="11" t="inlineStr">
        <is>
          <t>Director</t>
        </is>
      </c>
      <c r="I72" s="23">
        <f>VLOOKUP(G72,'Internal Cost Model'!$B$6:$F$15,5,FALSE)</f>
        <v/>
      </c>
      <c r="J72" s="24">
        <f>I72*VLOOKUP(F72,Assumptions!$B$43:$C$45,2,FALSE)</f>
        <v/>
      </c>
    </row>
    <row r="73">
      <c r="B73" s="7" t="inlineStr">
        <is>
          <t>ROL-068</t>
        </is>
      </c>
      <c r="C73" s="11" t="inlineStr">
        <is>
          <t>Marketing Technology</t>
        </is>
      </c>
      <c r="D73" s="7" t="inlineStr">
        <is>
          <t>AEM Architect</t>
        </is>
      </c>
      <c r="E73" s="11" t="inlineStr">
        <is>
          <t>Adobe AEM</t>
        </is>
      </c>
      <c r="F73" s="21" t="inlineStr">
        <is>
          <t>High</t>
        </is>
      </c>
      <c r="G73" s="11" t="inlineStr">
        <is>
          <t>Lead</t>
        </is>
      </c>
      <c r="H73" s="11" t="inlineStr">
        <is>
          <t>Director</t>
        </is>
      </c>
      <c r="I73" s="23">
        <f>VLOOKUP(G73,'Internal Cost Model'!$B$6:$F$15,5,FALSE)</f>
        <v/>
      </c>
      <c r="J73" s="24">
        <f>I73*VLOOKUP(F73,Assumptions!$B$43:$C$45,2,FALSE)</f>
        <v/>
      </c>
    </row>
    <row r="74">
      <c r="B74" s="7" t="inlineStr">
        <is>
          <t>ROL-069</t>
        </is>
      </c>
      <c r="C74" s="11" t="inlineStr">
        <is>
          <t>Marketing Technology</t>
        </is>
      </c>
      <c r="D74" s="7" t="inlineStr">
        <is>
          <t>Adobe Developer</t>
        </is>
      </c>
      <c r="E74" s="11" t="inlineStr">
        <is>
          <t>Adobe AEM</t>
        </is>
      </c>
      <c r="F74" s="21" t="inlineStr">
        <is>
          <t>Medium</t>
        </is>
      </c>
      <c r="G74" s="11" t="inlineStr">
        <is>
          <t>Intermediate</t>
        </is>
      </c>
      <c r="H74" s="11" t="inlineStr">
        <is>
          <t>Senior</t>
        </is>
      </c>
      <c r="I74" s="23">
        <f>VLOOKUP(G74,'Internal Cost Model'!$B$6:$F$15,5,FALSE)</f>
        <v/>
      </c>
      <c r="J74" s="24">
        <f>I74*VLOOKUP(F74,Assumptions!$B$43:$C$45,2,FALSE)</f>
        <v/>
      </c>
    </row>
    <row r="75">
      <c r="B75" s="7" t="inlineStr">
        <is>
          <t>ROL-070</t>
        </is>
      </c>
      <c r="C75" s="11" t="inlineStr">
        <is>
          <t>Marketing Technology</t>
        </is>
      </c>
      <c r="D75" s="7" t="inlineStr">
        <is>
          <t>Adobe Analytics Consultant</t>
        </is>
      </c>
      <c r="E75" s="11" t="inlineStr">
        <is>
          <t>Adobe Analytics</t>
        </is>
      </c>
      <c r="F75" s="21" t="inlineStr">
        <is>
          <t>Medium</t>
        </is>
      </c>
      <c r="G75" s="11" t="inlineStr">
        <is>
          <t>Senior</t>
        </is>
      </c>
      <c r="H75" s="11" t="inlineStr">
        <is>
          <t>Manager</t>
        </is>
      </c>
      <c r="I75" s="23">
        <f>VLOOKUP(G75,'Internal Cost Model'!$B$6:$F$15,5,FALSE)</f>
        <v/>
      </c>
      <c r="J75" s="24">
        <f>I75*VLOOKUP(F75,Assumptions!$B$43:$C$45,2,FALSE)</f>
        <v/>
      </c>
    </row>
    <row r="76">
      <c r="B76" s="7" t="inlineStr">
        <is>
          <t>ROL-071</t>
        </is>
      </c>
      <c r="C76" s="11" t="inlineStr">
        <is>
          <t>Marketing Technology</t>
        </is>
      </c>
      <c r="D76" s="7" t="inlineStr">
        <is>
          <t>CDP Architect</t>
        </is>
      </c>
      <c r="E76" s="11" t="inlineStr">
        <is>
          <t>Customer Data Platform</t>
        </is>
      </c>
      <c r="F76" s="21" t="inlineStr">
        <is>
          <t>High</t>
        </is>
      </c>
      <c r="G76" s="11" t="inlineStr">
        <is>
          <t>Lead</t>
        </is>
      </c>
      <c r="H76" s="11" t="inlineStr">
        <is>
          <t>Director</t>
        </is>
      </c>
      <c r="I76" s="23">
        <f>VLOOKUP(G76,'Internal Cost Model'!$B$6:$F$15,5,FALSE)</f>
        <v/>
      </c>
      <c r="J76" s="24">
        <f>I76*VLOOKUP(F76,Assumptions!$B$43:$C$45,2,FALSE)</f>
        <v/>
      </c>
    </row>
    <row r="77">
      <c r="B77" s="7" t="inlineStr">
        <is>
          <t>ROL-072</t>
        </is>
      </c>
      <c r="C77" s="11" t="inlineStr">
        <is>
          <t>Marketing Technology</t>
        </is>
      </c>
      <c r="D77" s="7" t="inlineStr">
        <is>
          <t>MarTech Strategist</t>
        </is>
      </c>
      <c r="E77" s="11" t="inlineStr">
        <is>
          <t>MarTech Strategy</t>
        </is>
      </c>
      <c r="F77" s="21" t="inlineStr">
        <is>
          <t>Medium</t>
        </is>
      </c>
      <c r="G77" s="11" t="inlineStr">
        <is>
          <t>Manager</t>
        </is>
      </c>
      <c r="H77" s="11" t="inlineStr">
        <is>
          <t>Director</t>
        </is>
      </c>
      <c r="I77" s="23">
        <f>VLOOKUP(G77,'Internal Cost Model'!$B$6:$F$15,5,FALSE)</f>
        <v/>
      </c>
      <c r="J77" s="24">
        <f>I77*VLOOKUP(F77,Assumptions!$B$43:$C$45,2,FALSE)</f>
        <v/>
      </c>
    </row>
    <row r="78">
      <c r="B78" s="7" t="inlineStr">
        <is>
          <t>ROL-073</t>
        </is>
      </c>
      <c r="C78" s="11" t="inlineStr">
        <is>
          <t>Product Management</t>
        </is>
      </c>
      <c r="D78" s="7" t="inlineStr">
        <is>
          <t>Head of Product (Advisory)</t>
        </is>
      </c>
      <c r="E78" s="11" t="inlineStr">
        <is>
          <t>Product Strategy</t>
        </is>
      </c>
      <c r="F78" s="21" t="inlineStr">
        <is>
          <t>High</t>
        </is>
      </c>
      <c r="G78" s="11" t="inlineStr">
        <is>
          <t>Director</t>
        </is>
      </c>
      <c r="H78" s="11" t="inlineStr">
        <is>
          <t>Managing Director</t>
        </is>
      </c>
      <c r="I78" s="23">
        <f>VLOOKUP(G78,'Internal Cost Model'!$B$6:$F$15,5,FALSE)</f>
        <v/>
      </c>
      <c r="J78" s="24">
        <f>I78*VLOOKUP(F78,Assumptions!$B$43:$C$45,2,FALSE)</f>
        <v/>
      </c>
    </row>
    <row r="79">
      <c r="B79" s="7" t="inlineStr">
        <is>
          <t>ROL-074</t>
        </is>
      </c>
      <c r="C79" s="11" t="inlineStr">
        <is>
          <t>Product Management</t>
        </is>
      </c>
      <c r="D79" s="7" t="inlineStr">
        <is>
          <t>Principal Product Manager</t>
        </is>
      </c>
      <c r="E79" s="11" t="inlineStr">
        <is>
          <t>Product Strategy</t>
        </is>
      </c>
      <c r="F79" s="21" t="inlineStr">
        <is>
          <t>High</t>
        </is>
      </c>
      <c r="G79" s="11" t="inlineStr">
        <is>
          <t>Principal</t>
        </is>
      </c>
      <c r="H79" s="11" t="inlineStr">
        <is>
          <t>Principal</t>
        </is>
      </c>
      <c r="I79" s="23">
        <f>VLOOKUP(G79,'Internal Cost Model'!$B$6:$F$15,5,FALSE)</f>
        <v/>
      </c>
      <c r="J79" s="24">
        <f>I79*VLOOKUP(F79,Assumptions!$B$43:$C$45,2,FALSE)</f>
        <v/>
      </c>
    </row>
    <row r="80">
      <c r="B80" s="7" t="inlineStr">
        <is>
          <t>ROL-075</t>
        </is>
      </c>
      <c r="C80" s="11" t="inlineStr">
        <is>
          <t>Product Management</t>
        </is>
      </c>
      <c r="D80" s="7" t="inlineStr">
        <is>
          <t>Senior Product Manager</t>
        </is>
      </c>
      <c r="E80" s="11" t="inlineStr">
        <is>
          <t>Product Ownership</t>
        </is>
      </c>
      <c r="F80" s="21" t="inlineStr">
        <is>
          <t>Medium</t>
        </is>
      </c>
      <c r="G80" s="11" t="inlineStr">
        <is>
          <t>Senior Manager</t>
        </is>
      </c>
      <c r="H80" s="11" t="inlineStr">
        <is>
          <t>Senior Manager</t>
        </is>
      </c>
      <c r="I80" s="23">
        <f>VLOOKUP(G80,'Internal Cost Model'!$B$6:$F$15,5,FALSE)</f>
        <v/>
      </c>
      <c r="J80" s="24">
        <f>I80*VLOOKUP(F80,Assumptions!$B$43:$C$45,2,FALSE)</f>
        <v/>
      </c>
    </row>
    <row r="81">
      <c r="B81" s="7" t="inlineStr">
        <is>
          <t>ROL-076</t>
        </is>
      </c>
      <c r="C81" s="11" t="inlineStr">
        <is>
          <t>Product Management</t>
        </is>
      </c>
      <c r="D81" s="7" t="inlineStr">
        <is>
          <t>Product Owner</t>
        </is>
      </c>
      <c r="E81" s="11" t="inlineStr">
        <is>
          <t>Product Ownership</t>
        </is>
      </c>
      <c r="F81" s="21" t="inlineStr">
        <is>
          <t>Medium</t>
        </is>
      </c>
      <c r="G81" s="11" t="inlineStr">
        <is>
          <t>Senior</t>
        </is>
      </c>
      <c r="H81" s="11" t="inlineStr">
        <is>
          <t>Manager</t>
        </is>
      </c>
      <c r="I81" s="23">
        <f>VLOOKUP(G81,'Internal Cost Model'!$B$6:$F$15,5,FALSE)</f>
        <v/>
      </c>
      <c r="J81" s="24">
        <f>I81*VLOOKUP(F81,Assumptions!$B$43:$C$45,2,FALSE)</f>
        <v/>
      </c>
    </row>
    <row r="82">
      <c r="B82" s="7" t="inlineStr">
        <is>
          <t>ROL-077</t>
        </is>
      </c>
      <c r="C82" s="11" t="inlineStr">
        <is>
          <t>Application Engineering</t>
        </is>
      </c>
      <c r="D82" s="7" t="inlineStr">
        <is>
          <t>Principal Engineer</t>
        </is>
      </c>
      <c r="E82" s="11" t="inlineStr">
        <is>
          <t>Backend Engineering</t>
        </is>
      </c>
      <c r="F82" s="21" t="inlineStr">
        <is>
          <t>High</t>
        </is>
      </c>
      <c r="G82" s="11" t="inlineStr">
        <is>
          <t>Principal</t>
        </is>
      </c>
      <c r="H82" s="11" t="inlineStr">
        <is>
          <t>Principal</t>
        </is>
      </c>
      <c r="I82" s="23">
        <f>VLOOKUP(G82,'Internal Cost Model'!$B$6:$F$15,5,FALSE)</f>
        <v/>
      </c>
      <c r="J82" s="24">
        <f>I82*VLOOKUP(F82,Assumptions!$B$43:$C$45,2,FALSE)</f>
        <v/>
      </c>
    </row>
    <row r="83">
      <c r="B83" s="7" t="inlineStr">
        <is>
          <t>ROL-078</t>
        </is>
      </c>
      <c r="C83" s="11" t="inlineStr">
        <is>
          <t>Application Engineering</t>
        </is>
      </c>
      <c r="D83" s="7" t="inlineStr">
        <is>
          <t>Engineering Lead</t>
        </is>
      </c>
      <c r="E83" s="11" t="inlineStr">
        <is>
          <t>Microservices</t>
        </is>
      </c>
      <c r="F83" s="21" t="inlineStr">
        <is>
          <t>High</t>
        </is>
      </c>
      <c r="G83" s="11" t="inlineStr">
        <is>
          <t>Lead</t>
        </is>
      </c>
      <c r="H83" s="11" t="inlineStr">
        <is>
          <t>Senior Manager</t>
        </is>
      </c>
      <c r="I83" s="23">
        <f>VLOOKUP(G83,'Internal Cost Model'!$B$6:$F$15,5,FALSE)</f>
        <v/>
      </c>
      <c r="J83" s="24">
        <f>I83*VLOOKUP(F83,Assumptions!$B$43:$C$45,2,FALSE)</f>
        <v/>
      </c>
    </row>
    <row r="84">
      <c r="B84" s="7" t="inlineStr">
        <is>
          <t>ROL-079</t>
        </is>
      </c>
      <c r="C84" s="11" t="inlineStr">
        <is>
          <t>Application Engineering</t>
        </is>
      </c>
      <c r="D84" s="7" t="inlineStr">
        <is>
          <t>Senior Software Engineer</t>
        </is>
      </c>
      <c r="E84" s="11" t="inlineStr">
        <is>
          <t>Backend Engineering</t>
        </is>
      </c>
      <c r="F84" s="21" t="inlineStr">
        <is>
          <t>High</t>
        </is>
      </c>
      <c r="G84" s="11" t="inlineStr">
        <is>
          <t>Senior</t>
        </is>
      </c>
      <c r="H84" s="11" t="inlineStr">
        <is>
          <t>Senior</t>
        </is>
      </c>
      <c r="I84" s="23">
        <f>VLOOKUP(G84,'Internal Cost Model'!$B$6:$F$15,5,FALSE)</f>
        <v/>
      </c>
      <c r="J84" s="24">
        <f>I84*VLOOKUP(F84,Assumptions!$B$43:$C$45,2,FALSE)</f>
        <v/>
      </c>
    </row>
    <row r="85">
      <c r="B85" s="7" t="inlineStr">
        <is>
          <t>ROL-080</t>
        </is>
      </c>
      <c r="C85" s="11" t="inlineStr">
        <is>
          <t>Application Engineering</t>
        </is>
      </c>
      <c r="D85" s="7" t="inlineStr">
        <is>
          <t>Software Engineer</t>
        </is>
      </c>
      <c r="E85" s="11" t="inlineStr">
        <is>
          <t>Backend Engineering</t>
        </is>
      </c>
      <c r="F85" s="21" t="inlineStr">
        <is>
          <t>Medium</t>
        </is>
      </c>
      <c r="G85" s="11" t="inlineStr">
        <is>
          <t>Intermediate</t>
        </is>
      </c>
      <c r="H85" s="11" t="inlineStr">
        <is>
          <t>Senior</t>
        </is>
      </c>
      <c r="I85" s="23">
        <f>VLOOKUP(G85,'Internal Cost Model'!$B$6:$F$15,5,FALSE)</f>
        <v/>
      </c>
      <c r="J85" s="24">
        <f>I85*VLOOKUP(F85,Assumptions!$B$43:$C$45,2,FALSE)</f>
        <v/>
      </c>
    </row>
    <row r="86">
      <c r="B86" s="7" t="inlineStr">
        <is>
          <t>ROL-081</t>
        </is>
      </c>
      <c r="C86" s="11" t="inlineStr">
        <is>
          <t>Application Engineering</t>
        </is>
      </c>
      <c r="D86" s="7" t="inlineStr">
        <is>
          <t>Frontend Engineer</t>
        </is>
      </c>
      <c r="E86" s="11" t="inlineStr">
        <is>
          <t>Frontend Engineering</t>
        </is>
      </c>
      <c r="F86" s="21" t="inlineStr">
        <is>
          <t>Medium</t>
        </is>
      </c>
      <c r="G86" s="11" t="inlineStr">
        <is>
          <t>Intermediate</t>
        </is>
      </c>
      <c r="H86" s="11" t="inlineStr">
        <is>
          <t>Senior</t>
        </is>
      </c>
      <c r="I86" s="23">
        <f>VLOOKUP(G86,'Internal Cost Model'!$B$6:$F$15,5,FALSE)</f>
        <v/>
      </c>
      <c r="J86" s="24">
        <f>I86*VLOOKUP(F86,Assumptions!$B$43:$C$45,2,FALSE)</f>
        <v/>
      </c>
    </row>
    <row r="87">
      <c r="B87" s="7" t="inlineStr">
        <is>
          <t>ROL-082</t>
        </is>
      </c>
      <c r="C87" s="11" t="inlineStr">
        <is>
          <t>Application Engineering</t>
        </is>
      </c>
      <c r="D87" s="7" t="inlineStr">
        <is>
          <t>Mobile Engineer</t>
        </is>
      </c>
      <c r="E87" s="11" t="inlineStr">
        <is>
          <t>Mobile Engineering</t>
        </is>
      </c>
      <c r="F87" s="21" t="inlineStr">
        <is>
          <t>Medium</t>
        </is>
      </c>
      <c r="G87" s="11" t="inlineStr">
        <is>
          <t>Intermediate</t>
        </is>
      </c>
      <c r="H87" s="11" t="inlineStr">
        <is>
          <t>Senior</t>
        </is>
      </c>
      <c r="I87" s="23">
        <f>VLOOKUP(G87,'Internal Cost Model'!$B$6:$F$15,5,FALSE)</f>
        <v/>
      </c>
      <c r="J87" s="24">
        <f>I87*VLOOKUP(F87,Assumptions!$B$43:$C$45,2,FALSE)</f>
        <v/>
      </c>
    </row>
    <row r="88">
      <c r="B88" s="7" t="inlineStr">
        <is>
          <t>ROL-083</t>
        </is>
      </c>
      <c r="C88" s="11" t="inlineStr">
        <is>
          <t>Application Engineering</t>
        </is>
      </c>
      <c r="D88" s="7" t="inlineStr">
        <is>
          <t>API Engineer</t>
        </is>
      </c>
      <c r="E88" s="11" t="inlineStr">
        <is>
          <t>API Engineering</t>
        </is>
      </c>
      <c r="F88" s="21" t="inlineStr">
        <is>
          <t>High</t>
        </is>
      </c>
      <c r="G88" s="11" t="inlineStr">
        <is>
          <t>Intermediate</t>
        </is>
      </c>
      <c r="H88" s="11" t="inlineStr">
        <is>
          <t>Senior</t>
        </is>
      </c>
      <c r="I88" s="23">
        <f>VLOOKUP(G88,'Internal Cost Model'!$B$6:$F$15,5,FALSE)</f>
        <v/>
      </c>
      <c r="J88" s="24">
        <f>I88*VLOOKUP(F88,Assumptions!$B$43:$C$45,2,FALSE)</f>
        <v/>
      </c>
    </row>
    <row r="89">
      <c r="B89" s="7" t="inlineStr">
        <is>
          <t>ROL-084</t>
        </is>
      </c>
      <c r="C89" s="11" t="inlineStr">
        <is>
          <t>Application Engineering</t>
        </is>
      </c>
      <c r="D89" s="7" t="inlineStr">
        <is>
          <t>Modernization Architect</t>
        </is>
      </c>
      <c r="E89" s="11" t="inlineStr">
        <is>
          <t>App Modernization</t>
        </is>
      </c>
      <c r="F89" s="21" t="inlineStr">
        <is>
          <t>High</t>
        </is>
      </c>
      <c r="G89" s="11" t="inlineStr">
        <is>
          <t>Lead</t>
        </is>
      </c>
      <c r="H89" s="11" t="inlineStr">
        <is>
          <t>Director</t>
        </is>
      </c>
      <c r="I89" s="23">
        <f>VLOOKUP(G89,'Internal Cost Model'!$B$6:$F$15,5,FALSE)</f>
        <v/>
      </c>
      <c r="J89" s="24">
        <f>I89*VLOOKUP(F89,Assumptions!$B$43:$C$45,2,FALSE)</f>
        <v/>
      </c>
    </row>
    <row r="90">
      <c r="B90" s="7" t="inlineStr">
        <is>
          <t>ROL-085</t>
        </is>
      </c>
      <c r="C90" s="11" t="inlineStr">
        <is>
          <t>Integration</t>
        </is>
      </c>
      <c r="D90" s="7" t="inlineStr">
        <is>
          <t>Integration Architect</t>
        </is>
      </c>
      <c r="E90" s="11" t="inlineStr">
        <is>
          <t>API Management</t>
        </is>
      </c>
      <c r="F90" s="21" t="inlineStr">
        <is>
          <t>High</t>
        </is>
      </c>
      <c r="G90" s="11" t="inlineStr">
        <is>
          <t>Lead</t>
        </is>
      </c>
      <c r="H90" s="11" t="inlineStr">
        <is>
          <t>Director</t>
        </is>
      </c>
      <c r="I90" s="23">
        <f>VLOOKUP(G90,'Internal Cost Model'!$B$6:$F$15,5,FALSE)</f>
        <v/>
      </c>
      <c r="J90" s="24">
        <f>I90*VLOOKUP(F90,Assumptions!$B$43:$C$45,2,FALSE)</f>
        <v/>
      </c>
    </row>
    <row r="91">
      <c r="B91" s="7" t="inlineStr">
        <is>
          <t>ROL-086</t>
        </is>
      </c>
      <c r="C91" s="11" t="inlineStr">
        <is>
          <t>Integration</t>
        </is>
      </c>
      <c r="D91" s="7" t="inlineStr">
        <is>
          <t>iPaaS Developer</t>
        </is>
      </c>
      <c r="E91" s="11" t="inlineStr">
        <is>
          <t>iPaaS</t>
        </is>
      </c>
      <c r="F91" s="21" t="inlineStr">
        <is>
          <t>Medium</t>
        </is>
      </c>
      <c r="G91" s="11" t="inlineStr">
        <is>
          <t>Intermediate</t>
        </is>
      </c>
      <c r="H91" s="11" t="inlineStr">
        <is>
          <t>Senior</t>
        </is>
      </c>
      <c r="I91" s="23">
        <f>VLOOKUP(G91,'Internal Cost Model'!$B$6:$F$15,5,FALSE)</f>
        <v/>
      </c>
      <c r="J91" s="24">
        <f>I91*VLOOKUP(F91,Assumptions!$B$43:$C$45,2,FALSE)</f>
        <v/>
      </c>
    </row>
    <row r="92">
      <c r="B92" s="7" t="inlineStr">
        <is>
          <t>ROL-087</t>
        </is>
      </c>
      <c r="C92" s="11" t="inlineStr">
        <is>
          <t>Integration</t>
        </is>
      </c>
      <c r="D92" s="7" t="inlineStr">
        <is>
          <t>Event Streaming Engineer</t>
        </is>
      </c>
      <c r="E92" s="11" t="inlineStr">
        <is>
          <t>Event Streaming</t>
        </is>
      </c>
      <c r="F92" s="21" t="inlineStr">
        <is>
          <t>High</t>
        </is>
      </c>
      <c r="G92" s="11" t="inlineStr">
        <is>
          <t>Senior</t>
        </is>
      </c>
      <c r="H92" s="11" t="inlineStr">
        <is>
          <t>Lead</t>
        </is>
      </c>
      <c r="I92" s="23">
        <f>VLOOKUP(G92,'Internal Cost Model'!$B$6:$F$15,5,FALSE)</f>
        <v/>
      </c>
      <c r="J92" s="24">
        <f>I92*VLOOKUP(F92,Assumptions!$B$43:$C$45,2,FALSE)</f>
        <v/>
      </c>
    </row>
    <row r="93">
      <c r="B93" s="7" t="inlineStr">
        <is>
          <t>ROL-088</t>
        </is>
      </c>
      <c r="C93" s="11" t="inlineStr">
        <is>
          <t>Integration</t>
        </is>
      </c>
      <c r="D93" s="7" t="inlineStr">
        <is>
          <t>Middleware Engineer</t>
        </is>
      </c>
      <c r="E93" s="11" t="inlineStr">
        <is>
          <t>ESB / Middleware</t>
        </is>
      </c>
      <c r="F93" s="21" t="inlineStr">
        <is>
          <t>Medium</t>
        </is>
      </c>
      <c r="G93" s="11" t="inlineStr">
        <is>
          <t>Intermediate</t>
        </is>
      </c>
      <c r="H93" s="11" t="inlineStr">
        <is>
          <t>Senior</t>
        </is>
      </c>
      <c r="I93" s="23">
        <f>VLOOKUP(G93,'Internal Cost Model'!$B$6:$F$15,5,FALSE)</f>
        <v/>
      </c>
      <c r="J93" s="24">
        <f>I93*VLOOKUP(F93,Assumptions!$B$43:$C$45,2,FALSE)</f>
        <v/>
      </c>
    </row>
    <row r="94">
      <c r="B94" s="7" t="inlineStr">
        <is>
          <t>ROL-089</t>
        </is>
      </c>
      <c r="C94" s="11" t="inlineStr">
        <is>
          <t>ERP</t>
        </is>
      </c>
      <c r="D94" s="7" t="inlineStr">
        <is>
          <t>SAP Enterprise Architect</t>
        </is>
      </c>
      <c r="E94" s="11" t="inlineStr">
        <is>
          <t>SAP Finance</t>
        </is>
      </c>
      <c r="F94" s="21" t="inlineStr">
        <is>
          <t>High</t>
        </is>
      </c>
      <c r="G94" s="11" t="inlineStr">
        <is>
          <t>Director</t>
        </is>
      </c>
      <c r="H94" s="11" t="inlineStr">
        <is>
          <t>Principal</t>
        </is>
      </c>
      <c r="I94" s="23">
        <f>VLOOKUP(G94,'Internal Cost Model'!$B$6:$F$15,5,FALSE)</f>
        <v/>
      </c>
      <c r="J94" s="24">
        <f>I94*VLOOKUP(F94,Assumptions!$B$43:$C$45,2,FALSE)</f>
        <v/>
      </c>
    </row>
    <row r="95">
      <c r="B95" s="7" t="inlineStr">
        <is>
          <t>ROL-090</t>
        </is>
      </c>
      <c r="C95" s="11" t="inlineStr">
        <is>
          <t>ERP</t>
        </is>
      </c>
      <c r="D95" s="7" t="inlineStr">
        <is>
          <t>SAP Finance Architect</t>
        </is>
      </c>
      <c r="E95" s="11" t="inlineStr">
        <is>
          <t>SAP Finance</t>
        </is>
      </c>
      <c r="F95" s="21" t="inlineStr">
        <is>
          <t>High</t>
        </is>
      </c>
      <c r="G95" s="11" t="inlineStr">
        <is>
          <t>Lead</t>
        </is>
      </c>
      <c r="H95" s="11" t="inlineStr">
        <is>
          <t>Director</t>
        </is>
      </c>
      <c r="I95" s="23">
        <f>VLOOKUP(G95,'Internal Cost Model'!$B$6:$F$15,5,FALSE)</f>
        <v/>
      </c>
      <c r="J95" s="24">
        <f>I95*VLOOKUP(F95,Assumptions!$B$43:$C$45,2,FALSE)</f>
        <v/>
      </c>
    </row>
    <row r="96">
      <c r="B96" s="7" t="inlineStr">
        <is>
          <t>ROL-091</t>
        </is>
      </c>
      <c r="C96" s="11" t="inlineStr">
        <is>
          <t>ERP</t>
        </is>
      </c>
      <c r="D96" s="7" t="inlineStr">
        <is>
          <t>SAP Supply Chain Architect</t>
        </is>
      </c>
      <c r="E96" s="11" t="inlineStr">
        <is>
          <t>SAP Supply Chain</t>
        </is>
      </c>
      <c r="F96" s="21" t="inlineStr">
        <is>
          <t>High</t>
        </is>
      </c>
      <c r="G96" s="11" t="inlineStr">
        <is>
          <t>Lead</t>
        </is>
      </c>
      <c r="H96" s="11" t="inlineStr">
        <is>
          <t>Director</t>
        </is>
      </c>
      <c r="I96" s="23">
        <f>VLOOKUP(G96,'Internal Cost Model'!$B$6:$F$15,5,FALSE)</f>
        <v/>
      </c>
      <c r="J96" s="24">
        <f>I96*VLOOKUP(F96,Assumptions!$B$43:$C$45,2,FALSE)</f>
        <v/>
      </c>
    </row>
    <row r="97">
      <c r="B97" s="7" t="inlineStr">
        <is>
          <t>ROL-092</t>
        </is>
      </c>
      <c r="C97" s="11" t="inlineStr">
        <is>
          <t>ERP</t>
        </is>
      </c>
      <c r="D97" s="7" t="inlineStr">
        <is>
          <t>SAP Security Architect</t>
        </is>
      </c>
      <c r="E97" s="11" t="inlineStr">
        <is>
          <t>SAP Basis</t>
        </is>
      </c>
      <c r="F97" s="21" t="inlineStr">
        <is>
          <t>Medium</t>
        </is>
      </c>
      <c r="G97" s="11" t="inlineStr">
        <is>
          <t>Lead</t>
        </is>
      </c>
      <c r="H97" s="11" t="inlineStr">
        <is>
          <t>Senior Manager</t>
        </is>
      </c>
      <c r="I97" s="23">
        <f>VLOOKUP(G97,'Internal Cost Model'!$B$6:$F$15,5,FALSE)</f>
        <v/>
      </c>
      <c r="J97" s="24">
        <f>I97*VLOOKUP(F97,Assumptions!$B$43:$C$45,2,FALSE)</f>
        <v/>
      </c>
    </row>
    <row r="98">
      <c r="B98" s="7" t="inlineStr">
        <is>
          <t>ROL-093</t>
        </is>
      </c>
      <c r="C98" s="11" t="inlineStr">
        <is>
          <t>ERP</t>
        </is>
      </c>
      <c r="D98" s="7" t="inlineStr">
        <is>
          <t>SAP Basis Consultant</t>
        </is>
      </c>
      <c r="E98" s="11" t="inlineStr">
        <is>
          <t>SAP Basis</t>
        </is>
      </c>
      <c r="F98" s="21" t="inlineStr">
        <is>
          <t>Medium</t>
        </is>
      </c>
      <c r="G98" s="11" t="inlineStr">
        <is>
          <t>Senior</t>
        </is>
      </c>
      <c r="H98" s="11" t="inlineStr">
        <is>
          <t>Manager</t>
        </is>
      </c>
      <c r="I98" s="23">
        <f>VLOOKUP(G98,'Internal Cost Model'!$B$6:$F$15,5,FALSE)</f>
        <v/>
      </c>
      <c r="J98" s="24">
        <f>I98*VLOOKUP(F98,Assumptions!$B$43:$C$45,2,FALSE)</f>
        <v/>
      </c>
    </row>
    <row r="99">
      <c r="B99" s="7" t="inlineStr">
        <is>
          <t>ROL-094</t>
        </is>
      </c>
      <c r="C99" s="11" t="inlineStr">
        <is>
          <t>ERP</t>
        </is>
      </c>
      <c r="D99" s="7" t="inlineStr">
        <is>
          <t>Oracle Finance Architect</t>
        </is>
      </c>
      <c r="E99" s="11" t="inlineStr">
        <is>
          <t>Oracle Finance</t>
        </is>
      </c>
      <c r="F99" s="21" t="inlineStr">
        <is>
          <t>High</t>
        </is>
      </c>
      <c r="G99" s="11" t="inlineStr">
        <is>
          <t>Lead</t>
        </is>
      </c>
      <c r="H99" s="11" t="inlineStr">
        <is>
          <t>Director</t>
        </is>
      </c>
      <c r="I99" s="23">
        <f>VLOOKUP(G99,'Internal Cost Model'!$B$6:$F$15,5,FALSE)</f>
        <v/>
      </c>
      <c r="J99" s="24">
        <f>I99*VLOOKUP(F99,Assumptions!$B$43:$C$45,2,FALSE)</f>
        <v/>
      </c>
    </row>
    <row r="100">
      <c r="B100" s="7" t="inlineStr">
        <is>
          <t>ROL-095</t>
        </is>
      </c>
      <c r="C100" s="11" t="inlineStr">
        <is>
          <t>ERP</t>
        </is>
      </c>
      <c r="D100" s="7" t="inlineStr">
        <is>
          <t>Oracle SCM Consultant</t>
        </is>
      </c>
      <c r="E100" s="11" t="inlineStr">
        <is>
          <t>Oracle SCM</t>
        </is>
      </c>
      <c r="F100" s="21" t="inlineStr">
        <is>
          <t>High</t>
        </is>
      </c>
      <c r="G100" s="11" t="inlineStr">
        <is>
          <t>Senior</t>
        </is>
      </c>
      <c r="H100" s="11" t="inlineStr">
        <is>
          <t>Manager</t>
        </is>
      </c>
      <c r="I100" s="23">
        <f>VLOOKUP(G100,'Internal Cost Model'!$B$6:$F$15,5,FALSE)</f>
        <v/>
      </c>
      <c r="J100" s="24">
        <f>I100*VLOOKUP(F100,Assumptions!$B$43:$C$45,2,FALSE)</f>
        <v/>
      </c>
    </row>
    <row r="101">
      <c r="B101" s="7" t="inlineStr">
        <is>
          <t>ROL-096</t>
        </is>
      </c>
      <c r="C101" s="11" t="inlineStr">
        <is>
          <t>ERP</t>
        </is>
      </c>
      <c r="D101" s="7" t="inlineStr">
        <is>
          <t>Workday Architect</t>
        </is>
      </c>
      <c r="E101" s="11" t="inlineStr">
        <is>
          <t>Workday HCM</t>
        </is>
      </c>
      <c r="F101" s="21" t="inlineStr">
        <is>
          <t>High</t>
        </is>
      </c>
      <c r="G101" s="11" t="inlineStr">
        <is>
          <t>Lead</t>
        </is>
      </c>
      <c r="H101" s="11" t="inlineStr">
        <is>
          <t>Director</t>
        </is>
      </c>
      <c r="I101" s="23">
        <f>VLOOKUP(G101,'Internal Cost Model'!$B$6:$F$15,5,FALSE)</f>
        <v/>
      </c>
      <c r="J101" s="24">
        <f>I101*VLOOKUP(F101,Assumptions!$B$43:$C$45,2,FALSE)</f>
        <v/>
      </c>
    </row>
    <row r="102">
      <c r="B102" s="7" t="inlineStr">
        <is>
          <t>ROL-097</t>
        </is>
      </c>
      <c r="C102" s="11" t="inlineStr">
        <is>
          <t>ERP</t>
        </is>
      </c>
      <c r="D102" s="7" t="inlineStr">
        <is>
          <t>Workday Functional Lead</t>
        </is>
      </c>
      <c r="E102" s="11" t="inlineStr">
        <is>
          <t>Workday HCM</t>
        </is>
      </c>
      <c r="F102" s="21" t="inlineStr">
        <is>
          <t>High</t>
        </is>
      </c>
      <c r="G102" s="11" t="inlineStr">
        <is>
          <t>Lead</t>
        </is>
      </c>
      <c r="H102" s="11" t="inlineStr">
        <is>
          <t>Senior Manager</t>
        </is>
      </c>
      <c r="I102" s="23">
        <f>VLOOKUP(G102,'Internal Cost Model'!$B$6:$F$15,5,FALSE)</f>
        <v/>
      </c>
      <c r="J102" s="24">
        <f>I102*VLOOKUP(F102,Assumptions!$B$43:$C$45,2,FALSE)</f>
        <v/>
      </c>
    </row>
    <row r="103">
      <c r="B103" s="7" t="inlineStr">
        <is>
          <t>ROL-098</t>
        </is>
      </c>
      <c r="C103" s="11" t="inlineStr">
        <is>
          <t>ERP</t>
        </is>
      </c>
      <c r="D103" s="7" t="inlineStr">
        <is>
          <t>Workday Technical Lead</t>
        </is>
      </c>
      <c r="E103" s="11" t="inlineStr">
        <is>
          <t>Workday Finance</t>
        </is>
      </c>
      <c r="F103" s="21" t="inlineStr">
        <is>
          <t>High</t>
        </is>
      </c>
      <c r="G103" s="11" t="inlineStr">
        <is>
          <t>Lead</t>
        </is>
      </c>
      <c r="H103" s="11" t="inlineStr">
        <is>
          <t>Senior Manager</t>
        </is>
      </c>
      <c r="I103" s="23">
        <f>VLOOKUP(G103,'Internal Cost Model'!$B$6:$F$15,5,FALSE)</f>
        <v/>
      </c>
      <c r="J103" s="24">
        <f>I103*VLOOKUP(F103,Assumptions!$B$43:$C$45,2,FALSE)</f>
        <v/>
      </c>
    </row>
    <row r="104">
      <c r="B104" s="7" t="inlineStr">
        <is>
          <t>ROL-099</t>
        </is>
      </c>
      <c r="C104" s="11" t="inlineStr">
        <is>
          <t>Cloud</t>
        </is>
      </c>
      <c r="D104" s="7" t="inlineStr">
        <is>
          <t>Cloud Architect</t>
        </is>
      </c>
      <c r="E104" s="11" t="inlineStr">
        <is>
          <t>Azure</t>
        </is>
      </c>
      <c r="F104" s="21" t="inlineStr">
        <is>
          <t>High</t>
        </is>
      </c>
      <c r="G104" s="11" t="inlineStr">
        <is>
          <t>Lead</t>
        </is>
      </c>
      <c r="H104" s="11" t="inlineStr">
        <is>
          <t>Director</t>
        </is>
      </c>
      <c r="I104" s="23">
        <f>VLOOKUP(G104,'Internal Cost Model'!$B$6:$F$15,5,FALSE)</f>
        <v/>
      </c>
      <c r="J104" s="24">
        <f>I104*VLOOKUP(F104,Assumptions!$B$43:$C$45,2,FALSE)</f>
        <v/>
      </c>
    </row>
    <row r="105">
      <c r="B105" s="7" t="inlineStr">
        <is>
          <t>ROL-100</t>
        </is>
      </c>
      <c r="C105" s="11" t="inlineStr">
        <is>
          <t>Cloud</t>
        </is>
      </c>
      <c r="D105" s="7" t="inlineStr">
        <is>
          <t>Azure Architect</t>
        </is>
      </c>
      <c r="E105" s="11" t="inlineStr">
        <is>
          <t>Azure</t>
        </is>
      </c>
      <c r="F105" s="21" t="inlineStr">
        <is>
          <t>High</t>
        </is>
      </c>
      <c r="G105" s="11" t="inlineStr">
        <is>
          <t>Lead</t>
        </is>
      </c>
      <c r="H105" s="11" t="inlineStr">
        <is>
          <t>Director</t>
        </is>
      </c>
      <c r="I105" s="23">
        <f>VLOOKUP(G105,'Internal Cost Model'!$B$6:$F$15,5,FALSE)</f>
        <v/>
      </c>
      <c r="J105" s="24">
        <f>I105*VLOOKUP(F105,Assumptions!$B$43:$C$45,2,FALSE)</f>
        <v/>
      </c>
    </row>
    <row r="106">
      <c r="B106" s="7" t="inlineStr">
        <is>
          <t>ROL-101</t>
        </is>
      </c>
      <c r="C106" s="11" t="inlineStr">
        <is>
          <t>Cloud</t>
        </is>
      </c>
      <c r="D106" s="7" t="inlineStr">
        <is>
          <t>AWS Architect</t>
        </is>
      </c>
      <c r="E106" s="11" t="inlineStr">
        <is>
          <t>AWS</t>
        </is>
      </c>
      <c r="F106" s="21" t="inlineStr">
        <is>
          <t>High</t>
        </is>
      </c>
      <c r="G106" s="11" t="inlineStr">
        <is>
          <t>Lead</t>
        </is>
      </c>
      <c r="H106" s="11" t="inlineStr">
        <is>
          <t>Director</t>
        </is>
      </c>
      <c r="I106" s="23">
        <f>VLOOKUP(G106,'Internal Cost Model'!$B$6:$F$15,5,FALSE)</f>
        <v/>
      </c>
      <c r="J106" s="24">
        <f>I106*VLOOKUP(F106,Assumptions!$B$43:$C$45,2,FALSE)</f>
        <v/>
      </c>
    </row>
    <row r="107">
      <c r="B107" s="7" t="inlineStr">
        <is>
          <t>ROL-102</t>
        </is>
      </c>
      <c r="C107" s="11" t="inlineStr">
        <is>
          <t>Cloud</t>
        </is>
      </c>
      <c r="D107" s="7" t="inlineStr">
        <is>
          <t>GCP Architect</t>
        </is>
      </c>
      <c r="E107" s="11" t="inlineStr">
        <is>
          <t>GCP</t>
        </is>
      </c>
      <c r="F107" s="21" t="inlineStr">
        <is>
          <t>Medium</t>
        </is>
      </c>
      <c r="G107" s="11" t="inlineStr">
        <is>
          <t>Lead</t>
        </is>
      </c>
      <c r="H107" s="11" t="inlineStr">
        <is>
          <t>Director</t>
        </is>
      </c>
      <c r="I107" s="23">
        <f>VLOOKUP(G107,'Internal Cost Model'!$B$6:$F$15,5,FALSE)</f>
        <v/>
      </c>
      <c r="J107" s="24">
        <f>I107*VLOOKUP(F107,Assumptions!$B$43:$C$45,2,FALSE)</f>
        <v/>
      </c>
    </row>
    <row r="108">
      <c r="B108" s="7" t="inlineStr">
        <is>
          <t>ROL-103</t>
        </is>
      </c>
      <c r="C108" s="11" t="inlineStr">
        <is>
          <t>Cloud</t>
        </is>
      </c>
      <c r="D108" s="7" t="inlineStr">
        <is>
          <t>Platform Architect</t>
        </is>
      </c>
      <c r="E108" s="11" t="inlineStr">
        <is>
          <t>Platform Engineering</t>
        </is>
      </c>
      <c r="F108" s="21" t="inlineStr">
        <is>
          <t>High</t>
        </is>
      </c>
      <c r="G108" s="11" t="inlineStr">
        <is>
          <t>Lead</t>
        </is>
      </c>
      <c r="H108" s="11" t="inlineStr">
        <is>
          <t>Director</t>
        </is>
      </c>
      <c r="I108" s="23">
        <f>VLOOKUP(G108,'Internal Cost Model'!$B$6:$F$15,5,FALSE)</f>
        <v/>
      </c>
      <c r="J108" s="24">
        <f>I108*VLOOKUP(F108,Assumptions!$B$43:$C$45,2,FALSE)</f>
        <v/>
      </c>
    </row>
    <row r="109">
      <c r="B109" s="7" t="inlineStr">
        <is>
          <t>ROL-104</t>
        </is>
      </c>
      <c r="C109" s="11" t="inlineStr">
        <is>
          <t>Cloud</t>
        </is>
      </c>
      <c r="D109" s="7" t="inlineStr">
        <is>
          <t>Platform Engineer</t>
        </is>
      </c>
      <c r="E109" s="11" t="inlineStr">
        <is>
          <t>Platform Engineering</t>
        </is>
      </c>
      <c r="F109" s="21" t="inlineStr">
        <is>
          <t>High</t>
        </is>
      </c>
      <c r="G109" s="11" t="inlineStr">
        <is>
          <t>Intermediate</t>
        </is>
      </c>
      <c r="H109" s="11" t="inlineStr">
        <is>
          <t>Senior</t>
        </is>
      </c>
      <c r="I109" s="23">
        <f>VLOOKUP(G109,'Internal Cost Model'!$B$6:$F$15,5,FALSE)</f>
        <v/>
      </c>
      <c r="J109" s="24">
        <f>I109*VLOOKUP(F109,Assumptions!$B$43:$C$45,2,FALSE)</f>
        <v/>
      </c>
    </row>
    <row r="110">
      <c r="B110" s="7" t="inlineStr">
        <is>
          <t>ROL-105</t>
        </is>
      </c>
      <c r="C110" s="11" t="inlineStr">
        <is>
          <t>Cloud</t>
        </is>
      </c>
      <c r="D110" s="7" t="inlineStr">
        <is>
          <t>DevOps Architect</t>
        </is>
      </c>
      <c r="E110" s="11" t="inlineStr">
        <is>
          <t>DevOps</t>
        </is>
      </c>
      <c r="F110" s="21" t="inlineStr">
        <is>
          <t>High</t>
        </is>
      </c>
      <c r="G110" s="11" t="inlineStr">
        <is>
          <t>Lead</t>
        </is>
      </c>
      <c r="H110" s="11" t="inlineStr">
        <is>
          <t>Senior Manager</t>
        </is>
      </c>
      <c r="I110" s="23">
        <f>VLOOKUP(G110,'Internal Cost Model'!$B$6:$F$15,5,FALSE)</f>
        <v/>
      </c>
      <c r="J110" s="24">
        <f>I110*VLOOKUP(F110,Assumptions!$B$43:$C$45,2,FALSE)</f>
        <v/>
      </c>
    </row>
    <row r="111">
      <c r="B111" s="7" t="inlineStr">
        <is>
          <t>ROL-106</t>
        </is>
      </c>
      <c r="C111" s="11" t="inlineStr">
        <is>
          <t>Cloud</t>
        </is>
      </c>
      <c r="D111" s="7" t="inlineStr">
        <is>
          <t>DevOps Engineer</t>
        </is>
      </c>
      <c r="E111" s="11" t="inlineStr">
        <is>
          <t>DevOps</t>
        </is>
      </c>
      <c r="F111" s="21" t="inlineStr">
        <is>
          <t>High</t>
        </is>
      </c>
      <c r="G111" s="11" t="inlineStr">
        <is>
          <t>Intermediate</t>
        </is>
      </c>
      <c r="H111" s="11" t="inlineStr">
        <is>
          <t>Senior</t>
        </is>
      </c>
      <c r="I111" s="23">
        <f>VLOOKUP(G111,'Internal Cost Model'!$B$6:$F$15,5,FALSE)</f>
        <v/>
      </c>
      <c r="J111" s="24">
        <f>I111*VLOOKUP(F111,Assumptions!$B$43:$C$45,2,FALSE)</f>
        <v/>
      </c>
    </row>
    <row r="112">
      <c r="B112" s="7" t="inlineStr">
        <is>
          <t>ROL-107</t>
        </is>
      </c>
      <c r="C112" s="11" t="inlineStr">
        <is>
          <t>Cloud</t>
        </is>
      </c>
      <c r="D112" s="7" t="inlineStr">
        <is>
          <t>SRE Architect</t>
        </is>
      </c>
      <c r="E112" s="11" t="inlineStr">
        <is>
          <t>SRE</t>
        </is>
      </c>
      <c r="F112" s="21" t="inlineStr">
        <is>
          <t>High</t>
        </is>
      </c>
      <c r="G112" s="11" t="inlineStr">
        <is>
          <t>Lead</t>
        </is>
      </c>
      <c r="H112" s="11" t="inlineStr">
        <is>
          <t>Senior Manager</t>
        </is>
      </c>
      <c r="I112" s="23">
        <f>VLOOKUP(G112,'Internal Cost Model'!$B$6:$F$15,5,FALSE)</f>
        <v/>
      </c>
      <c r="J112" s="24">
        <f>I112*VLOOKUP(F112,Assumptions!$B$43:$C$45,2,FALSE)</f>
        <v/>
      </c>
    </row>
    <row r="113">
      <c r="B113" s="7" t="inlineStr">
        <is>
          <t>ROL-108</t>
        </is>
      </c>
      <c r="C113" s="11" t="inlineStr">
        <is>
          <t>Infrastructure</t>
        </is>
      </c>
      <c r="D113" s="7" t="inlineStr">
        <is>
          <t>Infrastructure Architect</t>
        </is>
      </c>
      <c r="E113" s="11" t="inlineStr">
        <is>
          <t>Compute</t>
        </is>
      </c>
      <c r="F113" s="21" t="inlineStr">
        <is>
          <t>Medium</t>
        </is>
      </c>
      <c r="G113" s="11" t="inlineStr">
        <is>
          <t>Lead</t>
        </is>
      </c>
      <c r="H113" s="11" t="inlineStr">
        <is>
          <t>Director</t>
        </is>
      </c>
      <c r="I113" s="23">
        <f>VLOOKUP(G113,'Internal Cost Model'!$B$6:$F$15,5,FALSE)</f>
        <v/>
      </c>
      <c r="J113" s="24">
        <f>I113*VLOOKUP(F113,Assumptions!$B$43:$C$45,2,FALSE)</f>
        <v/>
      </c>
    </row>
    <row r="114">
      <c r="B114" s="7" t="inlineStr">
        <is>
          <t>ROL-109</t>
        </is>
      </c>
      <c r="C114" s="11" t="inlineStr">
        <is>
          <t>Infrastructure</t>
        </is>
      </c>
      <c r="D114" s="7" t="inlineStr">
        <is>
          <t>Network Architect</t>
        </is>
      </c>
      <c r="E114" s="11" t="inlineStr">
        <is>
          <t>Network</t>
        </is>
      </c>
      <c r="F114" s="21" t="inlineStr">
        <is>
          <t>Medium</t>
        </is>
      </c>
      <c r="G114" s="11" t="inlineStr">
        <is>
          <t>Lead</t>
        </is>
      </c>
      <c r="H114" s="11" t="inlineStr">
        <is>
          <t>Senior Manager</t>
        </is>
      </c>
      <c r="I114" s="23">
        <f>VLOOKUP(G114,'Internal Cost Model'!$B$6:$F$15,5,FALSE)</f>
        <v/>
      </c>
      <c r="J114" s="24">
        <f>I114*VLOOKUP(F114,Assumptions!$B$43:$C$45,2,FALSE)</f>
        <v/>
      </c>
    </row>
    <row r="115">
      <c r="B115" s="7" t="inlineStr">
        <is>
          <t>ROL-110</t>
        </is>
      </c>
      <c r="C115" s="11" t="inlineStr">
        <is>
          <t>Infrastructure</t>
        </is>
      </c>
      <c r="D115" s="7" t="inlineStr">
        <is>
          <t>Storage Engineer</t>
        </is>
      </c>
      <c r="E115" s="11" t="inlineStr">
        <is>
          <t>Storage</t>
        </is>
      </c>
      <c r="F115" s="21" t="inlineStr">
        <is>
          <t>Medium</t>
        </is>
      </c>
      <c r="G115" s="11" t="inlineStr">
        <is>
          <t>Intermediate</t>
        </is>
      </c>
      <c r="H115" s="11" t="inlineStr">
        <is>
          <t>Senior</t>
        </is>
      </c>
      <c r="I115" s="23">
        <f>VLOOKUP(G115,'Internal Cost Model'!$B$6:$F$15,5,FALSE)</f>
        <v/>
      </c>
      <c r="J115" s="24">
        <f>I115*VLOOKUP(F115,Assumptions!$B$43:$C$45,2,FALSE)</f>
        <v/>
      </c>
    </row>
    <row r="116">
      <c r="B116" s="7" t="inlineStr">
        <is>
          <t>ROL-111</t>
        </is>
      </c>
      <c r="C116" s="11" t="inlineStr">
        <is>
          <t>Infrastructure</t>
        </is>
      </c>
      <c r="D116" s="7" t="inlineStr">
        <is>
          <t>Identity Architect</t>
        </is>
      </c>
      <c r="E116" s="11" t="inlineStr">
        <is>
          <t>Identity</t>
        </is>
      </c>
      <c r="F116" s="21" t="inlineStr">
        <is>
          <t>High</t>
        </is>
      </c>
      <c r="G116" s="11" t="inlineStr">
        <is>
          <t>Lead</t>
        </is>
      </c>
      <c r="H116" s="11" t="inlineStr">
        <is>
          <t>Senior Manager</t>
        </is>
      </c>
      <c r="I116" s="23">
        <f>VLOOKUP(G116,'Internal Cost Model'!$B$6:$F$15,5,FALSE)</f>
        <v/>
      </c>
      <c r="J116" s="24">
        <f>I116*VLOOKUP(F116,Assumptions!$B$43:$C$45,2,FALSE)</f>
        <v/>
      </c>
    </row>
    <row r="117">
      <c r="B117" s="7" t="inlineStr">
        <is>
          <t>ROL-112</t>
        </is>
      </c>
      <c r="C117" s="11" t="inlineStr">
        <is>
          <t>Cybersecurity</t>
        </is>
      </c>
      <c r="D117" s="7" t="inlineStr">
        <is>
          <t>IAM Architect</t>
        </is>
      </c>
      <c r="E117" s="11" t="inlineStr">
        <is>
          <t>IAM</t>
        </is>
      </c>
      <c r="F117" s="21" t="inlineStr">
        <is>
          <t>High</t>
        </is>
      </c>
      <c r="G117" s="11" t="inlineStr">
        <is>
          <t>Lead</t>
        </is>
      </c>
      <c r="H117" s="11" t="inlineStr">
        <is>
          <t>Director</t>
        </is>
      </c>
      <c r="I117" s="23">
        <f>VLOOKUP(G117,'Internal Cost Model'!$B$6:$F$15,5,FALSE)</f>
        <v/>
      </c>
      <c r="J117" s="24">
        <f>I117*VLOOKUP(F117,Assumptions!$B$43:$C$45,2,FALSE)</f>
        <v/>
      </c>
    </row>
    <row r="118">
      <c r="B118" s="7" t="inlineStr">
        <is>
          <t>ROL-113</t>
        </is>
      </c>
      <c r="C118" s="11" t="inlineStr">
        <is>
          <t>Cybersecurity</t>
        </is>
      </c>
      <c r="D118" s="7" t="inlineStr">
        <is>
          <t>SOC Lead</t>
        </is>
      </c>
      <c r="E118" s="11" t="inlineStr">
        <is>
          <t>SOC</t>
        </is>
      </c>
      <c r="F118" s="21" t="inlineStr">
        <is>
          <t>High</t>
        </is>
      </c>
      <c r="G118" s="11" t="inlineStr">
        <is>
          <t>Lead</t>
        </is>
      </c>
      <c r="H118" s="11" t="inlineStr">
        <is>
          <t>Senior Manager</t>
        </is>
      </c>
      <c r="I118" s="23">
        <f>VLOOKUP(G118,'Internal Cost Model'!$B$6:$F$15,5,FALSE)</f>
        <v/>
      </c>
      <c r="J118" s="24">
        <f>I118*VLOOKUP(F118,Assumptions!$B$43:$C$45,2,FALSE)</f>
        <v/>
      </c>
    </row>
    <row r="119">
      <c r="B119" s="7" t="inlineStr">
        <is>
          <t>ROL-114</t>
        </is>
      </c>
      <c r="C119" s="11" t="inlineStr">
        <is>
          <t>Cybersecurity</t>
        </is>
      </c>
      <c r="D119" s="7" t="inlineStr">
        <is>
          <t>SOC Analyst</t>
        </is>
      </c>
      <c r="E119" s="11" t="inlineStr">
        <is>
          <t>SOC</t>
        </is>
      </c>
      <c r="F119" s="21" t="inlineStr">
        <is>
          <t>Medium</t>
        </is>
      </c>
      <c r="G119" s="11" t="inlineStr">
        <is>
          <t>Junior</t>
        </is>
      </c>
      <c r="H119" s="11" t="inlineStr">
        <is>
          <t>Senior</t>
        </is>
      </c>
      <c r="I119" s="23">
        <f>VLOOKUP(G119,'Internal Cost Model'!$B$6:$F$15,5,FALSE)</f>
        <v/>
      </c>
      <c r="J119" s="24">
        <f>I119*VLOOKUP(F119,Assumptions!$B$43:$C$45,2,FALSE)</f>
        <v/>
      </c>
    </row>
    <row r="120">
      <c r="B120" s="7" t="inlineStr">
        <is>
          <t>ROL-115</t>
        </is>
      </c>
      <c r="C120" s="11" t="inlineStr">
        <is>
          <t>Cybersecurity</t>
        </is>
      </c>
      <c r="D120" s="7" t="inlineStr">
        <is>
          <t>GRC Lead</t>
        </is>
      </c>
      <c r="E120" s="11" t="inlineStr">
        <is>
          <t>GRC</t>
        </is>
      </c>
      <c r="F120" s="21" t="inlineStr">
        <is>
          <t>High</t>
        </is>
      </c>
      <c r="G120" s="11" t="inlineStr">
        <is>
          <t>Manager</t>
        </is>
      </c>
      <c r="H120" s="11" t="inlineStr">
        <is>
          <t>Director</t>
        </is>
      </c>
      <c r="I120" s="23">
        <f>VLOOKUP(G120,'Internal Cost Model'!$B$6:$F$15,5,FALSE)</f>
        <v/>
      </c>
      <c r="J120" s="24">
        <f>I120*VLOOKUP(F120,Assumptions!$B$43:$C$45,2,FALSE)</f>
        <v/>
      </c>
    </row>
    <row r="121">
      <c r="B121" s="7" t="inlineStr">
        <is>
          <t>ROL-116</t>
        </is>
      </c>
      <c r="C121" s="11" t="inlineStr">
        <is>
          <t>Cybersecurity</t>
        </is>
      </c>
      <c r="D121" s="7" t="inlineStr">
        <is>
          <t>Application Security Engineer</t>
        </is>
      </c>
      <c r="E121" s="11" t="inlineStr">
        <is>
          <t>Application Security</t>
        </is>
      </c>
      <c r="F121" s="21" t="inlineStr">
        <is>
          <t>High</t>
        </is>
      </c>
      <c r="G121" s="11" t="inlineStr">
        <is>
          <t>Senior</t>
        </is>
      </c>
      <c r="H121" s="11" t="inlineStr">
        <is>
          <t>Lead</t>
        </is>
      </c>
      <c r="I121" s="23">
        <f>VLOOKUP(G121,'Internal Cost Model'!$B$6:$F$15,5,FALSE)</f>
        <v/>
      </c>
      <c r="J121" s="24">
        <f>I121*VLOOKUP(F121,Assumptions!$B$43:$C$45,2,FALSE)</f>
        <v/>
      </c>
    </row>
    <row r="122">
      <c r="B122" s="7" t="inlineStr">
        <is>
          <t>ROL-117</t>
        </is>
      </c>
      <c r="C122" s="11" t="inlineStr">
        <is>
          <t>Cybersecurity</t>
        </is>
      </c>
      <c r="D122" s="7" t="inlineStr">
        <is>
          <t>Threat &amp; Vuln Analyst</t>
        </is>
      </c>
      <c r="E122" s="11" t="inlineStr">
        <is>
          <t>Threat &amp; Vuln Mgmt</t>
        </is>
      </c>
      <c r="F122" s="21" t="inlineStr">
        <is>
          <t>High</t>
        </is>
      </c>
      <c r="G122" s="11" t="inlineStr">
        <is>
          <t>Intermediate</t>
        </is>
      </c>
      <c r="H122" s="11" t="inlineStr">
        <is>
          <t>Senior</t>
        </is>
      </c>
      <c r="I122" s="23">
        <f>VLOOKUP(G122,'Internal Cost Model'!$B$6:$F$15,5,FALSE)</f>
        <v/>
      </c>
      <c r="J122" s="24">
        <f>I122*VLOOKUP(F122,Assumptions!$B$43:$C$45,2,FALSE)</f>
        <v/>
      </c>
    </row>
    <row r="123">
      <c r="B123" s="7" t="inlineStr">
        <is>
          <t>ROL-118</t>
        </is>
      </c>
      <c r="C123" s="11" t="inlineStr">
        <is>
          <t>Quality Engineering</t>
        </is>
      </c>
      <c r="D123" s="7" t="inlineStr">
        <is>
          <t>QA Architect</t>
        </is>
      </c>
      <c r="E123" s="11" t="inlineStr">
        <is>
          <t>Test Strategy</t>
        </is>
      </c>
      <c r="F123" s="21" t="inlineStr">
        <is>
          <t>Medium</t>
        </is>
      </c>
      <c r="G123" s="11" t="inlineStr">
        <is>
          <t>Lead</t>
        </is>
      </c>
      <c r="H123" s="11" t="inlineStr">
        <is>
          <t>Director</t>
        </is>
      </c>
      <c r="I123" s="23">
        <f>VLOOKUP(G123,'Internal Cost Model'!$B$6:$F$15,5,FALSE)</f>
        <v/>
      </c>
      <c r="J123" s="24">
        <f>I123*VLOOKUP(F123,Assumptions!$B$43:$C$45,2,FALSE)</f>
        <v/>
      </c>
    </row>
    <row r="124">
      <c r="B124" s="7" t="inlineStr">
        <is>
          <t>ROL-119</t>
        </is>
      </c>
      <c r="C124" s="11" t="inlineStr">
        <is>
          <t>Quality Engineering</t>
        </is>
      </c>
      <c r="D124" s="7" t="inlineStr">
        <is>
          <t>Automation Architect</t>
        </is>
      </c>
      <c r="E124" s="11" t="inlineStr">
        <is>
          <t>Test Automation</t>
        </is>
      </c>
      <c r="F124" s="21" t="inlineStr">
        <is>
          <t>High</t>
        </is>
      </c>
      <c r="G124" s="11" t="inlineStr">
        <is>
          <t>Lead</t>
        </is>
      </c>
      <c r="H124" s="11" t="inlineStr">
        <is>
          <t>Senior Manager</t>
        </is>
      </c>
      <c r="I124" s="23">
        <f>VLOOKUP(G124,'Internal Cost Model'!$B$6:$F$15,5,FALSE)</f>
        <v/>
      </c>
      <c r="J124" s="24">
        <f>I124*VLOOKUP(F124,Assumptions!$B$43:$C$45,2,FALSE)</f>
        <v/>
      </c>
    </row>
    <row r="125">
      <c r="B125" s="7" t="inlineStr">
        <is>
          <t>ROL-120</t>
        </is>
      </c>
      <c r="C125" s="11" t="inlineStr">
        <is>
          <t>Quality Engineering</t>
        </is>
      </c>
      <c r="D125" s="7" t="inlineStr">
        <is>
          <t>Automation Engineer</t>
        </is>
      </c>
      <c r="E125" s="11" t="inlineStr">
        <is>
          <t>Test Automation</t>
        </is>
      </c>
      <c r="F125" s="21" t="inlineStr">
        <is>
          <t>Medium</t>
        </is>
      </c>
      <c r="G125" s="11" t="inlineStr">
        <is>
          <t>Intermediate</t>
        </is>
      </c>
      <c r="H125" s="11" t="inlineStr">
        <is>
          <t>Senior</t>
        </is>
      </c>
      <c r="I125" s="23">
        <f>VLOOKUP(G125,'Internal Cost Model'!$B$6:$F$15,5,FALSE)</f>
        <v/>
      </c>
      <c r="J125" s="24">
        <f>I125*VLOOKUP(F125,Assumptions!$B$43:$C$45,2,FALSE)</f>
        <v/>
      </c>
    </row>
    <row r="126">
      <c r="B126" s="7" t="inlineStr">
        <is>
          <t>ROL-121</t>
        </is>
      </c>
      <c r="C126" s="11" t="inlineStr">
        <is>
          <t>Quality Engineering</t>
        </is>
      </c>
      <c r="D126" s="7" t="inlineStr">
        <is>
          <t>Performance Architect</t>
        </is>
      </c>
      <c r="E126" s="11" t="inlineStr">
        <is>
          <t>Performance Testing</t>
        </is>
      </c>
      <c r="F126" s="21" t="inlineStr">
        <is>
          <t>Medium</t>
        </is>
      </c>
      <c r="G126" s="11" t="inlineStr">
        <is>
          <t>Lead</t>
        </is>
      </c>
      <c r="H126" s="11" t="inlineStr">
        <is>
          <t>Senior Manager</t>
        </is>
      </c>
      <c r="I126" s="23">
        <f>VLOOKUP(G126,'Internal Cost Model'!$B$6:$F$15,5,FALSE)</f>
        <v/>
      </c>
      <c r="J126" s="24">
        <f>I126*VLOOKUP(F126,Assumptions!$B$43:$C$45,2,FALSE)</f>
        <v/>
      </c>
    </row>
    <row r="127">
      <c r="B127" s="7" t="inlineStr">
        <is>
          <t>ROL-122</t>
        </is>
      </c>
      <c r="C127" s="11" t="inlineStr">
        <is>
          <t>Quality Engineering</t>
        </is>
      </c>
      <c r="D127" s="7" t="inlineStr">
        <is>
          <t>Security Testing Architect</t>
        </is>
      </c>
      <c r="E127" s="11" t="inlineStr">
        <is>
          <t>Security Testing</t>
        </is>
      </c>
      <c r="F127" s="21" t="inlineStr">
        <is>
          <t>High</t>
        </is>
      </c>
      <c r="G127" s="11" t="inlineStr">
        <is>
          <t>Lead</t>
        </is>
      </c>
      <c r="H127" s="11" t="inlineStr">
        <is>
          <t>Senior Manager</t>
        </is>
      </c>
      <c r="I127" s="23">
        <f>VLOOKUP(G127,'Internal Cost Model'!$B$6:$F$15,5,FALSE)</f>
        <v/>
      </c>
      <c r="J127" s="24">
        <f>I127*VLOOKUP(F127,Assumptions!$B$43:$C$45,2,FALSE)</f>
        <v/>
      </c>
    </row>
    <row r="128">
      <c r="B128" s="7" t="inlineStr">
        <is>
          <t>ROL-123</t>
        </is>
      </c>
      <c r="C128" s="11" t="inlineStr">
        <is>
          <t>Operations</t>
        </is>
      </c>
      <c r="D128" s="7" t="inlineStr">
        <is>
          <t>Service Operations Lead</t>
        </is>
      </c>
      <c r="E128" s="11" t="inlineStr">
        <is>
          <t>Service Operations</t>
        </is>
      </c>
      <c r="F128" s="21" t="inlineStr">
        <is>
          <t>Low</t>
        </is>
      </c>
      <c r="G128" s="11" t="inlineStr">
        <is>
          <t>Lead</t>
        </is>
      </c>
      <c r="H128" s="11" t="inlineStr">
        <is>
          <t>Senior Manager</t>
        </is>
      </c>
      <c r="I128" s="23">
        <f>VLOOKUP(G128,'Internal Cost Model'!$B$6:$F$15,5,FALSE)</f>
        <v/>
      </c>
      <c r="J128" s="24">
        <f>I128*VLOOKUP(F128,Assumptions!$B$43:$C$45,2,FALSE)</f>
        <v/>
      </c>
    </row>
    <row r="129">
      <c r="B129" s="7" t="inlineStr">
        <is>
          <t>ROL-124</t>
        </is>
      </c>
      <c r="C129" s="11" t="inlineStr">
        <is>
          <t>Operations</t>
        </is>
      </c>
      <c r="D129" s="7" t="inlineStr">
        <is>
          <t>Observability Engineer</t>
        </is>
      </c>
      <c r="E129" s="11" t="inlineStr">
        <is>
          <t>Monitoring &amp; Observability</t>
        </is>
      </c>
      <c r="F129" s="21" t="inlineStr">
        <is>
          <t>Medium</t>
        </is>
      </c>
      <c r="G129" s="11" t="inlineStr">
        <is>
          <t>Senior</t>
        </is>
      </c>
      <c r="H129" s="11" t="inlineStr">
        <is>
          <t>Lead</t>
        </is>
      </c>
      <c r="I129" s="23">
        <f>VLOOKUP(G129,'Internal Cost Model'!$B$6:$F$15,5,FALSE)</f>
        <v/>
      </c>
      <c r="J129" s="24">
        <f>I129*VLOOKUP(F129,Assumptions!$B$43:$C$45,2,FALSE)</f>
        <v/>
      </c>
    </row>
    <row r="130">
      <c r="B130" s="7" t="inlineStr">
        <is>
          <t>ROL-125</t>
        </is>
      </c>
      <c r="C130" s="11" t="inlineStr">
        <is>
          <t>Operations</t>
        </is>
      </c>
      <c r="D130" s="7" t="inlineStr">
        <is>
          <t>Site Reliability Engineer</t>
        </is>
      </c>
      <c r="E130" s="11" t="inlineStr">
        <is>
          <t>Site Reliability</t>
        </is>
      </c>
      <c r="F130" s="21" t="inlineStr">
        <is>
          <t>High</t>
        </is>
      </c>
      <c r="G130" s="11" t="inlineStr">
        <is>
          <t>Senior</t>
        </is>
      </c>
      <c r="H130" s="11" t="inlineStr">
        <is>
          <t>Lead</t>
        </is>
      </c>
      <c r="I130" s="23">
        <f>VLOOKUP(G130,'Internal Cost Model'!$B$6:$F$15,5,FALSE)</f>
        <v/>
      </c>
      <c r="J130" s="24">
        <f>I130*VLOOKUP(F130,Assumptions!$B$43:$C$45,2,FALSE)</f>
        <v/>
      </c>
    </row>
    <row r="131">
      <c r="B131" s="7" t="inlineStr">
        <is>
          <t>ROL-126</t>
        </is>
      </c>
      <c r="C131" s="11" t="inlineStr">
        <is>
          <t>Managed Services</t>
        </is>
      </c>
      <c r="D131" s="7" t="inlineStr">
        <is>
          <t>AMS Delivery Manager</t>
        </is>
      </c>
      <c r="E131" s="11" t="inlineStr">
        <is>
          <t>AMS L3</t>
        </is>
      </c>
      <c r="F131" s="21" t="inlineStr">
        <is>
          <t>Medium</t>
        </is>
      </c>
      <c r="G131" s="11" t="inlineStr">
        <is>
          <t>Manager</t>
        </is>
      </c>
      <c r="H131" s="11" t="inlineStr">
        <is>
          <t>Director</t>
        </is>
      </c>
      <c r="I131" s="23">
        <f>VLOOKUP(G131,'Internal Cost Model'!$B$6:$F$15,5,FALSE)</f>
        <v/>
      </c>
      <c r="J131" s="24">
        <f>I131*VLOOKUP(F131,Assumptions!$B$43:$C$45,2,FALSE)</f>
        <v/>
      </c>
    </row>
    <row r="132">
      <c r="B132" s="7" t="inlineStr">
        <is>
          <t>ROL-127</t>
        </is>
      </c>
      <c r="C132" s="11" t="inlineStr">
        <is>
          <t>Managed Services</t>
        </is>
      </c>
      <c r="D132" s="7" t="inlineStr">
        <is>
          <t>L3 Support Engineer</t>
        </is>
      </c>
      <c r="E132" s="11" t="inlineStr">
        <is>
          <t>AMS L3</t>
        </is>
      </c>
      <c r="F132" s="21" t="inlineStr">
        <is>
          <t>High</t>
        </is>
      </c>
      <c r="G132" s="11" t="inlineStr">
        <is>
          <t>Senior</t>
        </is>
      </c>
      <c r="H132" s="11" t="inlineStr">
        <is>
          <t>Lead</t>
        </is>
      </c>
      <c r="I132" s="23">
        <f>VLOOKUP(G132,'Internal Cost Model'!$B$6:$F$15,5,FALSE)</f>
        <v/>
      </c>
      <c r="J132" s="24">
        <f>I132*VLOOKUP(F132,Assumptions!$B$43:$C$45,2,FALSE)</f>
        <v/>
      </c>
    </row>
    <row r="133">
      <c r="B133" s="7" t="inlineStr">
        <is>
          <t>ROL-128</t>
        </is>
      </c>
      <c r="C133" s="11" t="inlineStr">
        <is>
          <t>Managed Services</t>
        </is>
      </c>
      <c r="D133" s="7" t="inlineStr">
        <is>
          <t>L2 Support Engineer</t>
        </is>
      </c>
      <c r="E133" s="11" t="inlineStr">
        <is>
          <t>AMS L2</t>
        </is>
      </c>
      <c r="F133" s="21" t="inlineStr">
        <is>
          <t>Medium</t>
        </is>
      </c>
      <c r="G133" s="11" t="inlineStr">
        <is>
          <t>Intermediate</t>
        </is>
      </c>
      <c r="H133" s="11" t="inlineStr">
        <is>
          <t>Senior</t>
        </is>
      </c>
      <c r="I133" s="23">
        <f>VLOOKUP(G133,'Internal Cost Model'!$B$6:$F$15,5,FALSE)</f>
        <v/>
      </c>
      <c r="J133" s="24">
        <f>I133*VLOOKUP(F133,Assumptions!$B$43:$C$45,2,FALSE)</f>
        <v/>
      </c>
    </row>
    <row r="134">
      <c r="B134" s="7" t="inlineStr">
        <is>
          <t>ROL-129</t>
        </is>
      </c>
      <c r="C134" s="11" t="inlineStr">
        <is>
          <t>Managed Services</t>
        </is>
      </c>
      <c r="D134" s="7" t="inlineStr">
        <is>
          <t>L1 Support Analyst</t>
        </is>
      </c>
      <c r="E134" s="11" t="inlineStr">
        <is>
          <t>AMS L1</t>
        </is>
      </c>
      <c r="F134" s="21" t="inlineStr">
        <is>
          <t>Low</t>
        </is>
      </c>
      <c r="G134" s="11" t="inlineStr">
        <is>
          <t>Junior</t>
        </is>
      </c>
      <c r="H134" s="11" t="inlineStr">
        <is>
          <t>Intermediate</t>
        </is>
      </c>
      <c r="I134" s="23">
        <f>VLOOKUP(G134,'Internal Cost Model'!$B$6:$F$15,5,FALSE)</f>
        <v/>
      </c>
      <c r="J134" s="24">
        <f>I134*VLOOKUP(F134,Assumptions!$B$43:$C$45,2,FALSE)</f>
        <v/>
      </c>
    </row>
    <row r="135">
      <c r="B135" s="7" t="inlineStr">
        <is>
          <t>ROL-130</t>
        </is>
      </c>
      <c r="C135" s="11" t="inlineStr">
        <is>
          <t>Legacy &amp; Mainframe</t>
        </is>
      </c>
      <c r="D135" s="7" t="inlineStr">
        <is>
          <t>Mainframe Architect</t>
        </is>
      </c>
      <c r="E135" s="11" t="inlineStr">
        <is>
          <t>Mainframe</t>
        </is>
      </c>
      <c r="F135" s="21" t="inlineStr">
        <is>
          <t>High</t>
        </is>
      </c>
      <c r="G135" s="11" t="inlineStr">
        <is>
          <t>Lead</t>
        </is>
      </c>
      <c r="H135" s="11" t="inlineStr">
        <is>
          <t>Director</t>
        </is>
      </c>
      <c r="I135" s="23">
        <f>VLOOKUP(G135,'Internal Cost Model'!$B$6:$F$15,5,FALSE)</f>
        <v/>
      </c>
      <c r="J135" s="24">
        <f>I135*VLOOKUP(F135,Assumptions!$B$43:$C$45,2,FALSE)</f>
        <v/>
      </c>
    </row>
    <row r="136">
      <c r="B136" s="7" t="inlineStr">
        <is>
          <t>ROL-131</t>
        </is>
      </c>
      <c r="C136" s="11" t="inlineStr">
        <is>
          <t>Legacy &amp; Mainframe</t>
        </is>
      </c>
      <c r="D136" s="7" t="inlineStr">
        <is>
          <t>COBOL Architect</t>
        </is>
      </c>
      <c r="E136" s="11" t="inlineStr">
        <is>
          <t>COBOL</t>
        </is>
      </c>
      <c r="F136" s="21" t="inlineStr">
        <is>
          <t>High</t>
        </is>
      </c>
      <c r="G136" s="11" t="inlineStr">
        <is>
          <t>Lead</t>
        </is>
      </c>
      <c r="H136" s="11" t="inlineStr">
        <is>
          <t>Senior Manager</t>
        </is>
      </c>
      <c r="I136" s="23">
        <f>VLOOKUP(G136,'Internal Cost Model'!$B$6:$F$15,5,FALSE)</f>
        <v/>
      </c>
      <c r="J136" s="24">
        <f>I136*VLOOKUP(F136,Assumptions!$B$43:$C$45,2,FALSE)</f>
        <v/>
      </c>
    </row>
    <row r="137">
      <c r="B137" s="7" t="inlineStr">
        <is>
          <t>ROL-132</t>
        </is>
      </c>
      <c r="C137" s="11" t="inlineStr">
        <is>
          <t>Legacy &amp; Mainframe</t>
        </is>
      </c>
      <c r="D137" s="7" t="inlineStr">
        <is>
          <t>COBOL Engineer</t>
        </is>
      </c>
      <c r="E137" s="11" t="inlineStr">
        <is>
          <t>COBOL</t>
        </is>
      </c>
      <c r="F137" s="21" t="inlineStr">
        <is>
          <t>High</t>
        </is>
      </c>
      <c r="G137" s="11" t="inlineStr">
        <is>
          <t>Intermediate</t>
        </is>
      </c>
      <c r="H137" s="11" t="inlineStr">
        <is>
          <t>Senior</t>
        </is>
      </c>
      <c r="I137" s="23">
        <f>VLOOKUP(G137,'Internal Cost Model'!$B$6:$F$15,5,FALSE)</f>
        <v/>
      </c>
      <c r="J137" s="24">
        <f>I137*VLOOKUP(F137,Assumptions!$B$43:$C$45,2,FALSE)</f>
        <v/>
      </c>
    </row>
    <row r="138">
      <c r="B138" s="7" t="inlineStr">
        <is>
          <t>ROL-133</t>
        </is>
      </c>
      <c r="C138" s="11" t="inlineStr">
        <is>
          <t>Legacy &amp; Mainframe</t>
        </is>
      </c>
      <c r="D138" s="7" t="inlineStr">
        <is>
          <t>z/OS Engineer</t>
        </is>
      </c>
      <c r="E138" s="11" t="inlineStr">
        <is>
          <t>z/OS</t>
        </is>
      </c>
      <c r="F138" s="21" t="inlineStr">
        <is>
          <t>High</t>
        </is>
      </c>
      <c r="G138" s="11" t="inlineStr">
        <is>
          <t>Senior</t>
        </is>
      </c>
      <c r="H138" s="11" t="inlineStr">
        <is>
          <t>Lead</t>
        </is>
      </c>
      <c r="I138" s="23">
        <f>VLOOKUP(G138,'Internal Cost Model'!$B$6:$F$15,5,FALSE)</f>
        <v/>
      </c>
      <c r="J138" s="24">
        <f>I138*VLOOKUP(F138,Assumptions!$B$43:$C$45,2,FALSE)</f>
        <v/>
      </c>
    </row>
    <row r="139">
      <c r="B139" s="7" t="inlineStr">
        <is>
          <t>ROL-134</t>
        </is>
      </c>
      <c r="C139" s="11" t="inlineStr">
        <is>
          <t>Change Management</t>
        </is>
      </c>
      <c r="D139" s="7" t="inlineStr">
        <is>
          <t>OCM Lead</t>
        </is>
      </c>
      <c r="E139" s="11" t="inlineStr">
        <is>
          <t>Organizational Change</t>
        </is>
      </c>
      <c r="F139" s="21" t="inlineStr">
        <is>
          <t>Medium</t>
        </is>
      </c>
      <c r="G139" s="11" t="inlineStr">
        <is>
          <t>Manager</t>
        </is>
      </c>
      <c r="H139" s="11" t="inlineStr">
        <is>
          <t>Director</t>
        </is>
      </c>
      <c r="I139" s="23">
        <f>VLOOKUP(G139,'Internal Cost Model'!$B$6:$F$15,5,FALSE)</f>
        <v/>
      </c>
      <c r="J139" s="24">
        <f>I139*VLOOKUP(F139,Assumptions!$B$43:$C$45,2,FALSE)</f>
        <v/>
      </c>
    </row>
    <row r="140">
      <c r="B140" s="7" t="inlineStr">
        <is>
          <t>ROL-135</t>
        </is>
      </c>
      <c r="C140" s="11" t="inlineStr">
        <is>
          <t>Change Management</t>
        </is>
      </c>
      <c r="D140" s="7" t="inlineStr">
        <is>
          <t>Training Lead</t>
        </is>
      </c>
      <c r="E140" s="11" t="inlineStr">
        <is>
          <t>Training</t>
        </is>
      </c>
      <c r="F140" s="21" t="inlineStr">
        <is>
          <t>Low</t>
        </is>
      </c>
      <c r="G140" s="11" t="inlineStr">
        <is>
          <t>Lead</t>
        </is>
      </c>
      <c r="H140" s="11" t="inlineStr">
        <is>
          <t>Senior Manager</t>
        </is>
      </c>
      <c r="I140" s="23">
        <f>VLOOKUP(G140,'Internal Cost Model'!$B$6:$F$15,5,FALSE)</f>
        <v/>
      </c>
      <c r="J140" s="24">
        <f>I140*VLOOKUP(F140,Assumptions!$B$43:$C$45,2,FALSE)</f>
        <v/>
      </c>
    </row>
    <row r="141">
      <c r="B141" s="7" t="inlineStr">
        <is>
          <t>ROL-136</t>
        </is>
      </c>
      <c r="C141" s="11" t="inlineStr">
        <is>
          <t>Change Management</t>
        </is>
      </c>
      <c r="D141" s="7" t="inlineStr">
        <is>
          <t>Communications Lead</t>
        </is>
      </c>
      <c r="E141" s="11" t="inlineStr">
        <is>
          <t>Communications</t>
        </is>
      </c>
      <c r="F141" s="21" t="inlineStr">
        <is>
          <t>Low</t>
        </is>
      </c>
      <c r="G141" s="11" t="inlineStr">
        <is>
          <t>Lead</t>
        </is>
      </c>
      <c r="H141" s="11" t="inlineStr">
        <is>
          <t>Senior Manager</t>
        </is>
      </c>
      <c r="I141" s="23">
        <f>VLOOKUP(G141,'Internal Cost Model'!$B$6:$F$15,5,FALSE)</f>
        <v/>
      </c>
      <c r="J141" s="24">
        <f>I141*VLOOKUP(F141,Assumptions!$B$43:$C$45,2,FALSE)</f>
        <v/>
      </c>
    </row>
    <row r="142">
      <c r="B142" s="7" t="inlineStr">
        <is>
          <t>ROL-137</t>
        </is>
      </c>
      <c r="C142" s="11" t="inlineStr">
        <is>
          <t>Change Management</t>
        </is>
      </c>
      <c r="D142" s="7" t="inlineStr">
        <is>
          <t>Adoption Consultant</t>
        </is>
      </c>
      <c r="E142" s="11" t="inlineStr">
        <is>
          <t>Adoption</t>
        </is>
      </c>
      <c r="F142" s="21" t="inlineStr">
        <is>
          <t>Medium</t>
        </is>
      </c>
      <c r="G142" s="11" t="inlineStr">
        <is>
          <t>Senior</t>
        </is>
      </c>
      <c r="H142" s="11" t="inlineStr">
        <is>
          <t>Manager</t>
        </is>
      </c>
      <c r="I142" s="23">
        <f>VLOOKUP(G142,'Internal Cost Model'!$B$6:$F$15,5,FALSE)</f>
        <v/>
      </c>
      <c r="J142" s="24">
        <f>I142*VLOOKUP(F142,Assumptions!$B$43:$C$45,2,FALSE)</f>
        <v/>
      </c>
    </row>
    <row r="143">
      <c r="B143" s="7" t="inlineStr">
        <is>
          <t>ROL-138</t>
        </is>
      </c>
      <c r="C143" s="11" t="inlineStr">
        <is>
          <t>Program Management</t>
        </is>
      </c>
      <c r="D143" s="7" t="inlineStr">
        <is>
          <t>Program Director</t>
        </is>
      </c>
      <c r="E143" s="11" t="inlineStr">
        <is>
          <t>Program Delivery</t>
        </is>
      </c>
      <c r="F143" s="21" t="inlineStr">
        <is>
          <t>Medium</t>
        </is>
      </c>
      <c r="G143" s="11" t="inlineStr">
        <is>
          <t>Director</t>
        </is>
      </c>
      <c r="H143" s="11" t="inlineStr">
        <is>
          <t>Principal</t>
        </is>
      </c>
      <c r="I143" s="23">
        <f>VLOOKUP(G143,'Internal Cost Model'!$B$6:$F$15,5,FALSE)</f>
        <v/>
      </c>
      <c r="J143" s="24">
        <f>I143*VLOOKUP(F143,Assumptions!$B$43:$C$45,2,FALSE)</f>
        <v/>
      </c>
    </row>
    <row r="144">
      <c r="B144" s="7" t="inlineStr">
        <is>
          <t>ROL-139</t>
        </is>
      </c>
      <c r="C144" s="11" t="inlineStr">
        <is>
          <t>Program Management</t>
        </is>
      </c>
      <c r="D144" s="7" t="inlineStr">
        <is>
          <t>Program Manager</t>
        </is>
      </c>
      <c r="E144" s="11" t="inlineStr">
        <is>
          <t>Program Delivery</t>
        </is>
      </c>
      <c r="F144" s="21" t="inlineStr">
        <is>
          <t>Medium</t>
        </is>
      </c>
      <c r="G144" s="11" t="inlineStr">
        <is>
          <t>Senior Manager</t>
        </is>
      </c>
      <c r="H144" s="11" t="inlineStr">
        <is>
          <t>Director</t>
        </is>
      </c>
      <c r="I144" s="23">
        <f>VLOOKUP(G144,'Internal Cost Model'!$B$6:$F$15,5,FALSE)</f>
        <v/>
      </c>
      <c r="J144" s="24">
        <f>I144*VLOOKUP(F144,Assumptions!$B$43:$C$45,2,FALSE)</f>
        <v/>
      </c>
    </row>
    <row r="145">
      <c r="B145" s="7" t="inlineStr">
        <is>
          <t>ROL-140</t>
        </is>
      </c>
      <c r="C145" s="11" t="inlineStr">
        <is>
          <t>Program Management</t>
        </is>
      </c>
      <c r="D145" s="7" t="inlineStr">
        <is>
          <t>Project Manager</t>
        </is>
      </c>
      <c r="E145" s="11" t="inlineStr">
        <is>
          <t>PMO</t>
        </is>
      </c>
      <c r="F145" s="21" t="inlineStr">
        <is>
          <t>Medium</t>
        </is>
      </c>
      <c r="G145" s="11" t="inlineStr">
        <is>
          <t>Manager</t>
        </is>
      </c>
      <c r="H145" s="11" t="inlineStr">
        <is>
          <t>Senior Manager</t>
        </is>
      </c>
      <c r="I145" s="23">
        <f>VLOOKUP(G145,'Internal Cost Model'!$B$6:$F$15,5,FALSE)</f>
        <v/>
      </c>
      <c r="J145" s="24">
        <f>I145*VLOOKUP(F145,Assumptions!$B$43:$C$45,2,FALSE)</f>
        <v/>
      </c>
    </row>
    <row r="146">
      <c r="B146" s="7" t="inlineStr">
        <is>
          <t>ROL-141</t>
        </is>
      </c>
      <c r="C146" s="11" t="inlineStr">
        <is>
          <t>Program Management</t>
        </is>
      </c>
      <c r="D146" s="7" t="inlineStr">
        <is>
          <t>Scrum Master</t>
        </is>
      </c>
      <c r="E146" s="11" t="inlineStr">
        <is>
          <t>Agile Delivery</t>
        </is>
      </c>
      <c r="F146" s="21" t="inlineStr">
        <is>
          <t>Medium</t>
        </is>
      </c>
      <c r="G146" s="11" t="inlineStr">
        <is>
          <t>Senior</t>
        </is>
      </c>
      <c r="H146" s="11" t="inlineStr">
        <is>
          <t>Manager</t>
        </is>
      </c>
      <c r="I146" s="23">
        <f>VLOOKUP(G146,'Internal Cost Model'!$B$6:$F$15,5,FALSE)</f>
        <v/>
      </c>
      <c r="J146" s="24">
        <f>I146*VLOOKUP(F146,Assumptions!$B$43:$C$45,2,FALSE)</f>
        <v/>
      </c>
    </row>
    <row r="147">
      <c r="B147" s="7" t="inlineStr">
        <is>
          <t>ROL-142</t>
        </is>
      </c>
      <c r="C147" s="11" t="inlineStr">
        <is>
          <t>Program Management</t>
        </is>
      </c>
      <c r="D147" s="7" t="inlineStr">
        <is>
          <t>PMO Analyst</t>
        </is>
      </c>
      <c r="E147" s="11" t="inlineStr">
        <is>
          <t>PMO</t>
        </is>
      </c>
      <c r="F147" s="21" t="inlineStr">
        <is>
          <t>Low</t>
        </is>
      </c>
      <c r="G147" s="11" t="inlineStr">
        <is>
          <t>Junior</t>
        </is>
      </c>
      <c r="H147" s="11" t="inlineStr">
        <is>
          <t>Intermediate</t>
        </is>
      </c>
      <c r="I147" s="23">
        <f>VLOOKUP(G147,'Internal Cost Model'!$B$6:$F$15,5,FALSE)</f>
        <v/>
      </c>
      <c r="J147" s="24">
        <f>I147*VLOOKUP(F147,Assumptions!$B$43:$C$45,2,FALSE)</f>
        <v/>
      </c>
    </row>
    <row r="148">
      <c r="B148" s="7" t="inlineStr">
        <is>
          <t>ROL-143</t>
        </is>
      </c>
      <c r="C148" s="11" t="inlineStr">
        <is>
          <t>Enterprise Architecture</t>
        </is>
      </c>
      <c r="D148" s="7" t="inlineStr">
        <is>
          <t>Chief Architect</t>
        </is>
      </c>
      <c r="E148" s="11" t="inlineStr">
        <is>
          <t>Enterprise Architecture</t>
        </is>
      </c>
      <c r="F148" s="21" t="inlineStr">
        <is>
          <t>High</t>
        </is>
      </c>
      <c r="G148" s="11" t="inlineStr">
        <is>
          <t>Director</t>
        </is>
      </c>
      <c r="H148" s="11" t="inlineStr">
        <is>
          <t>Managing Director</t>
        </is>
      </c>
      <c r="I148" s="23">
        <f>VLOOKUP(G148,'Internal Cost Model'!$B$6:$F$15,5,FALSE)</f>
        <v/>
      </c>
      <c r="J148" s="24">
        <f>I148*VLOOKUP(F148,Assumptions!$B$43:$C$45,2,FALSE)</f>
        <v/>
      </c>
    </row>
    <row r="149">
      <c r="B149" s="7" t="inlineStr">
        <is>
          <t>ROL-144</t>
        </is>
      </c>
      <c r="C149" s="11" t="inlineStr">
        <is>
          <t>Enterprise Architecture</t>
        </is>
      </c>
      <c r="D149" s="7" t="inlineStr">
        <is>
          <t>Enterprise Architect</t>
        </is>
      </c>
      <c r="E149" s="11" t="inlineStr">
        <is>
          <t>Enterprise Architecture</t>
        </is>
      </c>
      <c r="F149" s="21" t="inlineStr">
        <is>
          <t>High</t>
        </is>
      </c>
      <c r="G149" s="11" t="inlineStr">
        <is>
          <t>Director</t>
        </is>
      </c>
      <c r="H149" s="11" t="inlineStr">
        <is>
          <t>Principal</t>
        </is>
      </c>
      <c r="I149" s="23">
        <f>VLOOKUP(G149,'Internal Cost Model'!$B$6:$F$15,5,FALSE)</f>
        <v/>
      </c>
      <c r="J149" s="24">
        <f>I149*VLOOKUP(F149,Assumptions!$B$43:$C$45,2,FALSE)</f>
        <v/>
      </c>
    </row>
    <row r="150">
      <c r="B150" s="7" t="inlineStr">
        <is>
          <t>ROL-145</t>
        </is>
      </c>
      <c r="C150" s="11" t="inlineStr">
        <is>
          <t>Enterprise Architecture</t>
        </is>
      </c>
      <c r="D150" s="7" t="inlineStr">
        <is>
          <t>Solution Architect</t>
        </is>
      </c>
      <c r="E150" s="11" t="inlineStr">
        <is>
          <t>Solution Architecture</t>
        </is>
      </c>
      <c r="F150" s="21" t="inlineStr">
        <is>
          <t>High</t>
        </is>
      </c>
      <c r="G150" s="11" t="inlineStr">
        <is>
          <t>Lead</t>
        </is>
      </c>
      <c r="H150" s="11" t="inlineStr">
        <is>
          <t>Director</t>
        </is>
      </c>
      <c r="I150" s="23">
        <f>VLOOKUP(G150,'Internal Cost Model'!$B$6:$F$15,5,FALSE)</f>
        <v/>
      </c>
      <c r="J150" s="24">
        <f>I150*VLOOKUP(F150,Assumptions!$B$43:$C$45,2,FALSE)</f>
        <v/>
      </c>
    </row>
    <row r="151">
      <c r="B151" s="7" t="inlineStr">
        <is>
          <t>ROL-146</t>
        </is>
      </c>
      <c r="C151" s="11" t="inlineStr">
        <is>
          <t>Enterprise Architecture</t>
        </is>
      </c>
      <c r="D151" s="7" t="inlineStr">
        <is>
          <t>Technical Architect</t>
        </is>
      </c>
      <c r="E151" s="11" t="inlineStr">
        <is>
          <t>Technical Architecture</t>
        </is>
      </c>
      <c r="F151" s="21" t="inlineStr">
        <is>
          <t>High</t>
        </is>
      </c>
      <c r="G151" s="11" t="inlineStr">
        <is>
          <t>Lead</t>
        </is>
      </c>
      <c r="H151" s="11" t="inlineStr">
        <is>
          <t>Senior Manager</t>
        </is>
      </c>
      <c r="I151" s="23">
        <f>VLOOKUP(G151,'Internal Cost Model'!$B$6:$F$15,5,FALSE)</f>
        <v/>
      </c>
      <c r="J151" s="24">
        <f>I151*VLOOKUP(F151,Assumptions!$B$43:$C$45,2,FALSE)</f>
        <v/>
      </c>
    </row>
    <row r="152">
      <c r="B152" s="7" t="inlineStr">
        <is>
          <t>ROL-147</t>
        </is>
      </c>
      <c r="C152" s="11" t="inlineStr">
        <is>
          <t>Strategy &amp; Transformation</t>
        </is>
      </c>
      <c r="D152" s="7" t="inlineStr">
        <is>
          <t>Sourcing Strategy Lead</t>
        </is>
      </c>
      <c r="E152" s="11" t="inlineStr">
        <is>
          <t>Business Case &amp; ROI</t>
        </is>
      </c>
      <c r="F152" s="21" t="inlineStr">
        <is>
          <t>Medium</t>
        </is>
      </c>
      <c r="G152" s="11" t="inlineStr">
        <is>
          <t>Manager</t>
        </is>
      </c>
      <c r="H152" s="11" t="inlineStr">
        <is>
          <t>Director</t>
        </is>
      </c>
      <c r="I152" s="23">
        <f>VLOOKUP(G152,'Internal Cost Model'!$B$6:$F$15,5,FALSE)</f>
        <v/>
      </c>
      <c r="J152" s="24">
        <f>I152*VLOOKUP(F152,Assumptions!$B$43:$C$45,2,FALSE)</f>
        <v/>
      </c>
    </row>
    <row r="153">
      <c r="B153" s="7" t="inlineStr">
        <is>
          <t>ROL-148</t>
        </is>
      </c>
      <c r="C153" s="11" t="inlineStr">
        <is>
          <t>Strategy &amp; Transformation</t>
        </is>
      </c>
      <c r="D153" s="7" t="inlineStr">
        <is>
          <t>Vendor Management Advisor</t>
        </is>
      </c>
      <c r="E153" s="11" t="inlineStr">
        <is>
          <t>Operating Model Design</t>
        </is>
      </c>
      <c r="F153" s="21" t="inlineStr">
        <is>
          <t>Medium</t>
        </is>
      </c>
      <c r="G153" s="11" t="inlineStr">
        <is>
          <t>Senior Manager</t>
        </is>
      </c>
      <c r="H153" s="11" t="inlineStr">
        <is>
          <t>Director</t>
        </is>
      </c>
      <c r="I153" s="23">
        <f>VLOOKUP(G153,'Internal Cost Model'!$B$6:$F$15,5,FALSE)</f>
        <v/>
      </c>
      <c r="J153" s="24">
        <f>I153*VLOOKUP(F153,Assumptions!$B$43:$C$45,2,FALSE)</f>
        <v/>
      </c>
    </row>
    <row r="154">
      <c r="B154" s="7" t="inlineStr">
        <is>
          <t>ROL-149</t>
        </is>
      </c>
      <c r="C154" s="11" t="inlineStr">
        <is>
          <t>Strategy &amp; Transformation</t>
        </is>
      </c>
      <c r="D154" s="7" t="inlineStr">
        <is>
          <t>Cost Optimization Lead</t>
        </is>
      </c>
      <c r="E154" s="11" t="inlineStr">
        <is>
          <t>Business Case &amp; ROI</t>
        </is>
      </c>
      <c r="F154" s="21" t="inlineStr">
        <is>
          <t>Medium</t>
        </is>
      </c>
      <c r="G154" s="11" t="inlineStr">
        <is>
          <t>Manager</t>
        </is>
      </c>
      <c r="H154" s="11" t="inlineStr">
        <is>
          <t>Director</t>
        </is>
      </c>
      <c r="I154" s="23">
        <f>VLOOKUP(G154,'Internal Cost Model'!$B$6:$F$15,5,FALSE)</f>
        <v/>
      </c>
      <c r="J154" s="24">
        <f>I154*VLOOKUP(F154,Assumptions!$B$43:$C$45,2,FALSE)</f>
        <v/>
      </c>
    </row>
    <row r="155">
      <c r="B155" s="7" t="inlineStr">
        <is>
          <t>ROL-150</t>
        </is>
      </c>
      <c r="C155" s="11" t="inlineStr">
        <is>
          <t>Strategy &amp; Transformation</t>
        </is>
      </c>
      <c r="D155" s="7" t="inlineStr">
        <is>
          <t>M&amp;A Integration Lead</t>
        </is>
      </c>
      <c r="E155" s="11" t="inlineStr">
        <is>
          <t>Transformation Strategy</t>
        </is>
      </c>
      <c r="F155" s="21" t="inlineStr">
        <is>
          <t>High</t>
        </is>
      </c>
      <c r="G155" s="11" t="inlineStr">
        <is>
          <t>Senior Manager</t>
        </is>
      </c>
      <c r="H155" s="11" t="inlineStr">
        <is>
          <t>Principal</t>
        </is>
      </c>
      <c r="I155" s="23">
        <f>VLOOKUP(G155,'Internal Cost Model'!$B$6:$F$15,5,FALSE)</f>
        <v/>
      </c>
      <c r="J155" s="24">
        <f>I155*VLOOKUP(F155,Assumptions!$B$43:$C$45,2,FALSE)</f>
        <v/>
      </c>
    </row>
    <row r="156">
      <c r="B156" s="7" t="inlineStr">
        <is>
          <t>ROL-151</t>
        </is>
      </c>
      <c r="C156" s="11" t="inlineStr">
        <is>
          <t>Strategy &amp; Transformation</t>
        </is>
      </c>
      <c r="D156" s="7" t="inlineStr">
        <is>
          <t>Cloud Economics Advisor</t>
        </is>
      </c>
      <c r="E156" s="11" t="inlineStr">
        <is>
          <t>Value Architecture</t>
        </is>
      </c>
      <c r="F156" s="21" t="inlineStr">
        <is>
          <t>Medium</t>
        </is>
      </c>
      <c r="G156" s="11" t="inlineStr">
        <is>
          <t>Manager</t>
        </is>
      </c>
      <c r="H156" s="11" t="inlineStr">
        <is>
          <t>Director</t>
        </is>
      </c>
      <c r="I156" s="23">
        <f>VLOOKUP(G156,'Internal Cost Model'!$B$6:$F$15,5,FALSE)</f>
        <v/>
      </c>
      <c r="J156" s="24">
        <f>I156*VLOOKUP(F156,Assumptions!$B$43:$C$45,2,FALSE)</f>
        <v/>
      </c>
    </row>
    <row r="157">
      <c r="B157" s="7" t="inlineStr">
        <is>
          <t>ROL-152</t>
        </is>
      </c>
      <c r="C157" s="11" t="inlineStr">
        <is>
          <t>Industry SMEs</t>
        </is>
      </c>
      <c r="D157" s="7" t="inlineStr">
        <is>
          <t>Banking Principal SME</t>
        </is>
      </c>
      <c r="E157" s="11" t="inlineStr">
        <is>
          <t>Banking Domain</t>
        </is>
      </c>
      <c r="F157" s="21" t="inlineStr">
        <is>
          <t>High</t>
        </is>
      </c>
      <c r="G157" s="11" t="inlineStr">
        <is>
          <t>Principal</t>
        </is>
      </c>
      <c r="H157" s="11" t="inlineStr">
        <is>
          <t>Managing Director</t>
        </is>
      </c>
      <c r="I157" s="23">
        <f>VLOOKUP(G157,'Internal Cost Model'!$B$6:$F$15,5,FALSE)</f>
        <v/>
      </c>
      <c r="J157" s="24">
        <f>I157*VLOOKUP(F157,Assumptions!$B$43:$C$45,2,FALSE)</f>
        <v/>
      </c>
    </row>
    <row r="158">
      <c r="B158" s="7" t="inlineStr">
        <is>
          <t>ROL-153</t>
        </is>
      </c>
      <c r="C158" s="11" t="inlineStr">
        <is>
          <t>Industry SMEs</t>
        </is>
      </c>
      <c r="D158" s="7" t="inlineStr">
        <is>
          <t>Banking Consultant</t>
        </is>
      </c>
      <c r="E158" s="11" t="inlineStr">
        <is>
          <t>Banking Domain</t>
        </is>
      </c>
      <c r="F158" s="21" t="inlineStr">
        <is>
          <t>Medium</t>
        </is>
      </c>
      <c r="G158" s="11" t="inlineStr">
        <is>
          <t>Senior</t>
        </is>
      </c>
      <c r="H158" s="11" t="inlineStr">
        <is>
          <t>Senior Manager</t>
        </is>
      </c>
      <c r="I158" s="23">
        <f>VLOOKUP(G158,'Internal Cost Model'!$B$6:$F$15,5,FALSE)</f>
        <v/>
      </c>
      <c r="J158" s="24">
        <f>I158*VLOOKUP(F158,Assumptions!$B$43:$C$45,2,FALSE)</f>
        <v/>
      </c>
    </row>
    <row r="159">
      <c r="B159" s="7" t="inlineStr">
        <is>
          <t>ROL-154</t>
        </is>
      </c>
      <c r="C159" s="11" t="inlineStr">
        <is>
          <t>Industry SMEs</t>
        </is>
      </c>
      <c r="D159" s="7" t="inlineStr">
        <is>
          <t>Capital Markets Principal SME</t>
        </is>
      </c>
      <c r="E159" s="11" t="inlineStr">
        <is>
          <t>Capital Markets Domain</t>
        </is>
      </c>
      <c r="F159" s="21" t="inlineStr">
        <is>
          <t>High</t>
        </is>
      </c>
      <c r="G159" s="11" t="inlineStr">
        <is>
          <t>Principal</t>
        </is>
      </c>
      <c r="H159" s="11" t="inlineStr">
        <is>
          <t>Managing Director</t>
        </is>
      </c>
      <c r="I159" s="23">
        <f>VLOOKUP(G159,'Internal Cost Model'!$B$6:$F$15,5,FALSE)</f>
        <v/>
      </c>
      <c r="J159" s="24">
        <f>I159*VLOOKUP(F159,Assumptions!$B$43:$C$45,2,FALSE)</f>
        <v/>
      </c>
    </row>
    <row r="160">
      <c r="B160" s="7" t="inlineStr">
        <is>
          <t>ROL-155</t>
        </is>
      </c>
      <c r="C160" s="11" t="inlineStr">
        <is>
          <t>Industry SMEs</t>
        </is>
      </c>
      <c r="D160" s="7" t="inlineStr">
        <is>
          <t>Capital Markets Consultant</t>
        </is>
      </c>
      <c r="E160" s="11" t="inlineStr">
        <is>
          <t>Capital Markets Domain</t>
        </is>
      </c>
      <c r="F160" s="21" t="inlineStr">
        <is>
          <t>Medium</t>
        </is>
      </c>
      <c r="G160" s="11" t="inlineStr">
        <is>
          <t>Senior</t>
        </is>
      </c>
      <c r="H160" s="11" t="inlineStr">
        <is>
          <t>Senior Manager</t>
        </is>
      </c>
      <c r="I160" s="23">
        <f>VLOOKUP(G160,'Internal Cost Model'!$B$6:$F$15,5,FALSE)</f>
        <v/>
      </c>
      <c r="J160" s="24">
        <f>I160*VLOOKUP(F160,Assumptions!$B$43:$C$45,2,FALSE)</f>
        <v/>
      </c>
    </row>
    <row r="161">
      <c r="B161" s="7" t="inlineStr">
        <is>
          <t>ROL-156</t>
        </is>
      </c>
      <c r="C161" s="11" t="inlineStr">
        <is>
          <t>Industry SMEs</t>
        </is>
      </c>
      <c r="D161" s="7" t="inlineStr">
        <is>
          <t>Insurance Principal SME</t>
        </is>
      </c>
      <c r="E161" s="11" t="inlineStr">
        <is>
          <t>Insurance Domain</t>
        </is>
      </c>
      <c r="F161" s="21" t="inlineStr">
        <is>
          <t>High</t>
        </is>
      </c>
      <c r="G161" s="11" t="inlineStr">
        <is>
          <t>Principal</t>
        </is>
      </c>
      <c r="H161" s="11" t="inlineStr">
        <is>
          <t>Managing Director</t>
        </is>
      </c>
      <c r="I161" s="23">
        <f>VLOOKUP(G161,'Internal Cost Model'!$B$6:$F$15,5,FALSE)</f>
        <v/>
      </c>
      <c r="J161" s="24">
        <f>I161*VLOOKUP(F161,Assumptions!$B$43:$C$45,2,FALSE)</f>
        <v/>
      </c>
    </row>
    <row r="162">
      <c r="B162" s="7" t="inlineStr">
        <is>
          <t>ROL-157</t>
        </is>
      </c>
      <c r="C162" s="11" t="inlineStr">
        <is>
          <t>Industry SMEs</t>
        </is>
      </c>
      <c r="D162" s="7" t="inlineStr">
        <is>
          <t>Insurance Consultant</t>
        </is>
      </c>
      <c r="E162" s="11" t="inlineStr">
        <is>
          <t>Insurance Domain</t>
        </is>
      </c>
      <c r="F162" s="21" t="inlineStr">
        <is>
          <t>Medium</t>
        </is>
      </c>
      <c r="G162" s="11" t="inlineStr">
        <is>
          <t>Senior</t>
        </is>
      </c>
      <c r="H162" s="11" t="inlineStr">
        <is>
          <t>Senior Manager</t>
        </is>
      </c>
      <c r="I162" s="23">
        <f>VLOOKUP(G162,'Internal Cost Model'!$B$6:$F$15,5,FALSE)</f>
        <v/>
      </c>
      <c r="J162" s="24">
        <f>I162*VLOOKUP(F162,Assumptions!$B$43:$C$45,2,FALSE)</f>
        <v/>
      </c>
    </row>
    <row r="163">
      <c r="B163" s="7" t="inlineStr">
        <is>
          <t>ROL-158</t>
        </is>
      </c>
      <c r="C163" s="11" t="inlineStr">
        <is>
          <t>Industry SMEs</t>
        </is>
      </c>
      <c r="D163" s="7" t="inlineStr">
        <is>
          <t>Payments Principal SME</t>
        </is>
      </c>
      <c r="E163" s="11" t="inlineStr">
        <is>
          <t>Payments Domain</t>
        </is>
      </c>
      <c r="F163" s="21" t="inlineStr">
        <is>
          <t>High</t>
        </is>
      </c>
      <c r="G163" s="11" t="inlineStr">
        <is>
          <t>Principal</t>
        </is>
      </c>
      <c r="H163" s="11" t="inlineStr">
        <is>
          <t>Managing Director</t>
        </is>
      </c>
      <c r="I163" s="23">
        <f>VLOOKUP(G163,'Internal Cost Model'!$B$6:$F$15,5,FALSE)</f>
        <v/>
      </c>
      <c r="J163" s="24">
        <f>I163*VLOOKUP(F163,Assumptions!$B$43:$C$45,2,FALSE)</f>
        <v/>
      </c>
    </row>
    <row r="164">
      <c r="B164" s="7" t="inlineStr">
        <is>
          <t>ROL-159</t>
        </is>
      </c>
      <c r="C164" s="11" t="inlineStr">
        <is>
          <t>Industry SMEs</t>
        </is>
      </c>
      <c r="D164" s="7" t="inlineStr">
        <is>
          <t>Payments Consultant</t>
        </is>
      </c>
      <c r="E164" s="11" t="inlineStr">
        <is>
          <t>Payments Domain</t>
        </is>
      </c>
      <c r="F164" s="21" t="inlineStr">
        <is>
          <t>Medium</t>
        </is>
      </c>
      <c r="G164" s="11" t="inlineStr">
        <is>
          <t>Senior</t>
        </is>
      </c>
      <c r="H164" s="11" t="inlineStr">
        <is>
          <t>Senior Manager</t>
        </is>
      </c>
      <c r="I164" s="23">
        <f>VLOOKUP(G164,'Internal Cost Model'!$B$6:$F$15,5,FALSE)</f>
        <v/>
      </c>
      <c r="J164" s="24">
        <f>I164*VLOOKUP(F164,Assumptions!$B$43:$C$45,2,FALSE)</f>
        <v/>
      </c>
    </row>
    <row r="165">
      <c r="B165" s="7" t="inlineStr">
        <is>
          <t>ROL-160</t>
        </is>
      </c>
      <c r="C165" s="11" t="inlineStr">
        <is>
          <t>Industry SMEs</t>
        </is>
      </c>
      <c r="D165" s="7" t="inlineStr">
        <is>
          <t>Payer Principal SME</t>
        </is>
      </c>
      <c r="E165" s="11" t="inlineStr">
        <is>
          <t>Payer Domain</t>
        </is>
      </c>
      <c r="F165" s="21" t="inlineStr">
        <is>
          <t>High</t>
        </is>
      </c>
      <c r="G165" s="11" t="inlineStr">
        <is>
          <t>Principal</t>
        </is>
      </c>
      <c r="H165" s="11" t="inlineStr">
        <is>
          <t>Managing Director</t>
        </is>
      </c>
      <c r="I165" s="23">
        <f>VLOOKUP(G165,'Internal Cost Model'!$B$6:$F$15,5,FALSE)</f>
        <v/>
      </c>
      <c r="J165" s="24">
        <f>I165*VLOOKUP(F165,Assumptions!$B$43:$C$45,2,FALSE)</f>
        <v/>
      </c>
    </row>
    <row r="166">
      <c r="B166" s="7" t="inlineStr">
        <is>
          <t>ROL-161</t>
        </is>
      </c>
      <c r="C166" s="11" t="inlineStr">
        <is>
          <t>Industry SMEs</t>
        </is>
      </c>
      <c r="D166" s="7" t="inlineStr">
        <is>
          <t>Payer Consultant</t>
        </is>
      </c>
      <c r="E166" s="11" t="inlineStr">
        <is>
          <t>Payer Domain</t>
        </is>
      </c>
      <c r="F166" s="21" t="inlineStr">
        <is>
          <t>Medium</t>
        </is>
      </c>
      <c r="G166" s="11" t="inlineStr">
        <is>
          <t>Senior</t>
        </is>
      </c>
      <c r="H166" s="11" t="inlineStr">
        <is>
          <t>Senior Manager</t>
        </is>
      </c>
      <c r="I166" s="23">
        <f>VLOOKUP(G166,'Internal Cost Model'!$B$6:$F$15,5,FALSE)</f>
        <v/>
      </c>
      <c r="J166" s="24">
        <f>I166*VLOOKUP(F166,Assumptions!$B$43:$C$45,2,FALSE)</f>
        <v/>
      </c>
    </row>
    <row r="167">
      <c r="B167" s="7" t="inlineStr">
        <is>
          <t>ROL-162</t>
        </is>
      </c>
      <c r="C167" s="11" t="inlineStr">
        <is>
          <t>Industry SMEs</t>
        </is>
      </c>
      <c r="D167" s="7" t="inlineStr">
        <is>
          <t>Provider Principal SME</t>
        </is>
      </c>
      <c r="E167" s="11" t="inlineStr">
        <is>
          <t>Provider Domain</t>
        </is>
      </c>
      <c r="F167" s="21" t="inlineStr">
        <is>
          <t>High</t>
        </is>
      </c>
      <c r="G167" s="11" t="inlineStr">
        <is>
          <t>Principal</t>
        </is>
      </c>
      <c r="H167" s="11" t="inlineStr">
        <is>
          <t>Managing Director</t>
        </is>
      </c>
      <c r="I167" s="23">
        <f>VLOOKUP(G167,'Internal Cost Model'!$B$6:$F$15,5,FALSE)</f>
        <v/>
      </c>
      <c r="J167" s="24">
        <f>I167*VLOOKUP(F167,Assumptions!$B$43:$C$45,2,FALSE)</f>
        <v/>
      </c>
    </row>
    <row r="168">
      <c r="B168" s="7" t="inlineStr">
        <is>
          <t>ROL-163</t>
        </is>
      </c>
      <c r="C168" s="11" t="inlineStr">
        <is>
          <t>Industry SMEs</t>
        </is>
      </c>
      <c r="D168" s="7" t="inlineStr">
        <is>
          <t>Provider Consultant</t>
        </is>
      </c>
      <c r="E168" s="11" t="inlineStr">
        <is>
          <t>Provider Domain</t>
        </is>
      </c>
      <c r="F168" s="21" t="inlineStr">
        <is>
          <t>Medium</t>
        </is>
      </c>
      <c r="G168" s="11" t="inlineStr">
        <is>
          <t>Senior</t>
        </is>
      </c>
      <c r="H168" s="11" t="inlineStr">
        <is>
          <t>Senior Manager</t>
        </is>
      </c>
      <c r="I168" s="23">
        <f>VLOOKUP(G168,'Internal Cost Model'!$B$6:$F$15,5,FALSE)</f>
        <v/>
      </c>
      <c r="J168" s="24">
        <f>I168*VLOOKUP(F168,Assumptions!$B$43:$C$45,2,FALSE)</f>
        <v/>
      </c>
    </row>
    <row r="169">
      <c r="B169" s="7" t="inlineStr">
        <is>
          <t>ROL-164</t>
        </is>
      </c>
      <c r="C169" s="11" t="inlineStr">
        <is>
          <t>Industry SMEs</t>
        </is>
      </c>
      <c r="D169" s="7" t="inlineStr">
        <is>
          <t>Life Sciences Principal SME</t>
        </is>
      </c>
      <c r="E169" s="11" t="inlineStr">
        <is>
          <t>Life Sciences Domain</t>
        </is>
      </c>
      <c r="F169" s="21" t="inlineStr">
        <is>
          <t>High</t>
        </is>
      </c>
      <c r="G169" s="11" t="inlineStr">
        <is>
          <t>Principal</t>
        </is>
      </c>
      <c r="H169" s="11" t="inlineStr">
        <is>
          <t>Managing Director</t>
        </is>
      </c>
      <c r="I169" s="23">
        <f>VLOOKUP(G169,'Internal Cost Model'!$B$6:$F$15,5,FALSE)</f>
        <v/>
      </c>
      <c r="J169" s="24">
        <f>I169*VLOOKUP(F169,Assumptions!$B$43:$C$45,2,FALSE)</f>
        <v/>
      </c>
    </row>
    <row r="170">
      <c r="B170" s="7" t="inlineStr">
        <is>
          <t>ROL-165</t>
        </is>
      </c>
      <c r="C170" s="11" t="inlineStr">
        <is>
          <t>Industry SMEs</t>
        </is>
      </c>
      <c r="D170" s="7" t="inlineStr">
        <is>
          <t>Life Sciences Consultant</t>
        </is>
      </c>
      <c r="E170" s="11" t="inlineStr">
        <is>
          <t>Life Sciences Domain</t>
        </is>
      </c>
      <c r="F170" s="21" t="inlineStr">
        <is>
          <t>Medium</t>
        </is>
      </c>
      <c r="G170" s="11" t="inlineStr">
        <is>
          <t>Senior</t>
        </is>
      </c>
      <c r="H170" s="11" t="inlineStr">
        <is>
          <t>Senior Manager</t>
        </is>
      </c>
      <c r="I170" s="23">
        <f>VLOOKUP(G170,'Internal Cost Model'!$B$6:$F$15,5,FALSE)</f>
        <v/>
      </c>
      <c r="J170" s="24">
        <f>I170*VLOOKUP(F170,Assumptions!$B$43:$C$45,2,FALSE)</f>
        <v/>
      </c>
    </row>
    <row r="171">
      <c r="B171" s="7" t="inlineStr">
        <is>
          <t>ROL-166</t>
        </is>
      </c>
      <c r="C171" s="11" t="inlineStr">
        <is>
          <t>Industry SMEs</t>
        </is>
      </c>
      <c r="D171" s="7" t="inlineStr">
        <is>
          <t>Energy &amp; Utilities Principal SME</t>
        </is>
      </c>
      <c r="E171" s="11" t="inlineStr">
        <is>
          <t>Energy &amp; Utilities Domain</t>
        </is>
      </c>
      <c r="F171" s="21" t="inlineStr">
        <is>
          <t>High</t>
        </is>
      </c>
      <c r="G171" s="11" t="inlineStr">
        <is>
          <t>Principal</t>
        </is>
      </c>
      <c r="H171" s="11" t="inlineStr">
        <is>
          <t>Managing Director</t>
        </is>
      </c>
      <c r="I171" s="23">
        <f>VLOOKUP(G171,'Internal Cost Model'!$B$6:$F$15,5,FALSE)</f>
        <v/>
      </c>
      <c r="J171" s="24">
        <f>I171*VLOOKUP(F171,Assumptions!$B$43:$C$45,2,FALSE)</f>
        <v/>
      </c>
    </row>
    <row r="172">
      <c r="B172" s="7" t="inlineStr">
        <is>
          <t>ROL-167</t>
        </is>
      </c>
      <c r="C172" s="11" t="inlineStr">
        <is>
          <t>Industry SMEs</t>
        </is>
      </c>
      <c r="D172" s="7" t="inlineStr">
        <is>
          <t>Energy &amp; Utilities Consultant</t>
        </is>
      </c>
      <c r="E172" s="11" t="inlineStr">
        <is>
          <t>Energy &amp; Utilities Domain</t>
        </is>
      </c>
      <c r="F172" s="21" t="inlineStr">
        <is>
          <t>Medium</t>
        </is>
      </c>
      <c r="G172" s="11" t="inlineStr">
        <is>
          <t>Senior</t>
        </is>
      </c>
      <c r="H172" s="11" t="inlineStr">
        <is>
          <t>Senior Manager</t>
        </is>
      </c>
      <c r="I172" s="23">
        <f>VLOOKUP(G172,'Internal Cost Model'!$B$6:$F$15,5,FALSE)</f>
        <v/>
      </c>
      <c r="J172" s="24">
        <f>I172*VLOOKUP(F172,Assumptions!$B$43:$C$45,2,FALSE)</f>
        <v/>
      </c>
    </row>
    <row r="173">
      <c r="B173" s="7" t="inlineStr">
        <is>
          <t>ROL-168</t>
        </is>
      </c>
      <c r="C173" s="11" t="inlineStr">
        <is>
          <t>Industry SMEs</t>
        </is>
      </c>
      <c r="D173" s="7" t="inlineStr">
        <is>
          <t>Telecom Principal SME</t>
        </is>
      </c>
      <c r="E173" s="11" t="inlineStr">
        <is>
          <t>Telecom Domain</t>
        </is>
      </c>
      <c r="F173" s="21" t="inlineStr">
        <is>
          <t>High</t>
        </is>
      </c>
      <c r="G173" s="11" t="inlineStr">
        <is>
          <t>Principal</t>
        </is>
      </c>
      <c r="H173" s="11" t="inlineStr">
        <is>
          <t>Managing Director</t>
        </is>
      </c>
      <c r="I173" s="23">
        <f>VLOOKUP(G173,'Internal Cost Model'!$B$6:$F$15,5,FALSE)</f>
        <v/>
      </c>
      <c r="J173" s="24">
        <f>I173*VLOOKUP(F173,Assumptions!$B$43:$C$45,2,FALSE)</f>
        <v/>
      </c>
    </row>
    <row r="174">
      <c r="B174" s="7" t="inlineStr">
        <is>
          <t>ROL-169</t>
        </is>
      </c>
      <c r="C174" s="11" t="inlineStr">
        <is>
          <t>Industry SMEs</t>
        </is>
      </c>
      <c r="D174" s="7" t="inlineStr">
        <is>
          <t>Telecom Consultant</t>
        </is>
      </c>
      <c r="E174" s="11" t="inlineStr">
        <is>
          <t>Telecom Domain</t>
        </is>
      </c>
      <c r="F174" s="21" t="inlineStr">
        <is>
          <t>Medium</t>
        </is>
      </c>
      <c r="G174" s="11" t="inlineStr">
        <is>
          <t>Senior</t>
        </is>
      </c>
      <c r="H174" s="11" t="inlineStr">
        <is>
          <t>Senior Manager</t>
        </is>
      </c>
      <c r="I174" s="23">
        <f>VLOOKUP(G174,'Internal Cost Model'!$B$6:$F$15,5,FALSE)</f>
        <v/>
      </c>
      <c r="J174" s="24">
        <f>I174*VLOOKUP(F174,Assumptions!$B$43:$C$45,2,FALSE)</f>
        <v/>
      </c>
    </row>
    <row r="175">
      <c r="B175" s="7" t="inlineStr">
        <is>
          <t>ROL-170</t>
        </is>
      </c>
      <c r="C175" s="11" t="inlineStr">
        <is>
          <t>Industry SMEs</t>
        </is>
      </c>
      <c r="D175" s="7" t="inlineStr">
        <is>
          <t>Media Principal SME</t>
        </is>
      </c>
      <c r="E175" s="11" t="inlineStr">
        <is>
          <t>Media Domain</t>
        </is>
      </c>
      <c r="F175" s="21" t="inlineStr">
        <is>
          <t>High</t>
        </is>
      </c>
      <c r="G175" s="11" t="inlineStr">
        <is>
          <t>Principal</t>
        </is>
      </c>
      <c r="H175" s="11" t="inlineStr">
        <is>
          <t>Managing Director</t>
        </is>
      </c>
      <c r="I175" s="23">
        <f>VLOOKUP(G175,'Internal Cost Model'!$B$6:$F$15,5,FALSE)</f>
        <v/>
      </c>
      <c r="J175" s="24">
        <f>I175*VLOOKUP(F175,Assumptions!$B$43:$C$45,2,FALSE)</f>
        <v/>
      </c>
    </row>
    <row r="176">
      <c r="B176" s="7" t="inlineStr">
        <is>
          <t>ROL-171</t>
        </is>
      </c>
      <c r="C176" s="11" t="inlineStr">
        <is>
          <t>Industry SMEs</t>
        </is>
      </c>
      <c r="D176" s="7" t="inlineStr">
        <is>
          <t>Media Consultant</t>
        </is>
      </c>
      <c r="E176" s="11" t="inlineStr">
        <is>
          <t>Media Domain</t>
        </is>
      </c>
      <c r="F176" s="21" t="inlineStr">
        <is>
          <t>Medium</t>
        </is>
      </c>
      <c r="G176" s="11" t="inlineStr">
        <is>
          <t>Senior</t>
        </is>
      </c>
      <c r="H176" s="11" t="inlineStr">
        <is>
          <t>Senior Manager</t>
        </is>
      </c>
      <c r="I176" s="23">
        <f>VLOOKUP(G176,'Internal Cost Model'!$B$6:$F$15,5,FALSE)</f>
        <v/>
      </c>
      <c r="J176" s="24">
        <f>I176*VLOOKUP(F176,Assumptions!$B$43:$C$45,2,FALSE)</f>
        <v/>
      </c>
    </row>
    <row r="177">
      <c r="B177" s="7" t="inlineStr">
        <is>
          <t>ROL-172</t>
        </is>
      </c>
      <c r="C177" s="11" t="inlineStr">
        <is>
          <t>Business Process</t>
        </is>
      </c>
      <c r="D177" s="7" t="inlineStr">
        <is>
          <t>Process Architect</t>
        </is>
      </c>
      <c r="E177" s="11" t="inlineStr">
        <is>
          <t>Process Design</t>
        </is>
      </c>
      <c r="F177" s="21" t="inlineStr">
        <is>
          <t>Medium</t>
        </is>
      </c>
      <c r="G177" s="11" t="inlineStr">
        <is>
          <t>Lead</t>
        </is>
      </c>
      <c r="H177" s="11" t="inlineStr">
        <is>
          <t>Director</t>
        </is>
      </c>
      <c r="I177" s="23">
        <f>VLOOKUP(G177,'Internal Cost Model'!$B$6:$F$15,5,FALSE)</f>
        <v/>
      </c>
      <c r="J177" s="24">
        <f>I177*VLOOKUP(F177,Assumptions!$B$43:$C$45,2,FALSE)</f>
        <v/>
      </c>
    </row>
    <row r="178">
      <c r="B178" s="7" t="inlineStr">
        <is>
          <t>ROL-173</t>
        </is>
      </c>
      <c r="C178" s="11" t="inlineStr">
        <is>
          <t>Business Process</t>
        </is>
      </c>
      <c r="D178" s="7" t="inlineStr">
        <is>
          <t>RPA Developer</t>
        </is>
      </c>
      <c r="E178" s="11" t="inlineStr">
        <is>
          <t>Robotic Process Automation</t>
        </is>
      </c>
      <c r="F178" s="21" t="inlineStr">
        <is>
          <t>Medium</t>
        </is>
      </c>
      <c r="G178" s="11" t="inlineStr">
        <is>
          <t>Intermediate</t>
        </is>
      </c>
      <c r="H178" s="11" t="inlineStr">
        <is>
          <t>Senior</t>
        </is>
      </c>
      <c r="I178" s="23">
        <f>VLOOKUP(G178,'Internal Cost Model'!$B$6:$F$15,5,FALSE)</f>
        <v/>
      </c>
      <c r="J178" s="24">
        <f>I178*VLOOKUP(F178,Assumptions!$B$43:$C$45,2,FALSE)</f>
        <v/>
      </c>
    </row>
    <row r="179">
      <c r="B179" s="7" t="inlineStr">
        <is>
          <t>ROL-174</t>
        </is>
      </c>
      <c r="C179" s="11" t="inlineStr">
        <is>
          <t>Business Process</t>
        </is>
      </c>
      <c r="D179" s="7" t="inlineStr">
        <is>
          <t>Workflow Designer</t>
        </is>
      </c>
      <c r="E179" s="11" t="inlineStr">
        <is>
          <t>Intelligent Automation</t>
        </is>
      </c>
      <c r="F179" s="21" t="inlineStr">
        <is>
          <t>Medium</t>
        </is>
      </c>
      <c r="G179" s="11" t="inlineStr">
        <is>
          <t>Intermediate</t>
        </is>
      </c>
      <c r="H179" s="11" t="inlineStr">
        <is>
          <t>Senior</t>
        </is>
      </c>
      <c r="I179" s="23">
        <f>VLOOKUP(G179,'Internal Cost Model'!$B$6:$F$15,5,FALSE)</f>
        <v/>
      </c>
      <c r="J179" s="24">
        <f>I179*VLOOKUP(F179,Assumptions!$B$43:$C$45,2,FALSE)</f>
        <v/>
      </c>
    </row>
    <row r="180">
      <c r="B180" s="7" t="inlineStr">
        <is>
          <t>ROL-175</t>
        </is>
      </c>
      <c r="C180" s="11" t="inlineStr">
        <is>
          <t>Business Process</t>
        </is>
      </c>
      <c r="D180" s="7" t="inlineStr">
        <is>
          <t>Process Analyst</t>
        </is>
      </c>
      <c r="E180" s="11" t="inlineStr">
        <is>
          <t>Process Mining</t>
        </is>
      </c>
      <c r="F180" s="21" t="inlineStr">
        <is>
          <t>Low</t>
        </is>
      </c>
      <c r="G180" s="11" t="inlineStr">
        <is>
          <t>Junior</t>
        </is>
      </c>
      <c r="H180" s="11" t="inlineStr">
        <is>
          <t>Senior</t>
        </is>
      </c>
      <c r="I180" s="23">
        <f>VLOOKUP(G180,'Internal Cost Model'!$B$6:$F$15,5,FALSE)</f>
        <v/>
      </c>
      <c r="J180" s="24">
        <f>I180*VLOOKUP(F180,Assumptions!$B$43:$C$45,2,FALSE)</f>
        <v/>
      </c>
    </row>
    <row r="181">
      <c r="B181" s="7" t="inlineStr">
        <is>
          <t>ROL-176</t>
        </is>
      </c>
      <c r="C181" s="11" t="inlineStr">
        <is>
          <t>Data &amp; Analytics</t>
        </is>
      </c>
      <c r="D181" s="7" t="inlineStr">
        <is>
          <t>Analytics Engineer (dbt)</t>
        </is>
      </c>
      <c r="E181" s="11" t="inlineStr">
        <is>
          <t>Data Engineering</t>
        </is>
      </c>
      <c r="F181" s="21" t="inlineStr">
        <is>
          <t>High</t>
        </is>
      </c>
      <c r="G181" s="11" t="inlineStr">
        <is>
          <t>Intermediate</t>
        </is>
      </c>
      <c r="H181" s="11" t="inlineStr">
        <is>
          <t>Lead</t>
        </is>
      </c>
      <c r="I181" s="23">
        <f>VLOOKUP(G181,'Internal Cost Model'!$B$6:$F$15,5,FALSE)</f>
        <v/>
      </c>
      <c r="J181" s="24">
        <f>I181*VLOOKUP(F181,Assumptions!$B$43:$C$45,2,FALSE)</f>
        <v/>
      </c>
    </row>
    <row r="182">
      <c r="B182" s="7" t="inlineStr">
        <is>
          <t>ROL-177</t>
        </is>
      </c>
      <c r="C182" s="11" t="inlineStr">
        <is>
          <t>Data &amp; Analytics</t>
        </is>
      </c>
      <c r="D182" s="7" t="inlineStr">
        <is>
          <t>Streaming Data Engineer</t>
        </is>
      </c>
      <c r="E182" s="11" t="inlineStr">
        <is>
          <t>Data Engineering</t>
        </is>
      </c>
      <c r="F182" s="21" t="inlineStr">
        <is>
          <t>High</t>
        </is>
      </c>
      <c r="G182" s="11" t="inlineStr">
        <is>
          <t>Intermediate</t>
        </is>
      </c>
      <c r="H182" s="11" t="inlineStr">
        <is>
          <t>Lead</t>
        </is>
      </c>
      <c r="I182" s="23">
        <f>VLOOKUP(G182,'Internal Cost Model'!$B$6:$F$15,5,FALSE)</f>
        <v/>
      </c>
      <c r="J182" s="24">
        <f>I182*VLOOKUP(F182,Assumptions!$B$43:$C$45,2,FALSE)</f>
        <v/>
      </c>
    </row>
    <row r="183">
      <c r="B183" s="7" t="inlineStr">
        <is>
          <t>ROL-178</t>
        </is>
      </c>
      <c r="C183" s="11" t="inlineStr">
        <is>
          <t>Data &amp; Analytics</t>
        </is>
      </c>
      <c r="D183" s="7" t="inlineStr">
        <is>
          <t>DataOps Engineer</t>
        </is>
      </c>
      <c r="E183" s="11" t="inlineStr">
        <is>
          <t>Data Engineering</t>
        </is>
      </c>
      <c r="F183" s="21" t="inlineStr">
        <is>
          <t>High</t>
        </is>
      </c>
      <c r="G183" s="11" t="inlineStr">
        <is>
          <t>Intermediate</t>
        </is>
      </c>
      <c r="H183" s="11" t="inlineStr">
        <is>
          <t>Senior</t>
        </is>
      </c>
      <c r="I183" s="23">
        <f>VLOOKUP(G183,'Internal Cost Model'!$B$6:$F$15,5,FALSE)</f>
        <v/>
      </c>
      <c r="J183" s="24">
        <f>I183*VLOOKUP(F183,Assumptions!$B$43:$C$45,2,FALSE)</f>
        <v/>
      </c>
    </row>
    <row r="184">
      <c r="B184" s="7" t="inlineStr">
        <is>
          <t>ROL-179</t>
        </is>
      </c>
      <c r="C184" s="11" t="inlineStr">
        <is>
          <t>Data &amp; Analytics</t>
        </is>
      </c>
      <c r="D184" s="7" t="inlineStr">
        <is>
          <t>Data Modeler</t>
        </is>
      </c>
      <c r="E184" s="11" t="inlineStr">
        <is>
          <t>Data Strategy</t>
        </is>
      </c>
      <c r="F184" s="21" t="inlineStr">
        <is>
          <t>Medium</t>
        </is>
      </c>
      <c r="G184" s="11" t="inlineStr">
        <is>
          <t>Intermediate</t>
        </is>
      </c>
      <c r="H184" s="11" t="inlineStr">
        <is>
          <t>Lead</t>
        </is>
      </c>
      <c r="I184" s="23">
        <f>VLOOKUP(G184,'Internal Cost Model'!$B$6:$F$15,5,FALSE)</f>
        <v/>
      </c>
      <c r="J184" s="24">
        <f>I184*VLOOKUP(F184,Assumptions!$B$43:$C$45,2,FALSE)</f>
        <v/>
      </c>
    </row>
    <row r="185">
      <c r="B185" s="7" t="inlineStr">
        <is>
          <t>ROL-180</t>
        </is>
      </c>
      <c r="C185" s="11" t="inlineStr">
        <is>
          <t>Data &amp; Analytics</t>
        </is>
      </c>
      <c r="D185" s="7" t="inlineStr">
        <is>
          <t>Data Privacy Lead</t>
        </is>
      </c>
      <c r="E185" s="11" t="inlineStr">
        <is>
          <t>Data Governance</t>
        </is>
      </c>
      <c r="F185" s="21" t="inlineStr">
        <is>
          <t>High</t>
        </is>
      </c>
      <c r="G185" s="11" t="inlineStr">
        <is>
          <t>Lead</t>
        </is>
      </c>
      <c r="H185" s="11" t="inlineStr">
        <is>
          <t>Director</t>
        </is>
      </c>
      <c r="I185" s="23">
        <f>VLOOKUP(G185,'Internal Cost Model'!$B$6:$F$15,5,FALSE)</f>
        <v/>
      </c>
      <c r="J185" s="24">
        <f>I185*VLOOKUP(F185,Assumptions!$B$43:$C$45,2,FALSE)</f>
        <v/>
      </c>
    </row>
    <row r="186">
      <c r="B186" s="7" t="inlineStr">
        <is>
          <t>ROL-181</t>
        </is>
      </c>
      <c r="C186" s="11" t="inlineStr">
        <is>
          <t>Data &amp; Analytics</t>
        </is>
      </c>
      <c r="D186" s="7" t="inlineStr">
        <is>
          <t>Data Catalog Analyst</t>
        </is>
      </c>
      <c r="E186" s="11" t="inlineStr">
        <is>
          <t>Metadata Management</t>
        </is>
      </c>
      <c r="F186" s="21" t="inlineStr">
        <is>
          <t>Medium</t>
        </is>
      </c>
      <c r="G186" s="11" t="inlineStr">
        <is>
          <t>Junior</t>
        </is>
      </c>
      <c r="H186" s="11" t="inlineStr">
        <is>
          <t>Senior</t>
        </is>
      </c>
      <c r="I186" s="23">
        <f>VLOOKUP(G186,'Internal Cost Model'!$B$6:$F$15,5,FALSE)</f>
        <v/>
      </c>
      <c r="J186" s="24">
        <f>I186*VLOOKUP(F186,Assumptions!$B$43:$C$45,2,FALSE)</f>
        <v/>
      </c>
    </row>
    <row r="187">
      <c r="B187" s="7" t="inlineStr">
        <is>
          <t>ROL-182</t>
        </is>
      </c>
      <c r="C187" s="11" t="inlineStr">
        <is>
          <t>Data &amp; Analytics</t>
        </is>
      </c>
      <c r="D187" s="7" t="inlineStr">
        <is>
          <t>Power BI Developer</t>
        </is>
      </c>
      <c r="E187" s="11" t="inlineStr">
        <is>
          <t>Business Intelligence</t>
        </is>
      </c>
      <c r="F187" s="21" t="inlineStr">
        <is>
          <t>Medium</t>
        </is>
      </c>
      <c r="G187" s="11" t="inlineStr">
        <is>
          <t>Intermediate</t>
        </is>
      </c>
      <c r="H187" s="11" t="inlineStr">
        <is>
          <t>Senior</t>
        </is>
      </c>
      <c r="I187" s="23">
        <f>VLOOKUP(G187,'Internal Cost Model'!$B$6:$F$15,5,FALSE)</f>
        <v/>
      </c>
      <c r="J187" s="24">
        <f>I187*VLOOKUP(F187,Assumptions!$B$43:$C$45,2,FALSE)</f>
        <v/>
      </c>
    </row>
    <row r="188">
      <c r="B188" s="7" t="inlineStr">
        <is>
          <t>ROL-183</t>
        </is>
      </c>
      <c r="C188" s="11" t="inlineStr">
        <is>
          <t>Data &amp; Analytics</t>
        </is>
      </c>
      <c r="D188" s="7" t="inlineStr">
        <is>
          <t>Tableau Developer</t>
        </is>
      </c>
      <c r="E188" s="11" t="inlineStr">
        <is>
          <t>Business Intelligence</t>
        </is>
      </c>
      <c r="F188" s="21" t="inlineStr">
        <is>
          <t>Medium</t>
        </is>
      </c>
      <c r="G188" s="11" t="inlineStr">
        <is>
          <t>Intermediate</t>
        </is>
      </c>
      <c r="H188" s="11" t="inlineStr">
        <is>
          <t>Senior</t>
        </is>
      </c>
      <c r="I188" s="23">
        <f>VLOOKUP(G188,'Internal Cost Model'!$B$6:$F$15,5,FALSE)</f>
        <v/>
      </c>
      <c r="J188" s="24">
        <f>I188*VLOOKUP(F188,Assumptions!$B$43:$C$45,2,FALSE)</f>
        <v/>
      </c>
    </row>
    <row r="189">
      <c r="B189" s="7" t="inlineStr">
        <is>
          <t>ROL-184</t>
        </is>
      </c>
      <c r="C189" s="11" t="inlineStr">
        <is>
          <t>Data &amp; Analytics</t>
        </is>
      </c>
      <c r="D189" s="7" t="inlineStr">
        <is>
          <t>Looker Developer</t>
        </is>
      </c>
      <c r="E189" s="11" t="inlineStr">
        <is>
          <t>Business Intelligence</t>
        </is>
      </c>
      <c r="F189" s="21" t="inlineStr">
        <is>
          <t>Medium</t>
        </is>
      </c>
      <c r="G189" s="11" t="inlineStr">
        <is>
          <t>Intermediate</t>
        </is>
      </c>
      <c r="H189" s="11" t="inlineStr">
        <is>
          <t>Senior</t>
        </is>
      </c>
      <c r="I189" s="23">
        <f>VLOOKUP(G189,'Internal Cost Model'!$B$6:$F$15,5,FALSE)</f>
        <v/>
      </c>
      <c r="J189" s="24">
        <f>I189*VLOOKUP(F189,Assumptions!$B$43:$C$45,2,FALSE)</f>
        <v/>
      </c>
    </row>
    <row r="190">
      <c r="B190" s="7" t="inlineStr">
        <is>
          <t>ROL-185</t>
        </is>
      </c>
      <c r="C190" s="11" t="inlineStr">
        <is>
          <t>Data &amp; Analytics</t>
        </is>
      </c>
      <c r="D190" s="7" t="inlineStr">
        <is>
          <t>Data Visualization Designer</t>
        </is>
      </c>
      <c r="E190" s="11" t="inlineStr">
        <is>
          <t>Reporting</t>
        </is>
      </c>
      <c r="F190" s="21" t="inlineStr">
        <is>
          <t>Low</t>
        </is>
      </c>
      <c r="G190" s="11" t="inlineStr">
        <is>
          <t>Junior</t>
        </is>
      </c>
      <c r="H190" s="11" t="inlineStr">
        <is>
          <t>Senior</t>
        </is>
      </c>
      <c r="I190" s="23">
        <f>VLOOKUP(G190,'Internal Cost Model'!$B$6:$F$15,5,FALSE)</f>
        <v/>
      </c>
      <c r="J190" s="24">
        <f>I190*VLOOKUP(F190,Assumptions!$B$43:$C$45,2,FALSE)</f>
        <v/>
      </c>
    </row>
    <row r="191">
      <c r="B191" s="7" t="inlineStr">
        <is>
          <t>ROL-186</t>
        </is>
      </c>
      <c r="C191" s="11" t="inlineStr">
        <is>
          <t>Data &amp; Analytics</t>
        </is>
      </c>
      <c r="D191" s="7" t="inlineStr">
        <is>
          <t>Quantitative Analyst</t>
        </is>
      </c>
      <c r="E191" s="11" t="inlineStr">
        <is>
          <t>Advanced Analytics</t>
        </is>
      </c>
      <c r="F191" s="21" t="inlineStr">
        <is>
          <t>High</t>
        </is>
      </c>
      <c r="G191" s="11" t="inlineStr">
        <is>
          <t>Senior</t>
        </is>
      </c>
      <c r="H191" s="11" t="inlineStr">
        <is>
          <t>Senior Manager</t>
        </is>
      </c>
      <c r="I191" s="23">
        <f>VLOOKUP(G191,'Internal Cost Model'!$B$6:$F$15,5,FALSE)</f>
        <v/>
      </c>
      <c r="J191" s="24">
        <f>I191*VLOOKUP(F191,Assumptions!$B$43:$C$45,2,FALSE)</f>
        <v/>
      </c>
    </row>
    <row r="192">
      <c r="B192" s="7" t="inlineStr">
        <is>
          <t>ROL-187</t>
        </is>
      </c>
      <c r="C192" s="11" t="inlineStr">
        <is>
          <t>Data &amp; Analytics</t>
        </is>
      </c>
      <c r="D192" s="7" t="inlineStr">
        <is>
          <t>Decision Scientist</t>
        </is>
      </c>
      <c r="E192" s="11" t="inlineStr">
        <is>
          <t>Advanced Analytics</t>
        </is>
      </c>
      <c r="F192" s="21" t="inlineStr">
        <is>
          <t>High</t>
        </is>
      </c>
      <c r="G192" s="11" t="inlineStr">
        <is>
          <t>Senior</t>
        </is>
      </c>
      <c r="H192" s="11" t="inlineStr">
        <is>
          <t>Senior Manager</t>
        </is>
      </c>
      <c r="I192" s="23">
        <f>VLOOKUP(G192,'Internal Cost Model'!$B$6:$F$15,5,FALSE)</f>
        <v/>
      </c>
      <c r="J192" s="24">
        <f>I192*VLOOKUP(F192,Assumptions!$B$43:$C$45,2,FALSE)</f>
        <v/>
      </c>
    </row>
    <row r="193">
      <c r="B193" s="7" t="inlineStr">
        <is>
          <t>ROL-188</t>
        </is>
      </c>
      <c r="C193" s="11" t="inlineStr">
        <is>
          <t>Data &amp; Analytics</t>
        </is>
      </c>
      <c r="D193" s="7" t="inlineStr">
        <is>
          <t>Data Quality Engineer</t>
        </is>
      </c>
      <c r="E193" s="11" t="inlineStr">
        <is>
          <t>Data Quality</t>
        </is>
      </c>
      <c r="F193" s="21" t="inlineStr">
        <is>
          <t>Medium</t>
        </is>
      </c>
      <c r="G193" s="11" t="inlineStr">
        <is>
          <t>Intermediate</t>
        </is>
      </c>
      <c r="H193" s="11" t="inlineStr">
        <is>
          <t>Senior</t>
        </is>
      </c>
      <c r="I193" s="23">
        <f>VLOOKUP(G193,'Internal Cost Model'!$B$6:$F$15,5,FALSE)</f>
        <v/>
      </c>
      <c r="J193" s="24">
        <f>I193*VLOOKUP(F193,Assumptions!$B$43:$C$45,2,FALSE)</f>
        <v/>
      </c>
    </row>
    <row r="194">
      <c r="B194" s="7" t="inlineStr">
        <is>
          <t>ROL-189</t>
        </is>
      </c>
      <c r="C194" s="11" t="inlineStr">
        <is>
          <t>Data &amp; Analytics</t>
        </is>
      </c>
      <c r="D194" s="7" t="inlineStr">
        <is>
          <t>Reference Data Analyst</t>
        </is>
      </c>
      <c r="E194" s="11" t="inlineStr">
        <is>
          <t>Master Data Management</t>
        </is>
      </c>
      <c r="F194" s="21" t="inlineStr">
        <is>
          <t>Medium</t>
        </is>
      </c>
      <c r="G194" s="11" t="inlineStr">
        <is>
          <t>Intermediate</t>
        </is>
      </c>
      <c r="H194" s="11" t="inlineStr">
        <is>
          <t>Senior</t>
        </is>
      </c>
      <c r="I194" s="23">
        <f>VLOOKUP(G194,'Internal Cost Model'!$B$6:$F$15,5,FALSE)</f>
        <v/>
      </c>
      <c r="J194" s="24">
        <f>I194*VLOOKUP(F194,Assumptions!$B$43:$C$45,2,FALSE)</f>
        <v/>
      </c>
    </row>
    <row r="195">
      <c r="B195" s="7" t="inlineStr">
        <is>
          <t>ROL-190</t>
        </is>
      </c>
      <c r="C195" s="11" t="inlineStr">
        <is>
          <t>Data &amp; Analytics</t>
        </is>
      </c>
      <c r="D195" s="7" t="inlineStr">
        <is>
          <t>Snowflake Administrator</t>
        </is>
      </c>
      <c r="E195" s="11" t="inlineStr">
        <is>
          <t>Snowflake</t>
        </is>
      </c>
      <c r="F195" s="21" t="inlineStr">
        <is>
          <t>Medium</t>
        </is>
      </c>
      <c r="G195" s="11" t="inlineStr">
        <is>
          <t>Intermediate</t>
        </is>
      </c>
      <c r="H195" s="11" t="inlineStr">
        <is>
          <t>Senior</t>
        </is>
      </c>
      <c r="I195" s="23">
        <f>VLOOKUP(G195,'Internal Cost Model'!$B$6:$F$15,5,FALSE)</f>
        <v/>
      </c>
      <c r="J195" s="24">
        <f>I195*VLOOKUP(F195,Assumptions!$B$43:$C$45,2,FALSE)</f>
        <v/>
      </c>
    </row>
    <row r="196">
      <c r="B196" s="7" t="inlineStr">
        <is>
          <t>ROL-191</t>
        </is>
      </c>
      <c r="C196" s="11" t="inlineStr">
        <is>
          <t>Data &amp; Analytics</t>
        </is>
      </c>
      <c r="D196" s="7" t="inlineStr">
        <is>
          <t>Databricks Platform Engineer</t>
        </is>
      </c>
      <c r="E196" s="11" t="inlineStr">
        <is>
          <t>Databricks</t>
        </is>
      </c>
      <c r="F196" s="21" t="inlineStr">
        <is>
          <t>High</t>
        </is>
      </c>
      <c r="G196" s="11" t="inlineStr">
        <is>
          <t>Senior</t>
        </is>
      </c>
      <c r="H196" s="11" t="inlineStr">
        <is>
          <t>Lead</t>
        </is>
      </c>
      <c r="I196" s="23">
        <f>VLOOKUP(G196,'Internal Cost Model'!$B$6:$F$15,5,FALSE)</f>
        <v/>
      </c>
      <c r="J196" s="24">
        <f>I196*VLOOKUP(F196,Assumptions!$B$43:$C$45,2,FALSE)</f>
        <v/>
      </c>
    </row>
    <row r="197">
      <c r="B197" s="7" t="inlineStr">
        <is>
          <t>ROL-192</t>
        </is>
      </c>
      <c r="C197" s="11" t="inlineStr">
        <is>
          <t>Data &amp; Analytics</t>
        </is>
      </c>
      <c r="D197" s="7" t="inlineStr">
        <is>
          <t>Informatica Architect</t>
        </is>
      </c>
      <c r="E197" s="11" t="inlineStr">
        <is>
          <t>Informatica</t>
        </is>
      </c>
      <c r="F197" s="21" t="inlineStr">
        <is>
          <t>Medium</t>
        </is>
      </c>
      <c r="G197" s="11" t="inlineStr">
        <is>
          <t>Lead</t>
        </is>
      </c>
      <c r="H197" s="11" t="inlineStr">
        <is>
          <t>Senior Manager</t>
        </is>
      </c>
      <c r="I197" s="23">
        <f>VLOOKUP(G197,'Internal Cost Model'!$B$6:$F$15,5,FALSE)</f>
        <v/>
      </c>
      <c r="J197" s="24">
        <f>I197*VLOOKUP(F197,Assumptions!$B$43:$C$45,2,FALSE)</f>
        <v/>
      </c>
    </row>
    <row r="198">
      <c r="B198" s="7" t="inlineStr">
        <is>
          <t>ROL-193</t>
        </is>
      </c>
      <c r="C198" s="11" t="inlineStr">
        <is>
          <t>AI &amp; GenAI</t>
        </is>
      </c>
      <c r="D198" s="7" t="inlineStr">
        <is>
          <t>Data Scientist</t>
        </is>
      </c>
      <c r="E198" s="11" t="inlineStr">
        <is>
          <t>Machine Learning</t>
        </is>
      </c>
      <c r="F198" s="21" t="inlineStr">
        <is>
          <t>High</t>
        </is>
      </c>
      <c r="G198" s="11" t="inlineStr">
        <is>
          <t>Intermediate</t>
        </is>
      </c>
      <c r="H198" s="11" t="inlineStr">
        <is>
          <t>Senior Manager</t>
        </is>
      </c>
      <c r="I198" s="23">
        <f>VLOOKUP(G198,'Internal Cost Model'!$B$6:$F$15,5,FALSE)</f>
        <v/>
      </c>
      <c r="J198" s="24">
        <f>I198*VLOOKUP(F198,Assumptions!$B$43:$C$45,2,FALSE)</f>
        <v/>
      </c>
    </row>
    <row r="199">
      <c r="B199" s="7" t="inlineStr">
        <is>
          <t>ROL-194</t>
        </is>
      </c>
      <c r="C199" s="11" t="inlineStr">
        <is>
          <t>AI &amp; GenAI</t>
        </is>
      </c>
      <c r="D199" s="7" t="inlineStr">
        <is>
          <t>Senior Data Scientist</t>
        </is>
      </c>
      <c r="E199" s="11" t="inlineStr">
        <is>
          <t>Machine Learning</t>
        </is>
      </c>
      <c r="F199" s="21" t="inlineStr">
        <is>
          <t>High</t>
        </is>
      </c>
      <c r="G199" s="11" t="inlineStr">
        <is>
          <t>Senior</t>
        </is>
      </c>
      <c r="H199" s="11" t="inlineStr">
        <is>
          <t>Lead</t>
        </is>
      </c>
      <c r="I199" s="23">
        <f>VLOOKUP(G199,'Internal Cost Model'!$B$6:$F$15,5,FALSE)</f>
        <v/>
      </c>
      <c r="J199" s="24">
        <f>I199*VLOOKUP(F199,Assumptions!$B$43:$C$45,2,FALSE)</f>
        <v/>
      </c>
    </row>
    <row r="200">
      <c r="B200" s="7" t="inlineStr">
        <is>
          <t>ROL-195</t>
        </is>
      </c>
      <c r="C200" s="11" t="inlineStr">
        <is>
          <t>AI &amp; GenAI</t>
        </is>
      </c>
      <c r="D200" s="7" t="inlineStr">
        <is>
          <t>NLP Engineer</t>
        </is>
      </c>
      <c r="E200" s="11" t="inlineStr">
        <is>
          <t>Generative AI</t>
        </is>
      </c>
      <c r="F200" s="21" t="inlineStr">
        <is>
          <t>High</t>
        </is>
      </c>
      <c r="G200" s="11" t="inlineStr">
        <is>
          <t>Senior</t>
        </is>
      </c>
      <c r="H200" s="11" t="inlineStr">
        <is>
          <t>Lead</t>
        </is>
      </c>
      <c r="I200" s="23">
        <f>VLOOKUP(G200,'Internal Cost Model'!$B$6:$F$15,5,FALSE)</f>
        <v/>
      </c>
      <c r="J200" s="24">
        <f>I200*VLOOKUP(F200,Assumptions!$B$43:$C$45,2,FALSE)</f>
        <v/>
      </c>
    </row>
    <row r="201">
      <c r="B201" s="7" t="inlineStr">
        <is>
          <t>ROL-196</t>
        </is>
      </c>
      <c r="C201" s="11" t="inlineStr">
        <is>
          <t>AI &amp; GenAI</t>
        </is>
      </c>
      <c r="D201" s="7" t="inlineStr">
        <is>
          <t>Computer Vision Engineer</t>
        </is>
      </c>
      <c r="E201" s="11" t="inlineStr">
        <is>
          <t>Machine Learning</t>
        </is>
      </c>
      <c r="F201" s="21" t="inlineStr">
        <is>
          <t>High</t>
        </is>
      </c>
      <c r="G201" s="11" t="inlineStr">
        <is>
          <t>Senior</t>
        </is>
      </c>
      <c r="H201" s="11" t="inlineStr">
        <is>
          <t>Lead</t>
        </is>
      </c>
      <c r="I201" s="23">
        <f>VLOOKUP(G201,'Internal Cost Model'!$B$6:$F$15,5,FALSE)</f>
        <v/>
      </c>
      <c r="J201" s="24">
        <f>I201*VLOOKUP(F201,Assumptions!$B$43:$C$45,2,FALSE)</f>
        <v/>
      </c>
    </row>
    <row r="202">
      <c r="B202" s="7" t="inlineStr">
        <is>
          <t>ROL-197</t>
        </is>
      </c>
      <c r="C202" s="11" t="inlineStr">
        <is>
          <t>AI &amp; GenAI</t>
        </is>
      </c>
      <c r="D202" s="7" t="inlineStr">
        <is>
          <t>RAG Engineer</t>
        </is>
      </c>
      <c r="E202" s="11" t="inlineStr">
        <is>
          <t>Generative AI</t>
        </is>
      </c>
      <c r="F202" s="21" t="inlineStr">
        <is>
          <t>High</t>
        </is>
      </c>
      <c r="G202" s="11" t="inlineStr">
        <is>
          <t>Intermediate</t>
        </is>
      </c>
      <c r="H202" s="11" t="inlineStr">
        <is>
          <t>Senior</t>
        </is>
      </c>
      <c r="I202" s="23">
        <f>VLOOKUP(G202,'Internal Cost Model'!$B$6:$F$15,5,FALSE)</f>
        <v/>
      </c>
      <c r="J202" s="24">
        <f>I202*VLOOKUP(F202,Assumptions!$B$43:$C$45,2,FALSE)</f>
        <v/>
      </c>
    </row>
    <row r="203">
      <c r="B203" s="7" t="inlineStr">
        <is>
          <t>ROL-198</t>
        </is>
      </c>
      <c r="C203" s="11" t="inlineStr">
        <is>
          <t>AI &amp; GenAI</t>
        </is>
      </c>
      <c r="D203" s="7" t="inlineStr">
        <is>
          <t>AI Evaluation Engineer</t>
        </is>
      </c>
      <c r="E203" s="11" t="inlineStr">
        <is>
          <t>Model Validation</t>
        </is>
      </c>
      <c r="F203" s="21" t="inlineStr">
        <is>
          <t>High</t>
        </is>
      </c>
      <c r="G203" s="11" t="inlineStr">
        <is>
          <t>Senior</t>
        </is>
      </c>
      <c r="H203" s="11" t="inlineStr">
        <is>
          <t>Lead</t>
        </is>
      </c>
      <c r="I203" s="23">
        <f>VLOOKUP(G203,'Internal Cost Model'!$B$6:$F$15,5,FALSE)</f>
        <v/>
      </c>
      <c r="J203" s="24">
        <f>I203*VLOOKUP(F203,Assumptions!$B$43:$C$45,2,FALSE)</f>
        <v/>
      </c>
    </row>
    <row r="204">
      <c r="B204" s="7" t="inlineStr">
        <is>
          <t>ROL-199</t>
        </is>
      </c>
      <c r="C204" s="11" t="inlineStr">
        <is>
          <t>AI &amp; GenAI</t>
        </is>
      </c>
      <c r="D204" s="7" t="inlineStr">
        <is>
          <t>AI Safety Engineer</t>
        </is>
      </c>
      <c r="E204" s="11" t="inlineStr">
        <is>
          <t>Responsible AI</t>
        </is>
      </c>
      <c r="F204" s="21" t="inlineStr">
        <is>
          <t>High</t>
        </is>
      </c>
      <c r="G204" s="11" t="inlineStr">
        <is>
          <t>Senior</t>
        </is>
      </c>
      <c r="H204" s="11" t="inlineStr">
        <is>
          <t>Lead</t>
        </is>
      </c>
      <c r="I204" s="23">
        <f>VLOOKUP(G204,'Internal Cost Model'!$B$6:$F$15,5,FALSE)</f>
        <v/>
      </c>
      <c r="J204" s="24">
        <f>I204*VLOOKUP(F204,Assumptions!$B$43:$C$45,2,FALSE)</f>
        <v/>
      </c>
    </row>
    <row r="205">
      <c r="B205" s="7" t="inlineStr">
        <is>
          <t>ROL-200</t>
        </is>
      </c>
      <c r="C205" s="11" t="inlineStr">
        <is>
          <t>AI &amp; GenAI</t>
        </is>
      </c>
      <c r="D205" s="7" t="inlineStr">
        <is>
          <t>Knowledge Engineer</t>
        </is>
      </c>
      <c r="E205" s="11" t="inlineStr">
        <is>
          <t>Agentic AI</t>
        </is>
      </c>
      <c r="F205" s="21" t="inlineStr">
        <is>
          <t>High</t>
        </is>
      </c>
      <c r="G205" s="11" t="inlineStr">
        <is>
          <t>Senior</t>
        </is>
      </c>
      <c r="H205" s="11" t="inlineStr">
        <is>
          <t>Lead</t>
        </is>
      </c>
      <c r="I205" s="23">
        <f>VLOOKUP(G205,'Internal Cost Model'!$B$6:$F$15,5,FALSE)</f>
        <v/>
      </c>
      <c r="J205" s="24">
        <f>I205*VLOOKUP(F205,Assumptions!$B$43:$C$45,2,FALSE)</f>
        <v/>
      </c>
    </row>
    <row r="206">
      <c r="B206" s="7" t="inlineStr">
        <is>
          <t>ROL-201</t>
        </is>
      </c>
      <c r="C206" s="11" t="inlineStr">
        <is>
          <t>AI &amp; GenAI</t>
        </is>
      </c>
      <c r="D206" s="7" t="inlineStr">
        <is>
          <t>Conversational AI Designer</t>
        </is>
      </c>
      <c r="E206" s="11" t="inlineStr">
        <is>
          <t>Generative AI</t>
        </is>
      </c>
      <c r="F206" s="21" t="inlineStr">
        <is>
          <t>Medium</t>
        </is>
      </c>
      <c r="G206" s="11" t="inlineStr">
        <is>
          <t>Intermediate</t>
        </is>
      </c>
      <c r="H206" s="11" t="inlineStr">
        <is>
          <t>Senior</t>
        </is>
      </c>
      <c r="I206" s="23">
        <f>VLOOKUP(G206,'Internal Cost Model'!$B$6:$F$15,5,FALSE)</f>
        <v/>
      </c>
      <c r="J206" s="24">
        <f>I206*VLOOKUP(F206,Assumptions!$B$43:$C$45,2,FALSE)</f>
        <v/>
      </c>
    </row>
    <row r="207">
      <c r="B207" s="7" t="inlineStr">
        <is>
          <t>ROL-202</t>
        </is>
      </c>
      <c r="C207" s="11" t="inlineStr">
        <is>
          <t>AI &amp; GenAI</t>
        </is>
      </c>
      <c r="D207" s="7" t="inlineStr">
        <is>
          <t>AI Platform Engineer</t>
        </is>
      </c>
      <c r="E207" s="11" t="inlineStr">
        <is>
          <t>MLOps</t>
        </is>
      </c>
      <c r="F207" s="21" t="inlineStr">
        <is>
          <t>High</t>
        </is>
      </c>
      <c r="G207" s="11" t="inlineStr">
        <is>
          <t>Senior</t>
        </is>
      </c>
      <c r="H207" s="11" t="inlineStr">
        <is>
          <t>Lead</t>
        </is>
      </c>
      <c r="I207" s="23">
        <f>VLOOKUP(G207,'Internal Cost Model'!$B$6:$F$15,5,FALSE)</f>
        <v/>
      </c>
      <c r="J207" s="24">
        <f>I207*VLOOKUP(F207,Assumptions!$B$43:$C$45,2,FALSE)</f>
        <v/>
      </c>
    </row>
    <row r="208">
      <c r="B208" s="7" t="inlineStr">
        <is>
          <t>ROL-203</t>
        </is>
      </c>
      <c r="C208" s="11" t="inlineStr">
        <is>
          <t>AI &amp; GenAI</t>
        </is>
      </c>
      <c r="D208" s="7" t="inlineStr">
        <is>
          <t>Retrieval Engineer</t>
        </is>
      </c>
      <c r="E208" s="11" t="inlineStr">
        <is>
          <t>LLMOps</t>
        </is>
      </c>
      <c r="F208" s="21" t="inlineStr">
        <is>
          <t>High</t>
        </is>
      </c>
      <c r="G208" s="11" t="inlineStr">
        <is>
          <t>Senior</t>
        </is>
      </c>
      <c r="H208" s="11" t="inlineStr">
        <is>
          <t>Lead</t>
        </is>
      </c>
      <c r="I208" s="23">
        <f>VLOOKUP(G208,'Internal Cost Model'!$B$6:$F$15,5,FALSE)</f>
        <v/>
      </c>
      <c r="J208" s="24">
        <f>I208*VLOOKUP(F208,Assumptions!$B$43:$C$45,2,FALSE)</f>
        <v/>
      </c>
    </row>
    <row r="209">
      <c r="B209" s="7" t="inlineStr">
        <is>
          <t>ROL-204</t>
        </is>
      </c>
      <c r="C209" s="11" t="inlineStr">
        <is>
          <t>AI &amp; GenAI</t>
        </is>
      </c>
      <c r="D209" s="7" t="inlineStr">
        <is>
          <t>AI Solution Architect</t>
        </is>
      </c>
      <c r="E209" s="11" t="inlineStr">
        <is>
          <t>Agentic AI</t>
        </is>
      </c>
      <c r="F209" s="21" t="inlineStr">
        <is>
          <t>High</t>
        </is>
      </c>
      <c r="G209" s="11" t="inlineStr">
        <is>
          <t>Lead</t>
        </is>
      </c>
      <c r="H209" s="11" t="inlineStr">
        <is>
          <t>Director</t>
        </is>
      </c>
      <c r="I209" s="23">
        <f>VLOOKUP(G209,'Internal Cost Model'!$B$6:$F$15,5,FALSE)</f>
        <v/>
      </c>
      <c r="J209" s="24">
        <f>I209*VLOOKUP(F209,Assumptions!$B$43:$C$45,2,FALSE)</f>
        <v/>
      </c>
    </row>
    <row r="210">
      <c r="B210" s="7" t="inlineStr">
        <is>
          <t>ROL-205</t>
        </is>
      </c>
      <c r="C210" s="11" t="inlineStr">
        <is>
          <t>Digital Experience</t>
        </is>
      </c>
      <c r="D210" s="7" t="inlineStr">
        <is>
          <t>Service Designer</t>
        </is>
      </c>
      <c r="E210" s="11" t="inlineStr">
        <is>
          <t>UX Design</t>
        </is>
      </c>
      <c r="F210" s="21" t="inlineStr">
        <is>
          <t>Medium</t>
        </is>
      </c>
      <c r="G210" s="11" t="inlineStr">
        <is>
          <t>Senior</t>
        </is>
      </c>
      <c r="H210" s="11" t="inlineStr">
        <is>
          <t>Senior Manager</t>
        </is>
      </c>
      <c r="I210" s="23">
        <f>VLOOKUP(G210,'Internal Cost Model'!$B$6:$F$15,5,FALSE)</f>
        <v/>
      </c>
      <c r="J210" s="24">
        <f>I210*VLOOKUP(F210,Assumptions!$B$43:$C$45,2,FALSE)</f>
        <v/>
      </c>
    </row>
    <row r="211">
      <c r="B211" s="7" t="inlineStr">
        <is>
          <t>ROL-206</t>
        </is>
      </c>
      <c r="C211" s="11" t="inlineStr">
        <is>
          <t>Digital Experience</t>
        </is>
      </c>
      <c r="D211" s="7" t="inlineStr">
        <is>
          <t>Content Strategist</t>
        </is>
      </c>
      <c r="E211" s="11" t="inlineStr">
        <is>
          <t>Content Management</t>
        </is>
      </c>
      <c r="F211" s="21" t="inlineStr">
        <is>
          <t>Low</t>
        </is>
      </c>
      <c r="G211" s="11" t="inlineStr">
        <is>
          <t>Intermediate</t>
        </is>
      </c>
      <c r="H211" s="11" t="inlineStr">
        <is>
          <t>Senior Manager</t>
        </is>
      </c>
      <c r="I211" s="23">
        <f>VLOOKUP(G211,'Internal Cost Model'!$B$6:$F$15,5,FALSE)</f>
        <v/>
      </c>
      <c r="J211" s="24">
        <f>I211*VLOOKUP(F211,Assumptions!$B$43:$C$45,2,FALSE)</f>
        <v/>
      </c>
    </row>
    <row r="212">
      <c r="B212" s="7" t="inlineStr">
        <is>
          <t>ROL-207</t>
        </is>
      </c>
      <c r="C212" s="11" t="inlineStr">
        <is>
          <t>Digital Experience</t>
        </is>
      </c>
      <c r="D212" s="7" t="inlineStr">
        <is>
          <t>Accessibility Specialist</t>
        </is>
      </c>
      <c r="E212" s="11" t="inlineStr">
        <is>
          <t>UX Design</t>
        </is>
      </c>
      <c r="F212" s="21" t="inlineStr">
        <is>
          <t>Medium</t>
        </is>
      </c>
      <c r="G212" s="11" t="inlineStr">
        <is>
          <t>Intermediate</t>
        </is>
      </c>
      <c r="H212" s="11" t="inlineStr">
        <is>
          <t>Senior</t>
        </is>
      </c>
      <c r="I212" s="23">
        <f>VLOOKUP(G212,'Internal Cost Model'!$B$6:$F$15,5,FALSE)</f>
        <v/>
      </c>
      <c r="J212" s="24">
        <f>I212*VLOOKUP(F212,Assumptions!$B$43:$C$45,2,FALSE)</f>
        <v/>
      </c>
    </row>
    <row r="213">
      <c r="B213" s="7" t="inlineStr">
        <is>
          <t>ROL-208</t>
        </is>
      </c>
      <c r="C213" s="11" t="inlineStr">
        <is>
          <t>Digital Experience</t>
        </is>
      </c>
      <c r="D213" s="7" t="inlineStr">
        <is>
          <t>Design System Lead</t>
        </is>
      </c>
      <c r="E213" s="11" t="inlineStr">
        <is>
          <t>UI Design</t>
        </is>
      </c>
      <c r="F213" s="21" t="inlineStr">
        <is>
          <t>Medium</t>
        </is>
      </c>
      <c r="G213" s="11" t="inlineStr">
        <is>
          <t>Lead</t>
        </is>
      </c>
      <c r="H213" s="11" t="inlineStr">
        <is>
          <t>Senior Manager</t>
        </is>
      </c>
      <c r="I213" s="23">
        <f>VLOOKUP(G213,'Internal Cost Model'!$B$6:$F$15,5,FALSE)</f>
        <v/>
      </c>
      <c r="J213" s="24">
        <f>I213*VLOOKUP(F213,Assumptions!$B$43:$C$45,2,FALSE)</f>
        <v/>
      </c>
    </row>
    <row r="214">
      <c r="B214" s="7" t="inlineStr">
        <is>
          <t>ROL-209</t>
        </is>
      </c>
      <c r="C214" s="11" t="inlineStr">
        <is>
          <t>Marketing Technology</t>
        </is>
      </c>
      <c r="D214" s="7" t="inlineStr">
        <is>
          <t>Adobe Campaign Consultant</t>
        </is>
      </c>
      <c r="E214" s="11" t="inlineStr">
        <is>
          <t>Journey Orchestration</t>
        </is>
      </c>
      <c r="F214" s="21" t="inlineStr">
        <is>
          <t>Medium</t>
        </is>
      </c>
      <c r="G214" s="11" t="inlineStr">
        <is>
          <t>Senior</t>
        </is>
      </c>
      <c r="H214" s="11" t="inlineStr">
        <is>
          <t>Manager</t>
        </is>
      </c>
      <c r="I214" s="23">
        <f>VLOOKUP(G214,'Internal Cost Model'!$B$6:$F$15,5,FALSE)</f>
        <v/>
      </c>
      <c r="J214" s="24">
        <f>I214*VLOOKUP(F214,Assumptions!$B$43:$C$45,2,FALSE)</f>
        <v/>
      </c>
    </row>
    <row r="215">
      <c r="B215" s="7" t="inlineStr">
        <is>
          <t>ROL-210</t>
        </is>
      </c>
      <c r="C215" s="11" t="inlineStr">
        <is>
          <t>Marketing Technology</t>
        </is>
      </c>
      <c r="D215" s="7" t="inlineStr">
        <is>
          <t>Adobe Target Specialist</t>
        </is>
      </c>
      <c r="E215" s="11" t="inlineStr">
        <is>
          <t>Adobe Analytics</t>
        </is>
      </c>
      <c r="F215" s="21" t="inlineStr">
        <is>
          <t>Medium</t>
        </is>
      </c>
      <c r="G215" s="11" t="inlineStr">
        <is>
          <t>Intermediate</t>
        </is>
      </c>
      <c r="H215" s="11" t="inlineStr">
        <is>
          <t>Senior</t>
        </is>
      </c>
      <c r="I215" s="23">
        <f>VLOOKUP(G215,'Internal Cost Model'!$B$6:$F$15,5,FALSE)</f>
        <v/>
      </c>
      <c r="J215" s="24">
        <f>I215*VLOOKUP(F215,Assumptions!$B$43:$C$45,2,FALSE)</f>
        <v/>
      </c>
    </row>
    <row r="216">
      <c r="B216" s="7" t="inlineStr">
        <is>
          <t>ROL-211</t>
        </is>
      </c>
      <c r="C216" s="11" t="inlineStr">
        <is>
          <t>Marketing Technology</t>
        </is>
      </c>
      <c r="D216" s="7" t="inlineStr">
        <is>
          <t>MarTech Engineer</t>
        </is>
      </c>
      <c r="E216" s="11" t="inlineStr">
        <is>
          <t>MarTech Strategy</t>
        </is>
      </c>
      <c r="F216" s="21" t="inlineStr">
        <is>
          <t>Medium</t>
        </is>
      </c>
      <c r="G216" s="11" t="inlineStr">
        <is>
          <t>Intermediate</t>
        </is>
      </c>
      <c r="H216" s="11" t="inlineStr">
        <is>
          <t>Senior</t>
        </is>
      </c>
      <c r="I216" s="23">
        <f>VLOOKUP(G216,'Internal Cost Model'!$B$6:$F$15,5,FALSE)</f>
        <v/>
      </c>
      <c r="J216" s="24">
        <f>I216*VLOOKUP(F216,Assumptions!$B$43:$C$45,2,FALSE)</f>
        <v/>
      </c>
    </row>
    <row r="217">
      <c r="B217" s="7" t="inlineStr">
        <is>
          <t>ROL-212</t>
        </is>
      </c>
      <c r="C217" s="11" t="inlineStr">
        <is>
          <t>Marketing Technology</t>
        </is>
      </c>
      <c r="D217" s="7" t="inlineStr">
        <is>
          <t>Personalization Lead</t>
        </is>
      </c>
      <c r="E217" s="11" t="inlineStr">
        <is>
          <t>Journey Orchestration</t>
        </is>
      </c>
      <c r="F217" s="21" t="inlineStr">
        <is>
          <t>Medium</t>
        </is>
      </c>
      <c r="G217" s="11" t="inlineStr">
        <is>
          <t>Lead</t>
        </is>
      </c>
      <c r="H217" s="11" t="inlineStr">
        <is>
          <t>Senior Manager</t>
        </is>
      </c>
      <c r="I217" s="23">
        <f>VLOOKUP(G217,'Internal Cost Model'!$B$6:$F$15,5,FALSE)</f>
        <v/>
      </c>
      <c r="J217" s="24">
        <f>I217*VLOOKUP(F217,Assumptions!$B$43:$C$45,2,FALSE)</f>
        <v/>
      </c>
    </row>
    <row r="218">
      <c r="B218" s="7" t="inlineStr">
        <is>
          <t>ROL-213</t>
        </is>
      </c>
      <c r="C218" s="11" t="inlineStr">
        <is>
          <t>Marketing Technology</t>
        </is>
      </c>
      <c r="D218" s="7" t="inlineStr">
        <is>
          <t>CDP Engineer</t>
        </is>
      </c>
      <c r="E218" s="11" t="inlineStr">
        <is>
          <t>Customer Data Platform</t>
        </is>
      </c>
      <c r="F218" s="21" t="inlineStr">
        <is>
          <t>High</t>
        </is>
      </c>
      <c r="G218" s="11" t="inlineStr">
        <is>
          <t>Intermediate</t>
        </is>
      </c>
      <c r="H218" s="11" t="inlineStr">
        <is>
          <t>Senior</t>
        </is>
      </c>
      <c r="I218" s="23">
        <f>VLOOKUP(G218,'Internal Cost Model'!$B$6:$F$15,5,FALSE)</f>
        <v/>
      </c>
      <c r="J218" s="24">
        <f>I218*VLOOKUP(F218,Assumptions!$B$43:$C$45,2,FALSE)</f>
        <v/>
      </c>
    </row>
    <row r="219">
      <c r="B219" s="7" t="inlineStr">
        <is>
          <t>ROL-214</t>
        </is>
      </c>
      <c r="C219" s="11" t="inlineStr">
        <is>
          <t>Product Management</t>
        </is>
      </c>
      <c r="D219" s="7" t="inlineStr">
        <is>
          <t>Technical Product Manager</t>
        </is>
      </c>
      <c r="E219" s="11" t="inlineStr">
        <is>
          <t>Product Strategy</t>
        </is>
      </c>
      <c r="F219" s="21" t="inlineStr">
        <is>
          <t>High</t>
        </is>
      </c>
      <c r="G219" s="11" t="inlineStr">
        <is>
          <t>Senior Manager</t>
        </is>
      </c>
      <c r="H219" s="11" t="inlineStr">
        <is>
          <t>Director</t>
        </is>
      </c>
      <c r="I219" s="23">
        <f>VLOOKUP(G219,'Internal Cost Model'!$B$6:$F$15,5,FALSE)</f>
        <v/>
      </c>
      <c r="J219" s="24">
        <f>I219*VLOOKUP(F219,Assumptions!$B$43:$C$45,2,FALSE)</f>
        <v/>
      </c>
    </row>
    <row r="220">
      <c r="B220" s="7" t="inlineStr">
        <is>
          <t>ROL-215</t>
        </is>
      </c>
      <c r="C220" s="11" t="inlineStr">
        <is>
          <t>Product Management</t>
        </is>
      </c>
      <c r="D220" s="7" t="inlineStr">
        <is>
          <t>Platform Product Manager</t>
        </is>
      </c>
      <c r="E220" s="11" t="inlineStr">
        <is>
          <t>Product Strategy</t>
        </is>
      </c>
      <c r="F220" s="21" t="inlineStr">
        <is>
          <t>High</t>
        </is>
      </c>
      <c r="G220" s="11" t="inlineStr">
        <is>
          <t>Senior Manager</t>
        </is>
      </c>
      <c r="H220" s="11" t="inlineStr">
        <is>
          <t>Director</t>
        </is>
      </c>
      <c r="I220" s="23">
        <f>VLOOKUP(G220,'Internal Cost Model'!$B$6:$F$15,5,FALSE)</f>
        <v/>
      </c>
      <c r="J220" s="24">
        <f>I220*VLOOKUP(F220,Assumptions!$B$43:$C$45,2,FALSE)</f>
        <v/>
      </c>
    </row>
    <row r="221">
      <c r="B221" s="7" t="inlineStr">
        <is>
          <t>ROL-216</t>
        </is>
      </c>
      <c r="C221" s="11" t="inlineStr">
        <is>
          <t>Product Management</t>
        </is>
      </c>
      <c r="D221" s="7" t="inlineStr">
        <is>
          <t>Product Analyst</t>
        </is>
      </c>
      <c r="E221" s="11" t="inlineStr">
        <is>
          <t>Product Discovery</t>
        </is>
      </c>
      <c r="F221" s="21" t="inlineStr">
        <is>
          <t>Medium</t>
        </is>
      </c>
      <c r="G221" s="11" t="inlineStr">
        <is>
          <t>Junior</t>
        </is>
      </c>
      <c r="H221" s="11" t="inlineStr">
        <is>
          <t>Senior</t>
        </is>
      </c>
      <c r="I221" s="23">
        <f>VLOOKUP(G221,'Internal Cost Model'!$B$6:$F$15,5,FALSE)</f>
        <v/>
      </c>
      <c r="J221" s="24">
        <f>I221*VLOOKUP(F221,Assumptions!$B$43:$C$45,2,FALSE)</f>
        <v/>
      </c>
    </row>
    <row r="222">
      <c r="B222" s="7" t="inlineStr">
        <is>
          <t>ROL-217</t>
        </is>
      </c>
      <c r="C222" s="11" t="inlineStr">
        <is>
          <t>Product Management</t>
        </is>
      </c>
      <c r="D222" s="7" t="inlineStr">
        <is>
          <t>Product Designer</t>
        </is>
      </c>
      <c r="E222" s="11" t="inlineStr">
        <is>
          <t>Product Discovery</t>
        </is>
      </c>
      <c r="F222" s="21" t="inlineStr">
        <is>
          <t>Medium</t>
        </is>
      </c>
      <c r="G222" s="11" t="inlineStr">
        <is>
          <t>Intermediate</t>
        </is>
      </c>
      <c r="H222" s="11" t="inlineStr">
        <is>
          <t>Senior</t>
        </is>
      </c>
      <c r="I222" s="23">
        <f>VLOOKUP(G222,'Internal Cost Model'!$B$6:$F$15,5,FALSE)</f>
        <v/>
      </c>
      <c r="J222" s="24">
        <f>I222*VLOOKUP(F222,Assumptions!$B$43:$C$45,2,FALSE)</f>
        <v/>
      </c>
    </row>
    <row r="223">
      <c r="B223" s="7" t="inlineStr">
        <is>
          <t>ROL-218</t>
        </is>
      </c>
      <c r="C223" s="11" t="inlineStr">
        <is>
          <t>Application Engineering</t>
        </is>
      </c>
      <c r="D223" s="7" t="inlineStr">
        <is>
          <t>Staff Engineer</t>
        </is>
      </c>
      <c r="E223" s="11" t="inlineStr">
        <is>
          <t>Backend Engineering</t>
        </is>
      </c>
      <c r="F223" s="21" t="inlineStr">
        <is>
          <t>High</t>
        </is>
      </c>
      <c r="G223" s="11" t="inlineStr">
        <is>
          <t>Lead</t>
        </is>
      </c>
      <c r="H223" s="11" t="inlineStr">
        <is>
          <t>Principal</t>
        </is>
      </c>
      <c r="I223" s="23">
        <f>VLOOKUP(G223,'Internal Cost Model'!$B$6:$F$15,5,FALSE)</f>
        <v/>
      </c>
      <c r="J223" s="24">
        <f>I223*VLOOKUP(F223,Assumptions!$B$43:$C$45,2,FALSE)</f>
        <v/>
      </c>
    </row>
    <row r="224">
      <c r="B224" s="7" t="inlineStr">
        <is>
          <t>ROL-219</t>
        </is>
      </c>
      <c r="C224" s="11" t="inlineStr">
        <is>
          <t>Application Engineering</t>
        </is>
      </c>
      <c r="D224" s="7" t="inlineStr">
        <is>
          <t>Full-Stack Engineer</t>
        </is>
      </c>
      <c r="E224" s="11" t="inlineStr">
        <is>
          <t>Backend Engineering</t>
        </is>
      </c>
      <c r="F224" s="21" t="inlineStr">
        <is>
          <t>Medium</t>
        </is>
      </c>
      <c r="G224" s="11" t="inlineStr">
        <is>
          <t>Intermediate</t>
        </is>
      </c>
      <c r="H224" s="11" t="inlineStr">
        <is>
          <t>Senior</t>
        </is>
      </c>
      <c r="I224" s="23">
        <f>VLOOKUP(G224,'Internal Cost Model'!$B$6:$F$15,5,FALSE)</f>
        <v/>
      </c>
      <c r="J224" s="24">
        <f>I224*VLOOKUP(F224,Assumptions!$B$43:$C$45,2,FALSE)</f>
        <v/>
      </c>
    </row>
    <row r="225">
      <c r="B225" s="7" t="inlineStr">
        <is>
          <t>ROL-220</t>
        </is>
      </c>
      <c r="C225" s="11" t="inlineStr">
        <is>
          <t>Application Engineering</t>
        </is>
      </c>
      <c r="D225" s="7" t="inlineStr">
        <is>
          <t>Java Engineer</t>
        </is>
      </c>
      <c r="E225" s="11" t="inlineStr">
        <is>
          <t>Backend Engineering</t>
        </is>
      </c>
      <c r="F225" s="21" t="inlineStr">
        <is>
          <t>Medium</t>
        </is>
      </c>
      <c r="G225" s="11" t="inlineStr">
        <is>
          <t>Intermediate</t>
        </is>
      </c>
      <c r="H225" s="11" t="inlineStr">
        <is>
          <t>Senior</t>
        </is>
      </c>
      <c r="I225" s="23">
        <f>VLOOKUP(G225,'Internal Cost Model'!$B$6:$F$15,5,FALSE)</f>
        <v/>
      </c>
      <c r="J225" s="24">
        <f>I225*VLOOKUP(F225,Assumptions!$B$43:$C$45,2,FALSE)</f>
        <v/>
      </c>
    </row>
    <row r="226">
      <c r="B226" s="7" t="inlineStr">
        <is>
          <t>ROL-221</t>
        </is>
      </c>
      <c r="C226" s="11" t="inlineStr">
        <is>
          <t>Application Engineering</t>
        </is>
      </c>
      <c r="D226" s="7" t="inlineStr">
        <is>
          <t>.NET Engineer</t>
        </is>
      </c>
      <c r="E226" s="11" t="inlineStr">
        <is>
          <t>Backend Engineering</t>
        </is>
      </c>
      <c r="F226" s="21" t="inlineStr">
        <is>
          <t>Medium</t>
        </is>
      </c>
      <c r="G226" s="11" t="inlineStr">
        <is>
          <t>Intermediate</t>
        </is>
      </c>
      <c r="H226" s="11" t="inlineStr">
        <is>
          <t>Senior</t>
        </is>
      </c>
      <c r="I226" s="23">
        <f>VLOOKUP(G226,'Internal Cost Model'!$B$6:$F$15,5,FALSE)</f>
        <v/>
      </c>
      <c r="J226" s="24">
        <f>I226*VLOOKUP(F226,Assumptions!$B$43:$C$45,2,FALSE)</f>
        <v/>
      </c>
    </row>
    <row r="227">
      <c r="B227" s="7" t="inlineStr">
        <is>
          <t>ROL-222</t>
        </is>
      </c>
      <c r="C227" s="11" t="inlineStr">
        <is>
          <t>Application Engineering</t>
        </is>
      </c>
      <c r="D227" s="7" t="inlineStr">
        <is>
          <t>Python Engineer</t>
        </is>
      </c>
      <c r="E227" s="11" t="inlineStr">
        <is>
          <t>Backend Engineering</t>
        </is>
      </c>
      <c r="F227" s="21" t="inlineStr">
        <is>
          <t>Medium</t>
        </is>
      </c>
      <c r="G227" s="11" t="inlineStr">
        <is>
          <t>Intermediate</t>
        </is>
      </c>
      <c r="H227" s="11" t="inlineStr">
        <is>
          <t>Senior</t>
        </is>
      </c>
      <c r="I227" s="23">
        <f>VLOOKUP(G227,'Internal Cost Model'!$B$6:$F$15,5,FALSE)</f>
        <v/>
      </c>
      <c r="J227" s="24">
        <f>I227*VLOOKUP(F227,Assumptions!$B$43:$C$45,2,FALSE)</f>
        <v/>
      </c>
    </row>
    <row r="228">
      <c r="B228" s="7" t="inlineStr">
        <is>
          <t>ROL-223</t>
        </is>
      </c>
      <c r="C228" s="11" t="inlineStr">
        <is>
          <t>Application Engineering</t>
        </is>
      </c>
      <c r="D228" s="7" t="inlineStr">
        <is>
          <t>React Engineer</t>
        </is>
      </c>
      <c r="E228" s="11" t="inlineStr">
        <is>
          <t>Frontend Engineering</t>
        </is>
      </c>
      <c r="F228" s="21" t="inlineStr">
        <is>
          <t>Medium</t>
        </is>
      </c>
      <c r="G228" s="11" t="inlineStr">
        <is>
          <t>Intermediate</t>
        </is>
      </c>
      <c r="H228" s="11" t="inlineStr">
        <is>
          <t>Senior</t>
        </is>
      </c>
      <c r="I228" s="23">
        <f>VLOOKUP(G228,'Internal Cost Model'!$B$6:$F$15,5,FALSE)</f>
        <v/>
      </c>
      <c r="J228" s="24">
        <f>I228*VLOOKUP(F228,Assumptions!$B$43:$C$45,2,FALSE)</f>
        <v/>
      </c>
    </row>
    <row r="229">
      <c r="B229" s="7" t="inlineStr">
        <is>
          <t>ROL-224</t>
        </is>
      </c>
      <c r="C229" s="11" t="inlineStr">
        <is>
          <t>Application Engineering</t>
        </is>
      </c>
      <c r="D229" s="7" t="inlineStr">
        <is>
          <t>iOS Engineer</t>
        </is>
      </c>
      <c r="E229" s="11" t="inlineStr">
        <is>
          <t>Mobile Engineering</t>
        </is>
      </c>
      <c r="F229" s="21" t="inlineStr">
        <is>
          <t>Medium</t>
        </is>
      </c>
      <c r="G229" s="11" t="inlineStr">
        <is>
          <t>Intermediate</t>
        </is>
      </c>
      <c r="H229" s="11" t="inlineStr">
        <is>
          <t>Senior</t>
        </is>
      </c>
      <c r="I229" s="23">
        <f>VLOOKUP(G229,'Internal Cost Model'!$B$6:$F$15,5,FALSE)</f>
        <v/>
      </c>
      <c r="J229" s="24">
        <f>I229*VLOOKUP(F229,Assumptions!$B$43:$C$45,2,FALSE)</f>
        <v/>
      </c>
    </row>
    <row r="230">
      <c r="B230" s="7" t="inlineStr">
        <is>
          <t>ROL-225</t>
        </is>
      </c>
      <c r="C230" s="11" t="inlineStr">
        <is>
          <t>Application Engineering</t>
        </is>
      </c>
      <c r="D230" s="7" t="inlineStr">
        <is>
          <t>Android Engineer</t>
        </is>
      </c>
      <c r="E230" s="11" t="inlineStr">
        <is>
          <t>Mobile Engineering</t>
        </is>
      </c>
      <c r="F230" s="21" t="inlineStr">
        <is>
          <t>Medium</t>
        </is>
      </c>
      <c r="G230" s="11" t="inlineStr">
        <is>
          <t>Intermediate</t>
        </is>
      </c>
      <c r="H230" s="11" t="inlineStr">
        <is>
          <t>Senior</t>
        </is>
      </c>
      <c r="I230" s="23">
        <f>VLOOKUP(G230,'Internal Cost Model'!$B$6:$F$15,5,FALSE)</f>
        <v/>
      </c>
      <c r="J230" s="24">
        <f>I230*VLOOKUP(F230,Assumptions!$B$43:$C$45,2,FALSE)</f>
        <v/>
      </c>
    </row>
    <row r="231">
      <c r="B231" s="7" t="inlineStr">
        <is>
          <t>ROL-226</t>
        </is>
      </c>
      <c r="C231" s="11" t="inlineStr">
        <is>
          <t>Application Engineering</t>
        </is>
      </c>
      <c r="D231" s="7" t="inlineStr">
        <is>
          <t>GraphQL Engineer</t>
        </is>
      </c>
      <c r="E231" s="11" t="inlineStr">
        <is>
          <t>API Engineering</t>
        </is>
      </c>
      <c r="F231" s="21" t="inlineStr">
        <is>
          <t>Medium</t>
        </is>
      </c>
      <c r="G231" s="11" t="inlineStr">
        <is>
          <t>Intermediate</t>
        </is>
      </c>
      <c r="H231" s="11" t="inlineStr">
        <is>
          <t>Senior</t>
        </is>
      </c>
      <c r="I231" s="23">
        <f>VLOOKUP(G231,'Internal Cost Model'!$B$6:$F$15,5,FALSE)</f>
        <v/>
      </c>
      <c r="J231" s="24">
        <f>I231*VLOOKUP(F231,Assumptions!$B$43:$C$45,2,FALSE)</f>
        <v/>
      </c>
    </row>
    <row r="232">
      <c r="B232" s="7" t="inlineStr">
        <is>
          <t>ROL-227</t>
        </is>
      </c>
      <c r="C232" s="11" t="inlineStr">
        <is>
          <t>Application Engineering</t>
        </is>
      </c>
      <c r="D232" s="7" t="inlineStr">
        <is>
          <t>ServiceNow Architect</t>
        </is>
      </c>
      <c r="E232" s="11" t="inlineStr">
        <is>
          <t>ServiceNow ITSM</t>
        </is>
      </c>
      <c r="F232" s="21" t="inlineStr">
        <is>
          <t>High</t>
        </is>
      </c>
      <c r="G232" s="11" t="inlineStr">
        <is>
          <t>Lead</t>
        </is>
      </c>
      <c r="H232" s="11" t="inlineStr">
        <is>
          <t>Director</t>
        </is>
      </c>
      <c r="I232" s="23">
        <f>VLOOKUP(G232,'Internal Cost Model'!$B$6:$F$15,5,FALSE)</f>
        <v/>
      </c>
      <c r="J232" s="24">
        <f>I232*VLOOKUP(F232,Assumptions!$B$43:$C$45,2,FALSE)</f>
        <v/>
      </c>
    </row>
    <row r="233">
      <c r="B233" s="7" t="inlineStr">
        <is>
          <t>ROL-228</t>
        </is>
      </c>
      <c r="C233" s="11" t="inlineStr">
        <is>
          <t>Application Engineering</t>
        </is>
      </c>
      <c r="D233" s="7" t="inlineStr">
        <is>
          <t>ServiceNow ITSM Developer</t>
        </is>
      </c>
      <c r="E233" s="11" t="inlineStr">
        <is>
          <t>ServiceNow ITSM</t>
        </is>
      </c>
      <c r="F233" s="21" t="inlineStr">
        <is>
          <t>High</t>
        </is>
      </c>
      <c r="G233" s="11" t="inlineStr">
        <is>
          <t>Intermediate</t>
        </is>
      </c>
      <c r="H233" s="11" t="inlineStr">
        <is>
          <t>Senior</t>
        </is>
      </c>
      <c r="I233" s="23">
        <f>VLOOKUP(G233,'Internal Cost Model'!$B$6:$F$15,5,FALSE)</f>
        <v/>
      </c>
      <c r="J233" s="24">
        <f>I233*VLOOKUP(F233,Assumptions!$B$43:$C$45,2,FALSE)</f>
        <v/>
      </c>
    </row>
    <row r="234">
      <c r="B234" s="7" t="inlineStr">
        <is>
          <t>ROL-229</t>
        </is>
      </c>
      <c r="C234" s="11" t="inlineStr">
        <is>
          <t>Application Engineering</t>
        </is>
      </c>
      <c r="D234" s="7" t="inlineStr">
        <is>
          <t>ServiceNow HRSD Developer</t>
        </is>
      </c>
      <c r="E234" s="11" t="inlineStr">
        <is>
          <t>ServiceNow HRSD</t>
        </is>
      </c>
      <c r="F234" s="21" t="inlineStr">
        <is>
          <t>Medium</t>
        </is>
      </c>
      <c r="G234" s="11" t="inlineStr">
        <is>
          <t>Intermediate</t>
        </is>
      </c>
      <c r="H234" s="11" t="inlineStr">
        <is>
          <t>Senior</t>
        </is>
      </c>
      <c r="I234" s="23">
        <f>VLOOKUP(G234,'Internal Cost Model'!$B$6:$F$15,5,FALSE)</f>
        <v/>
      </c>
      <c r="J234" s="24">
        <f>I234*VLOOKUP(F234,Assumptions!$B$43:$C$45,2,FALSE)</f>
        <v/>
      </c>
    </row>
    <row r="235">
      <c r="B235" s="7" t="inlineStr">
        <is>
          <t>ROL-230</t>
        </is>
      </c>
      <c r="C235" s="11" t="inlineStr">
        <is>
          <t>Application Engineering</t>
        </is>
      </c>
      <c r="D235" s="7" t="inlineStr">
        <is>
          <t>ServiceNow ITOM Consultant</t>
        </is>
      </c>
      <c r="E235" s="11" t="inlineStr">
        <is>
          <t>ServiceNow ITOM</t>
        </is>
      </c>
      <c r="F235" s="21" t="inlineStr">
        <is>
          <t>High</t>
        </is>
      </c>
      <c r="G235" s="11" t="inlineStr">
        <is>
          <t>Senior</t>
        </is>
      </c>
      <c r="H235" s="11" t="inlineStr">
        <is>
          <t>Senior Manager</t>
        </is>
      </c>
      <c r="I235" s="23">
        <f>VLOOKUP(G235,'Internal Cost Model'!$B$6:$F$15,5,FALSE)</f>
        <v/>
      </c>
      <c r="J235" s="24">
        <f>I235*VLOOKUP(F235,Assumptions!$B$43:$C$45,2,FALSE)</f>
        <v/>
      </c>
    </row>
    <row r="236">
      <c r="B236" s="7" t="inlineStr">
        <is>
          <t>ROL-231</t>
        </is>
      </c>
      <c r="C236" s="11" t="inlineStr">
        <is>
          <t>Application Engineering</t>
        </is>
      </c>
      <c r="D236" s="7" t="inlineStr">
        <is>
          <t>ServiceNow SecOps Consultant</t>
        </is>
      </c>
      <c r="E236" s="11" t="inlineStr">
        <is>
          <t>ServiceNow SecOps</t>
        </is>
      </c>
      <c r="F236" s="21" t="inlineStr">
        <is>
          <t>High</t>
        </is>
      </c>
      <c r="G236" s="11" t="inlineStr">
        <is>
          <t>Senior</t>
        </is>
      </c>
      <c r="H236" s="11" t="inlineStr">
        <is>
          <t>Senior Manager</t>
        </is>
      </c>
      <c r="I236" s="23">
        <f>VLOOKUP(G236,'Internal Cost Model'!$B$6:$F$15,5,FALSE)</f>
        <v/>
      </c>
      <c r="J236" s="24">
        <f>I236*VLOOKUP(F236,Assumptions!$B$43:$C$45,2,FALSE)</f>
        <v/>
      </c>
    </row>
    <row r="237">
      <c r="B237" s="7" t="inlineStr">
        <is>
          <t>ROL-232</t>
        </is>
      </c>
      <c r="C237" s="11" t="inlineStr">
        <is>
          <t>Application Engineering</t>
        </is>
      </c>
      <c r="D237" s="7" t="inlineStr">
        <is>
          <t>Salesforce Architect</t>
        </is>
      </c>
      <c r="E237" s="11" t="inlineStr">
        <is>
          <t>Salesforce Platform</t>
        </is>
      </c>
      <c r="F237" s="21" t="inlineStr">
        <is>
          <t>High</t>
        </is>
      </c>
      <c r="G237" s="11" t="inlineStr">
        <is>
          <t>Lead</t>
        </is>
      </c>
      <c r="H237" s="11" t="inlineStr">
        <is>
          <t>Director</t>
        </is>
      </c>
      <c r="I237" s="23">
        <f>VLOOKUP(G237,'Internal Cost Model'!$B$6:$F$15,5,FALSE)</f>
        <v/>
      </c>
      <c r="J237" s="24">
        <f>I237*VLOOKUP(F237,Assumptions!$B$43:$C$45,2,FALSE)</f>
        <v/>
      </c>
    </row>
    <row r="238">
      <c r="B238" s="7" t="inlineStr">
        <is>
          <t>ROL-233</t>
        </is>
      </c>
      <c r="C238" s="11" t="inlineStr">
        <is>
          <t>Application Engineering</t>
        </is>
      </c>
      <c r="D238" s="7" t="inlineStr">
        <is>
          <t>Salesforce Sales Cloud Consultant</t>
        </is>
      </c>
      <c r="E238" s="11" t="inlineStr">
        <is>
          <t>Salesforce Sales Cloud</t>
        </is>
      </c>
      <c r="F238" s="21" t="inlineStr">
        <is>
          <t>High</t>
        </is>
      </c>
      <c r="G238" s="11" t="inlineStr">
        <is>
          <t>Senior</t>
        </is>
      </c>
      <c r="H238" s="11" t="inlineStr">
        <is>
          <t>Manager</t>
        </is>
      </c>
      <c r="I238" s="23">
        <f>VLOOKUP(G238,'Internal Cost Model'!$B$6:$F$15,5,FALSE)</f>
        <v/>
      </c>
      <c r="J238" s="24">
        <f>I238*VLOOKUP(F238,Assumptions!$B$43:$C$45,2,FALSE)</f>
        <v/>
      </c>
    </row>
    <row r="239">
      <c r="B239" s="7" t="inlineStr">
        <is>
          <t>ROL-234</t>
        </is>
      </c>
      <c r="C239" s="11" t="inlineStr">
        <is>
          <t>Application Engineering</t>
        </is>
      </c>
      <c r="D239" s="7" t="inlineStr">
        <is>
          <t>Salesforce Service Cloud Consultant</t>
        </is>
      </c>
      <c r="E239" s="11" t="inlineStr">
        <is>
          <t>Salesforce Service Cloud</t>
        </is>
      </c>
      <c r="F239" s="21" t="inlineStr">
        <is>
          <t>High</t>
        </is>
      </c>
      <c r="G239" s="11" t="inlineStr">
        <is>
          <t>Senior</t>
        </is>
      </c>
      <c r="H239" s="11" t="inlineStr">
        <is>
          <t>Manager</t>
        </is>
      </c>
      <c r="I239" s="23">
        <f>VLOOKUP(G239,'Internal Cost Model'!$B$6:$F$15,5,FALSE)</f>
        <v/>
      </c>
      <c r="J239" s="24">
        <f>I239*VLOOKUP(F239,Assumptions!$B$43:$C$45,2,FALSE)</f>
        <v/>
      </c>
    </row>
    <row r="240">
      <c r="B240" s="7" t="inlineStr">
        <is>
          <t>ROL-235</t>
        </is>
      </c>
      <c r="C240" s="11" t="inlineStr">
        <is>
          <t>Application Engineering</t>
        </is>
      </c>
      <c r="D240" s="7" t="inlineStr">
        <is>
          <t>Salesforce Marketing Cloud Consultant</t>
        </is>
      </c>
      <c r="E240" s="11" t="inlineStr">
        <is>
          <t>Salesforce Marketing Cloud</t>
        </is>
      </c>
      <c r="F240" s="21" t="inlineStr">
        <is>
          <t>Medium</t>
        </is>
      </c>
      <c r="G240" s="11" t="inlineStr">
        <is>
          <t>Senior</t>
        </is>
      </c>
      <c r="H240" s="11" t="inlineStr">
        <is>
          <t>Manager</t>
        </is>
      </c>
      <c r="I240" s="23">
        <f>VLOOKUP(G240,'Internal Cost Model'!$B$6:$F$15,5,FALSE)</f>
        <v/>
      </c>
      <c r="J240" s="24">
        <f>I240*VLOOKUP(F240,Assumptions!$B$43:$C$45,2,FALSE)</f>
        <v/>
      </c>
    </row>
    <row r="241">
      <c r="B241" s="7" t="inlineStr">
        <is>
          <t>ROL-236</t>
        </is>
      </c>
      <c r="C241" s="11" t="inlineStr">
        <is>
          <t>Application Engineering</t>
        </is>
      </c>
      <c r="D241" s="7" t="inlineStr">
        <is>
          <t>Apex Developer</t>
        </is>
      </c>
      <c r="E241" s="11" t="inlineStr">
        <is>
          <t>Salesforce Platform</t>
        </is>
      </c>
      <c r="F241" s="21" t="inlineStr">
        <is>
          <t>Medium</t>
        </is>
      </c>
      <c r="G241" s="11" t="inlineStr">
        <is>
          <t>Intermediate</t>
        </is>
      </c>
      <c r="H241" s="11" t="inlineStr">
        <is>
          <t>Senior</t>
        </is>
      </c>
      <c r="I241" s="23">
        <f>VLOOKUP(G241,'Internal Cost Model'!$B$6:$F$15,5,FALSE)</f>
        <v/>
      </c>
      <c r="J241" s="24">
        <f>I241*VLOOKUP(F241,Assumptions!$B$43:$C$45,2,FALSE)</f>
        <v/>
      </c>
    </row>
    <row r="242">
      <c r="B242" s="7" t="inlineStr">
        <is>
          <t>ROL-237</t>
        </is>
      </c>
      <c r="C242" s="11" t="inlineStr">
        <is>
          <t>Application Engineering</t>
        </is>
      </c>
      <c r="D242" s="7" t="inlineStr">
        <is>
          <t>LWC Developer</t>
        </is>
      </c>
      <c r="E242" s="11" t="inlineStr">
        <is>
          <t>Salesforce Platform</t>
        </is>
      </c>
      <c r="F242" s="21" t="inlineStr">
        <is>
          <t>Medium</t>
        </is>
      </c>
      <c r="G242" s="11" t="inlineStr">
        <is>
          <t>Intermediate</t>
        </is>
      </c>
      <c r="H242" s="11" t="inlineStr">
        <is>
          <t>Senior</t>
        </is>
      </c>
      <c r="I242" s="23">
        <f>VLOOKUP(G242,'Internal Cost Model'!$B$6:$F$15,5,FALSE)</f>
        <v/>
      </c>
      <c r="J242" s="24">
        <f>I242*VLOOKUP(F242,Assumptions!$B$43:$C$45,2,FALSE)</f>
        <v/>
      </c>
    </row>
    <row r="243">
      <c r="B243" s="7" t="inlineStr">
        <is>
          <t>ROL-238</t>
        </is>
      </c>
      <c r="C243" s="11" t="inlineStr">
        <is>
          <t>Integration</t>
        </is>
      </c>
      <c r="D243" s="7" t="inlineStr">
        <is>
          <t>MuleSoft Architect</t>
        </is>
      </c>
      <c r="E243" s="11" t="inlineStr">
        <is>
          <t>MuleSoft</t>
        </is>
      </c>
      <c r="F243" s="21" t="inlineStr">
        <is>
          <t>High</t>
        </is>
      </c>
      <c r="G243" s="11" t="inlineStr">
        <is>
          <t>Lead</t>
        </is>
      </c>
      <c r="H243" s="11" t="inlineStr">
        <is>
          <t>Director</t>
        </is>
      </c>
      <c r="I243" s="23">
        <f>VLOOKUP(G243,'Internal Cost Model'!$B$6:$F$15,5,FALSE)</f>
        <v/>
      </c>
      <c r="J243" s="24">
        <f>I243*VLOOKUP(F243,Assumptions!$B$43:$C$45,2,FALSE)</f>
        <v/>
      </c>
    </row>
    <row r="244">
      <c r="B244" s="7" t="inlineStr">
        <is>
          <t>ROL-239</t>
        </is>
      </c>
      <c r="C244" s="11" t="inlineStr">
        <is>
          <t>Integration</t>
        </is>
      </c>
      <c r="D244" s="7" t="inlineStr">
        <is>
          <t>MuleSoft Developer</t>
        </is>
      </c>
      <c r="E244" s="11" t="inlineStr">
        <is>
          <t>MuleSoft</t>
        </is>
      </c>
      <c r="F244" s="21" t="inlineStr">
        <is>
          <t>High</t>
        </is>
      </c>
      <c r="G244" s="11" t="inlineStr">
        <is>
          <t>Intermediate</t>
        </is>
      </c>
      <c r="H244" s="11" t="inlineStr">
        <is>
          <t>Senior</t>
        </is>
      </c>
      <c r="I244" s="23">
        <f>VLOOKUP(G244,'Internal Cost Model'!$B$6:$F$15,5,FALSE)</f>
        <v/>
      </c>
      <c r="J244" s="24">
        <f>I244*VLOOKUP(F244,Assumptions!$B$43:$C$45,2,FALSE)</f>
        <v/>
      </c>
    </row>
    <row r="245">
      <c r="B245" s="7" t="inlineStr">
        <is>
          <t>ROL-240</t>
        </is>
      </c>
      <c r="C245" s="11" t="inlineStr">
        <is>
          <t>Integration</t>
        </is>
      </c>
      <c r="D245" s="7" t="inlineStr">
        <is>
          <t>Kafka Engineer</t>
        </is>
      </c>
      <c r="E245" s="11" t="inlineStr">
        <is>
          <t>Event Streaming</t>
        </is>
      </c>
      <c r="F245" s="21" t="inlineStr">
        <is>
          <t>High</t>
        </is>
      </c>
      <c r="G245" s="11" t="inlineStr">
        <is>
          <t>Senior</t>
        </is>
      </c>
      <c r="H245" s="11" t="inlineStr">
        <is>
          <t>Lead</t>
        </is>
      </c>
      <c r="I245" s="23">
        <f>VLOOKUP(G245,'Internal Cost Model'!$B$6:$F$15,5,FALSE)</f>
        <v/>
      </c>
      <c r="J245" s="24">
        <f>I245*VLOOKUP(F245,Assumptions!$B$43:$C$45,2,FALSE)</f>
        <v/>
      </c>
    </row>
    <row r="246">
      <c r="B246" s="7" t="inlineStr">
        <is>
          <t>ROL-241</t>
        </is>
      </c>
      <c r="C246" s="11" t="inlineStr">
        <is>
          <t>Integration</t>
        </is>
      </c>
      <c r="D246" s="7" t="inlineStr">
        <is>
          <t>EDI Specialist</t>
        </is>
      </c>
      <c r="E246" s="11" t="inlineStr">
        <is>
          <t>ESB / Middleware</t>
        </is>
      </c>
      <c r="F246" s="21" t="inlineStr">
        <is>
          <t>Medium</t>
        </is>
      </c>
      <c r="G246" s="11" t="inlineStr">
        <is>
          <t>Intermediate</t>
        </is>
      </c>
      <c r="H246" s="11" t="inlineStr">
        <is>
          <t>Senior</t>
        </is>
      </c>
      <c r="I246" s="23">
        <f>VLOOKUP(G246,'Internal Cost Model'!$B$6:$F$15,5,FALSE)</f>
        <v/>
      </c>
      <c r="J246" s="24">
        <f>I246*VLOOKUP(F246,Assumptions!$B$43:$C$45,2,FALSE)</f>
        <v/>
      </c>
    </row>
    <row r="247">
      <c r="B247" s="7" t="inlineStr">
        <is>
          <t>ROL-242</t>
        </is>
      </c>
      <c r="C247" s="11" t="inlineStr">
        <is>
          <t>Integration</t>
        </is>
      </c>
      <c r="D247" s="7" t="inlineStr">
        <is>
          <t>API Product Manager</t>
        </is>
      </c>
      <c r="E247" s="11" t="inlineStr">
        <is>
          <t>API Management</t>
        </is>
      </c>
      <c r="F247" s="21" t="inlineStr">
        <is>
          <t>Medium</t>
        </is>
      </c>
      <c r="G247" s="11" t="inlineStr">
        <is>
          <t>Senior Manager</t>
        </is>
      </c>
      <c r="H247" s="11" t="inlineStr">
        <is>
          <t>Director</t>
        </is>
      </c>
      <c r="I247" s="23">
        <f>VLOOKUP(G247,'Internal Cost Model'!$B$6:$F$15,5,FALSE)</f>
        <v/>
      </c>
      <c r="J247" s="24">
        <f>I247*VLOOKUP(F247,Assumptions!$B$43:$C$45,2,FALSE)</f>
        <v/>
      </c>
    </row>
    <row r="248">
      <c r="B248" s="7" t="inlineStr">
        <is>
          <t>ROL-243</t>
        </is>
      </c>
      <c r="C248" s="11" t="inlineStr">
        <is>
          <t>ERP</t>
        </is>
      </c>
      <c r="D248" s="7" t="inlineStr">
        <is>
          <t>SAP FICO Consultant</t>
        </is>
      </c>
      <c r="E248" s="11" t="inlineStr">
        <is>
          <t>SAP Finance</t>
        </is>
      </c>
      <c r="F248" s="21" t="inlineStr">
        <is>
          <t>High</t>
        </is>
      </c>
      <c r="G248" s="11" t="inlineStr">
        <is>
          <t>Senior</t>
        </is>
      </c>
      <c r="H248" s="11" t="inlineStr">
        <is>
          <t>Senior Manager</t>
        </is>
      </c>
      <c r="I248" s="23">
        <f>VLOOKUP(G248,'Internal Cost Model'!$B$6:$F$15,5,FALSE)</f>
        <v/>
      </c>
      <c r="J248" s="24">
        <f>I248*VLOOKUP(F248,Assumptions!$B$43:$C$45,2,FALSE)</f>
        <v/>
      </c>
    </row>
    <row r="249">
      <c r="B249" s="7" t="inlineStr">
        <is>
          <t>ROL-244</t>
        </is>
      </c>
      <c r="C249" s="11" t="inlineStr">
        <is>
          <t>ERP</t>
        </is>
      </c>
      <c r="D249" s="7" t="inlineStr">
        <is>
          <t>SAP MM Consultant</t>
        </is>
      </c>
      <c r="E249" s="11" t="inlineStr">
        <is>
          <t>SAP Supply Chain</t>
        </is>
      </c>
      <c r="F249" s="21" t="inlineStr">
        <is>
          <t>High</t>
        </is>
      </c>
      <c r="G249" s="11" t="inlineStr">
        <is>
          <t>Senior</t>
        </is>
      </c>
      <c r="H249" s="11" t="inlineStr">
        <is>
          <t>Senior Manager</t>
        </is>
      </c>
      <c r="I249" s="23">
        <f>VLOOKUP(G249,'Internal Cost Model'!$B$6:$F$15,5,FALSE)</f>
        <v/>
      </c>
      <c r="J249" s="24">
        <f>I249*VLOOKUP(F249,Assumptions!$B$43:$C$45,2,FALSE)</f>
        <v/>
      </c>
    </row>
    <row r="250">
      <c r="B250" s="7" t="inlineStr">
        <is>
          <t>ROL-245</t>
        </is>
      </c>
      <c r="C250" s="11" t="inlineStr">
        <is>
          <t>ERP</t>
        </is>
      </c>
      <c r="D250" s="7" t="inlineStr">
        <is>
          <t>SAP SD Consultant</t>
        </is>
      </c>
      <c r="E250" s="11" t="inlineStr">
        <is>
          <t>SAP Supply Chain</t>
        </is>
      </c>
      <c r="F250" s="21" t="inlineStr">
        <is>
          <t>High</t>
        </is>
      </c>
      <c r="G250" s="11" t="inlineStr">
        <is>
          <t>Senior</t>
        </is>
      </c>
      <c r="H250" s="11" t="inlineStr">
        <is>
          <t>Senior Manager</t>
        </is>
      </c>
      <c r="I250" s="23">
        <f>VLOOKUP(G250,'Internal Cost Model'!$B$6:$F$15,5,FALSE)</f>
        <v/>
      </c>
      <c r="J250" s="24">
        <f>I250*VLOOKUP(F250,Assumptions!$B$43:$C$45,2,FALSE)</f>
        <v/>
      </c>
    </row>
    <row r="251">
      <c r="B251" s="7" t="inlineStr">
        <is>
          <t>ROL-246</t>
        </is>
      </c>
      <c r="C251" s="11" t="inlineStr">
        <is>
          <t>ERP</t>
        </is>
      </c>
      <c r="D251" s="7" t="inlineStr">
        <is>
          <t>SAP PP Consultant</t>
        </is>
      </c>
      <c r="E251" s="11" t="inlineStr">
        <is>
          <t>SAP Supply Chain</t>
        </is>
      </c>
      <c r="F251" s="21" t="inlineStr">
        <is>
          <t>Medium</t>
        </is>
      </c>
      <c r="G251" s="11" t="inlineStr">
        <is>
          <t>Senior</t>
        </is>
      </c>
      <c r="H251" s="11" t="inlineStr">
        <is>
          <t>Senior Manager</t>
        </is>
      </c>
      <c r="I251" s="23">
        <f>VLOOKUP(G251,'Internal Cost Model'!$B$6:$F$15,5,FALSE)</f>
        <v/>
      </c>
      <c r="J251" s="24">
        <f>I251*VLOOKUP(F251,Assumptions!$B$43:$C$45,2,FALSE)</f>
        <v/>
      </c>
    </row>
    <row r="252">
      <c r="B252" s="7" t="inlineStr">
        <is>
          <t>ROL-247</t>
        </is>
      </c>
      <c r="C252" s="11" t="inlineStr">
        <is>
          <t>ERP</t>
        </is>
      </c>
      <c r="D252" s="7" t="inlineStr">
        <is>
          <t>SAP EWM Consultant</t>
        </is>
      </c>
      <c r="E252" s="11" t="inlineStr">
        <is>
          <t>SAP Supply Chain</t>
        </is>
      </c>
      <c r="F252" s="21" t="inlineStr">
        <is>
          <t>Medium</t>
        </is>
      </c>
      <c r="G252" s="11" t="inlineStr">
        <is>
          <t>Senior</t>
        </is>
      </c>
      <c r="H252" s="11" t="inlineStr">
        <is>
          <t>Senior Manager</t>
        </is>
      </c>
      <c r="I252" s="23">
        <f>VLOOKUP(G252,'Internal Cost Model'!$B$6:$F$15,5,FALSE)</f>
        <v/>
      </c>
      <c r="J252" s="24">
        <f>I252*VLOOKUP(F252,Assumptions!$B$43:$C$45,2,FALSE)</f>
        <v/>
      </c>
    </row>
    <row r="253">
      <c r="B253" s="7" t="inlineStr">
        <is>
          <t>ROL-248</t>
        </is>
      </c>
      <c r="C253" s="11" t="inlineStr">
        <is>
          <t>ERP</t>
        </is>
      </c>
      <c r="D253" s="7" t="inlineStr">
        <is>
          <t>SAP ABAP Developer</t>
        </is>
      </c>
      <c r="E253" s="11" t="inlineStr">
        <is>
          <t>SAP ABAP &amp; Fiori</t>
        </is>
      </c>
      <c r="F253" s="21" t="inlineStr">
        <is>
          <t>Medium</t>
        </is>
      </c>
      <c r="G253" s="11" t="inlineStr">
        <is>
          <t>Intermediate</t>
        </is>
      </c>
      <c r="H253" s="11" t="inlineStr">
        <is>
          <t>Senior</t>
        </is>
      </c>
      <c r="I253" s="23">
        <f>VLOOKUP(G253,'Internal Cost Model'!$B$6:$F$15,5,FALSE)</f>
        <v/>
      </c>
      <c r="J253" s="24">
        <f>I253*VLOOKUP(F253,Assumptions!$B$43:$C$45,2,FALSE)</f>
        <v/>
      </c>
    </row>
    <row r="254">
      <c r="B254" s="7" t="inlineStr">
        <is>
          <t>ROL-249</t>
        </is>
      </c>
      <c r="C254" s="11" t="inlineStr">
        <is>
          <t>ERP</t>
        </is>
      </c>
      <c r="D254" s="7" t="inlineStr">
        <is>
          <t>SAP Fiori Developer</t>
        </is>
      </c>
      <c r="E254" s="11" t="inlineStr">
        <is>
          <t>SAP ABAP &amp; Fiori</t>
        </is>
      </c>
      <c r="F254" s="21" t="inlineStr">
        <is>
          <t>Medium</t>
        </is>
      </c>
      <c r="G254" s="11" t="inlineStr">
        <is>
          <t>Intermediate</t>
        </is>
      </c>
      <c r="H254" s="11" t="inlineStr">
        <is>
          <t>Senior</t>
        </is>
      </c>
      <c r="I254" s="23">
        <f>VLOOKUP(G254,'Internal Cost Model'!$B$6:$F$15,5,FALSE)</f>
        <v/>
      </c>
      <c r="J254" s="24">
        <f>I254*VLOOKUP(F254,Assumptions!$B$43:$C$45,2,FALSE)</f>
        <v/>
      </c>
    </row>
    <row r="255">
      <c r="B255" s="7" t="inlineStr">
        <is>
          <t>ROL-250</t>
        </is>
      </c>
      <c r="C255" s="11" t="inlineStr">
        <is>
          <t>ERP</t>
        </is>
      </c>
      <c r="D255" s="7" t="inlineStr">
        <is>
          <t>SAP BTP Architect</t>
        </is>
      </c>
      <c r="E255" s="11" t="inlineStr">
        <is>
          <t>SAP BTP &amp; Integration</t>
        </is>
      </c>
      <c r="F255" s="21" t="inlineStr">
        <is>
          <t>High</t>
        </is>
      </c>
      <c r="G255" s="11" t="inlineStr">
        <is>
          <t>Lead</t>
        </is>
      </c>
      <c r="H255" s="11" t="inlineStr">
        <is>
          <t>Director</t>
        </is>
      </c>
      <c r="I255" s="23">
        <f>VLOOKUP(G255,'Internal Cost Model'!$B$6:$F$15,5,FALSE)</f>
        <v/>
      </c>
      <c r="J255" s="24">
        <f>I255*VLOOKUP(F255,Assumptions!$B$43:$C$45,2,FALSE)</f>
        <v/>
      </c>
    </row>
    <row r="256">
      <c r="B256" s="7" t="inlineStr">
        <is>
          <t>ROL-251</t>
        </is>
      </c>
      <c r="C256" s="11" t="inlineStr">
        <is>
          <t>ERP</t>
        </is>
      </c>
      <c r="D256" s="7" t="inlineStr">
        <is>
          <t>SAP CPI Consultant</t>
        </is>
      </c>
      <c r="E256" s="11" t="inlineStr">
        <is>
          <t>SAP BTP &amp; Integration</t>
        </is>
      </c>
      <c r="F256" s="21" t="inlineStr">
        <is>
          <t>Medium</t>
        </is>
      </c>
      <c r="G256" s="11" t="inlineStr">
        <is>
          <t>Senior</t>
        </is>
      </c>
      <c r="H256" s="11" t="inlineStr">
        <is>
          <t>Senior Manager</t>
        </is>
      </c>
      <c r="I256" s="23">
        <f>VLOOKUP(G256,'Internal Cost Model'!$B$6:$F$15,5,FALSE)</f>
        <v/>
      </c>
      <c r="J256" s="24">
        <f>I256*VLOOKUP(F256,Assumptions!$B$43:$C$45,2,FALSE)</f>
        <v/>
      </c>
    </row>
    <row r="257">
      <c r="B257" s="7" t="inlineStr">
        <is>
          <t>ROL-252</t>
        </is>
      </c>
      <c r="C257" s="11" t="inlineStr">
        <is>
          <t>ERP</t>
        </is>
      </c>
      <c r="D257" s="7" t="inlineStr">
        <is>
          <t>S/4HANA Migration Lead</t>
        </is>
      </c>
      <c r="E257" s="11" t="inlineStr">
        <is>
          <t>SAP S/4HANA</t>
        </is>
      </c>
      <c r="F257" s="21" t="inlineStr">
        <is>
          <t>High</t>
        </is>
      </c>
      <c r="G257" s="11" t="inlineStr">
        <is>
          <t>Lead</t>
        </is>
      </c>
      <c r="H257" s="11" t="inlineStr">
        <is>
          <t>Director</t>
        </is>
      </c>
      <c r="I257" s="23">
        <f>VLOOKUP(G257,'Internal Cost Model'!$B$6:$F$15,5,FALSE)</f>
        <v/>
      </c>
      <c r="J257" s="24">
        <f>I257*VLOOKUP(F257,Assumptions!$B$43:$C$45,2,FALSE)</f>
        <v/>
      </c>
    </row>
    <row r="258">
      <c r="B258" s="7" t="inlineStr">
        <is>
          <t>ROL-253</t>
        </is>
      </c>
      <c r="C258" s="11" t="inlineStr">
        <is>
          <t>ERP</t>
        </is>
      </c>
      <c r="D258" s="7" t="inlineStr">
        <is>
          <t>SAP Analytics Cloud Consultant</t>
        </is>
      </c>
      <c r="E258" s="11" t="inlineStr">
        <is>
          <t>SAP Analytics Cloud</t>
        </is>
      </c>
      <c r="F258" s="21" t="inlineStr">
        <is>
          <t>Medium</t>
        </is>
      </c>
      <c r="G258" s="11" t="inlineStr">
        <is>
          <t>Senior</t>
        </is>
      </c>
      <c r="H258" s="11" t="inlineStr">
        <is>
          <t>Senior Manager</t>
        </is>
      </c>
      <c r="I258" s="23">
        <f>VLOOKUP(G258,'Internal Cost Model'!$B$6:$F$15,5,FALSE)</f>
        <v/>
      </c>
      <c r="J258" s="24">
        <f>I258*VLOOKUP(F258,Assumptions!$B$43:$C$45,2,FALSE)</f>
        <v/>
      </c>
    </row>
    <row r="259">
      <c r="B259" s="7" t="inlineStr">
        <is>
          <t>ROL-254</t>
        </is>
      </c>
      <c r="C259" s="11" t="inlineStr">
        <is>
          <t>ERP</t>
        </is>
      </c>
      <c r="D259" s="7" t="inlineStr">
        <is>
          <t>SAP SuccessFactors Consultant</t>
        </is>
      </c>
      <c r="E259" s="11" t="inlineStr">
        <is>
          <t>SAP SuccessFactors</t>
        </is>
      </c>
      <c r="F259" s="21" t="inlineStr">
        <is>
          <t>Medium</t>
        </is>
      </c>
      <c r="G259" s="11" t="inlineStr">
        <is>
          <t>Senior</t>
        </is>
      </c>
      <c r="H259" s="11" t="inlineStr">
        <is>
          <t>Senior Manager</t>
        </is>
      </c>
      <c r="I259" s="23">
        <f>VLOOKUP(G259,'Internal Cost Model'!$B$6:$F$15,5,FALSE)</f>
        <v/>
      </c>
      <c r="J259" s="24">
        <f>I259*VLOOKUP(F259,Assumptions!$B$43:$C$45,2,FALSE)</f>
        <v/>
      </c>
    </row>
    <row r="260">
      <c r="B260" s="7" t="inlineStr">
        <is>
          <t>ROL-255</t>
        </is>
      </c>
      <c r="C260" s="11" t="inlineStr">
        <is>
          <t>ERP</t>
        </is>
      </c>
      <c r="D260" s="7" t="inlineStr">
        <is>
          <t>SAP Ariba Consultant</t>
        </is>
      </c>
      <c r="E260" s="11" t="inlineStr">
        <is>
          <t>SAP Ariba</t>
        </is>
      </c>
      <c r="F260" s="21" t="inlineStr">
        <is>
          <t>Medium</t>
        </is>
      </c>
      <c r="G260" s="11" t="inlineStr">
        <is>
          <t>Senior</t>
        </is>
      </c>
      <c r="H260" s="11" t="inlineStr">
        <is>
          <t>Senior Manager</t>
        </is>
      </c>
      <c r="I260" s="23">
        <f>VLOOKUP(G260,'Internal Cost Model'!$B$6:$F$15,5,FALSE)</f>
        <v/>
      </c>
      <c r="J260" s="24">
        <f>I260*VLOOKUP(F260,Assumptions!$B$43:$C$45,2,FALSE)</f>
        <v/>
      </c>
    </row>
    <row r="261">
      <c r="B261" s="7" t="inlineStr">
        <is>
          <t>ROL-256</t>
        </is>
      </c>
      <c r="C261" s="11" t="inlineStr">
        <is>
          <t>ERP</t>
        </is>
      </c>
      <c r="D261" s="7" t="inlineStr">
        <is>
          <t>Oracle Fusion Finance Consultant</t>
        </is>
      </c>
      <c r="E261" s="11" t="inlineStr">
        <is>
          <t>Oracle Fusion</t>
        </is>
      </c>
      <c r="F261" s="21" t="inlineStr">
        <is>
          <t>High</t>
        </is>
      </c>
      <c r="G261" s="11" t="inlineStr">
        <is>
          <t>Senior</t>
        </is>
      </c>
      <c r="H261" s="11" t="inlineStr">
        <is>
          <t>Senior Manager</t>
        </is>
      </c>
      <c r="I261" s="23">
        <f>VLOOKUP(G261,'Internal Cost Model'!$B$6:$F$15,5,FALSE)</f>
        <v/>
      </c>
      <c r="J261" s="24">
        <f>I261*VLOOKUP(F261,Assumptions!$B$43:$C$45,2,FALSE)</f>
        <v/>
      </c>
    </row>
    <row r="262">
      <c r="B262" s="7" t="inlineStr">
        <is>
          <t>ROL-257</t>
        </is>
      </c>
      <c r="C262" s="11" t="inlineStr">
        <is>
          <t>ERP</t>
        </is>
      </c>
      <c r="D262" s="7" t="inlineStr">
        <is>
          <t>Oracle Fusion HCM Consultant</t>
        </is>
      </c>
      <c r="E262" s="11" t="inlineStr">
        <is>
          <t>Oracle Fusion</t>
        </is>
      </c>
      <c r="F262" s="21" t="inlineStr">
        <is>
          <t>High</t>
        </is>
      </c>
      <c r="G262" s="11" t="inlineStr">
        <is>
          <t>Senior</t>
        </is>
      </c>
      <c r="H262" s="11" t="inlineStr">
        <is>
          <t>Senior Manager</t>
        </is>
      </c>
      <c r="I262" s="23">
        <f>VLOOKUP(G262,'Internal Cost Model'!$B$6:$F$15,5,FALSE)</f>
        <v/>
      </c>
      <c r="J262" s="24">
        <f>I262*VLOOKUP(F262,Assumptions!$B$43:$C$45,2,FALSE)</f>
        <v/>
      </c>
    </row>
    <row r="263">
      <c r="B263" s="7" t="inlineStr">
        <is>
          <t>ROL-258</t>
        </is>
      </c>
      <c r="C263" s="11" t="inlineStr">
        <is>
          <t>ERP</t>
        </is>
      </c>
      <c r="D263" s="7" t="inlineStr">
        <is>
          <t>Oracle EBS Consultant</t>
        </is>
      </c>
      <c r="E263" s="11" t="inlineStr">
        <is>
          <t>Oracle Finance</t>
        </is>
      </c>
      <c r="F263" s="21" t="inlineStr">
        <is>
          <t>Medium</t>
        </is>
      </c>
      <c r="G263" s="11" t="inlineStr">
        <is>
          <t>Senior</t>
        </is>
      </c>
      <c r="H263" s="11" t="inlineStr">
        <is>
          <t>Senior Manager</t>
        </is>
      </c>
      <c r="I263" s="23">
        <f>VLOOKUP(G263,'Internal Cost Model'!$B$6:$F$15,5,FALSE)</f>
        <v/>
      </c>
      <c r="J263" s="24">
        <f>I263*VLOOKUP(F263,Assumptions!$B$43:$C$45,2,FALSE)</f>
        <v/>
      </c>
    </row>
    <row r="264">
      <c r="B264" s="7" t="inlineStr">
        <is>
          <t>ROL-259</t>
        </is>
      </c>
      <c r="C264" s="11" t="inlineStr">
        <is>
          <t>ERP</t>
        </is>
      </c>
      <c r="D264" s="7" t="inlineStr">
        <is>
          <t>OCI Architect</t>
        </is>
      </c>
      <c r="E264" s="11" t="inlineStr">
        <is>
          <t>Oracle Cloud Infrastructure</t>
        </is>
      </c>
      <c r="F264" s="21" t="inlineStr">
        <is>
          <t>High</t>
        </is>
      </c>
      <c r="G264" s="11" t="inlineStr">
        <is>
          <t>Lead</t>
        </is>
      </c>
      <c r="H264" s="11" t="inlineStr">
        <is>
          <t>Director</t>
        </is>
      </c>
      <c r="I264" s="23">
        <f>VLOOKUP(G264,'Internal Cost Model'!$B$6:$F$15,5,FALSE)</f>
        <v/>
      </c>
      <c r="J264" s="24">
        <f>I264*VLOOKUP(F264,Assumptions!$B$43:$C$45,2,FALSE)</f>
        <v/>
      </c>
    </row>
    <row r="265">
      <c r="B265" s="7" t="inlineStr">
        <is>
          <t>ROL-260</t>
        </is>
      </c>
      <c r="C265" s="11" t="inlineStr">
        <is>
          <t>ERP</t>
        </is>
      </c>
      <c r="D265" s="7" t="inlineStr">
        <is>
          <t>Workday Integration Consultant</t>
        </is>
      </c>
      <c r="E265" s="11" t="inlineStr">
        <is>
          <t>Workday Integration</t>
        </is>
      </c>
      <c r="F265" s="21" t="inlineStr">
        <is>
          <t>High</t>
        </is>
      </c>
      <c r="G265" s="11" t="inlineStr">
        <is>
          <t>Senior</t>
        </is>
      </c>
      <c r="H265" s="11" t="inlineStr">
        <is>
          <t>Senior Manager</t>
        </is>
      </c>
      <c r="I265" s="23">
        <f>VLOOKUP(G265,'Internal Cost Model'!$B$6:$F$15,5,FALSE)</f>
        <v/>
      </c>
      <c r="J265" s="24">
        <f>I265*VLOOKUP(F265,Assumptions!$B$43:$C$45,2,FALSE)</f>
        <v/>
      </c>
    </row>
    <row r="266">
      <c r="B266" s="7" t="inlineStr">
        <is>
          <t>ROL-261</t>
        </is>
      </c>
      <c r="C266" s="11" t="inlineStr">
        <is>
          <t>ERP</t>
        </is>
      </c>
      <c r="D266" s="7" t="inlineStr">
        <is>
          <t>Workday Reporting Analyst</t>
        </is>
      </c>
      <c r="E266" s="11" t="inlineStr">
        <is>
          <t>Workday Integration</t>
        </is>
      </c>
      <c r="F266" s="21" t="inlineStr">
        <is>
          <t>Medium</t>
        </is>
      </c>
      <c r="G266" s="11" t="inlineStr">
        <is>
          <t>Intermediate</t>
        </is>
      </c>
      <c r="H266" s="11" t="inlineStr">
        <is>
          <t>Senior</t>
        </is>
      </c>
      <c r="I266" s="23">
        <f>VLOOKUP(G266,'Internal Cost Model'!$B$6:$F$15,5,FALSE)</f>
        <v/>
      </c>
      <c r="J266" s="24">
        <f>I266*VLOOKUP(F266,Assumptions!$B$43:$C$45,2,FALSE)</f>
        <v/>
      </c>
    </row>
    <row r="267">
      <c r="B267" s="7" t="inlineStr">
        <is>
          <t>ROL-262</t>
        </is>
      </c>
      <c r="C267" s="11" t="inlineStr">
        <is>
          <t>ERP</t>
        </is>
      </c>
      <c r="D267" s="7" t="inlineStr">
        <is>
          <t>Workday Adaptive Planning Consultant</t>
        </is>
      </c>
      <c r="E267" s="11" t="inlineStr">
        <is>
          <t>Workday Finance</t>
        </is>
      </c>
      <c r="F267" s="21" t="inlineStr">
        <is>
          <t>Medium</t>
        </is>
      </c>
      <c r="G267" s="11" t="inlineStr">
        <is>
          <t>Senior</t>
        </is>
      </c>
      <c r="H267" s="11" t="inlineStr">
        <is>
          <t>Senior Manager</t>
        </is>
      </c>
      <c r="I267" s="23">
        <f>VLOOKUP(G267,'Internal Cost Model'!$B$6:$F$15,5,FALSE)</f>
        <v/>
      </c>
      <c r="J267" s="24">
        <f>I267*VLOOKUP(F267,Assumptions!$B$43:$C$45,2,FALSE)</f>
        <v/>
      </c>
    </row>
    <row r="268">
      <c r="B268" s="7" t="inlineStr">
        <is>
          <t>ROL-263</t>
        </is>
      </c>
      <c r="C268" s="11" t="inlineStr">
        <is>
          <t>Cloud</t>
        </is>
      </c>
      <c r="D268" s="7" t="inlineStr">
        <is>
          <t>Azure Data Engineer</t>
        </is>
      </c>
      <c r="E268" s="11" t="inlineStr">
        <is>
          <t>Azure</t>
        </is>
      </c>
      <c r="F268" s="21" t="inlineStr">
        <is>
          <t>High</t>
        </is>
      </c>
      <c r="G268" s="11" t="inlineStr">
        <is>
          <t>Intermediate</t>
        </is>
      </c>
      <c r="H268" s="11" t="inlineStr">
        <is>
          <t>Senior</t>
        </is>
      </c>
      <c r="I268" s="23">
        <f>VLOOKUP(G268,'Internal Cost Model'!$B$6:$F$15,5,FALSE)</f>
        <v/>
      </c>
      <c r="J268" s="24">
        <f>I268*VLOOKUP(F268,Assumptions!$B$43:$C$45,2,FALSE)</f>
        <v/>
      </c>
    </row>
    <row r="269">
      <c r="B269" s="7" t="inlineStr">
        <is>
          <t>ROL-264</t>
        </is>
      </c>
      <c r="C269" s="11" t="inlineStr">
        <is>
          <t>Cloud</t>
        </is>
      </c>
      <c r="D269" s="7" t="inlineStr">
        <is>
          <t>Azure Security Engineer</t>
        </is>
      </c>
      <c r="E269" s="11" t="inlineStr">
        <is>
          <t>Azure</t>
        </is>
      </c>
      <c r="F269" s="21" t="inlineStr">
        <is>
          <t>High</t>
        </is>
      </c>
      <c r="G269" s="11" t="inlineStr">
        <is>
          <t>Senior</t>
        </is>
      </c>
      <c r="H269" s="11" t="inlineStr">
        <is>
          <t>Lead</t>
        </is>
      </c>
      <c r="I269" s="23">
        <f>VLOOKUP(G269,'Internal Cost Model'!$B$6:$F$15,5,FALSE)</f>
        <v/>
      </c>
      <c r="J269" s="24">
        <f>I269*VLOOKUP(F269,Assumptions!$B$43:$C$45,2,FALSE)</f>
        <v/>
      </c>
    </row>
    <row r="270">
      <c r="B270" s="7" t="inlineStr">
        <is>
          <t>ROL-265</t>
        </is>
      </c>
      <c r="C270" s="11" t="inlineStr">
        <is>
          <t>Cloud</t>
        </is>
      </c>
      <c r="D270" s="7" t="inlineStr">
        <is>
          <t>AWS Data Engineer</t>
        </is>
      </c>
      <c r="E270" s="11" t="inlineStr">
        <is>
          <t>AWS</t>
        </is>
      </c>
      <c r="F270" s="21" t="inlineStr">
        <is>
          <t>High</t>
        </is>
      </c>
      <c r="G270" s="11" t="inlineStr">
        <is>
          <t>Intermediate</t>
        </is>
      </c>
      <c r="H270" s="11" t="inlineStr">
        <is>
          <t>Senior</t>
        </is>
      </c>
      <c r="I270" s="23">
        <f>VLOOKUP(G270,'Internal Cost Model'!$B$6:$F$15,5,FALSE)</f>
        <v/>
      </c>
      <c r="J270" s="24">
        <f>I270*VLOOKUP(F270,Assumptions!$B$43:$C$45,2,FALSE)</f>
        <v/>
      </c>
    </row>
    <row r="271">
      <c r="B271" s="7" t="inlineStr">
        <is>
          <t>ROL-266</t>
        </is>
      </c>
      <c r="C271" s="11" t="inlineStr">
        <is>
          <t>Cloud</t>
        </is>
      </c>
      <c r="D271" s="7" t="inlineStr">
        <is>
          <t>AWS DevOps Engineer</t>
        </is>
      </c>
      <c r="E271" s="11" t="inlineStr">
        <is>
          <t>DevOps</t>
        </is>
      </c>
      <c r="F271" s="21" t="inlineStr">
        <is>
          <t>High</t>
        </is>
      </c>
      <c r="G271" s="11" t="inlineStr">
        <is>
          <t>Intermediate</t>
        </is>
      </c>
      <c r="H271" s="11" t="inlineStr">
        <is>
          <t>Senior</t>
        </is>
      </c>
      <c r="I271" s="23">
        <f>VLOOKUP(G271,'Internal Cost Model'!$B$6:$F$15,5,FALSE)</f>
        <v/>
      </c>
      <c r="J271" s="24">
        <f>I271*VLOOKUP(F271,Assumptions!$B$43:$C$45,2,FALSE)</f>
        <v/>
      </c>
    </row>
    <row r="272">
      <c r="B272" s="7" t="inlineStr">
        <is>
          <t>ROL-267</t>
        </is>
      </c>
      <c r="C272" s="11" t="inlineStr">
        <is>
          <t>Cloud</t>
        </is>
      </c>
      <c r="D272" s="7" t="inlineStr">
        <is>
          <t>GCP Data Engineer</t>
        </is>
      </c>
      <c r="E272" s="11" t="inlineStr">
        <is>
          <t>GCP</t>
        </is>
      </c>
      <c r="F272" s="21" t="inlineStr">
        <is>
          <t>Medium</t>
        </is>
      </c>
      <c r="G272" s="11" t="inlineStr">
        <is>
          <t>Intermediate</t>
        </is>
      </c>
      <c r="H272" s="11" t="inlineStr">
        <is>
          <t>Senior</t>
        </is>
      </c>
      <c r="I272" s="23">
        <f>VLOOKUP(G272,'Internal Cost Model'!$B$6:$F$15,5,FALSE)</f>
        <v/>
      </c>
      <c r="J272" s="24">
        <f>I272*VLOOKUP(F272,Assumptions!$B$43:$C$45,2,FALSE)</f>
        <v/>
      </c>
    </row>
    <row r="273">
      <c r="B273" s="7" t="inlineStr">
        <is>
          <t>ROL-268</t>
        </is>
      </c>
      <c r="C273" s="11" t="inlineStr">
        <is>
          <t>Cloud</t>
        </is>
      </c>
      <c r="D273" s="7" t="inlineStr">
        <is>
          <t>Kubernetes Architect</t>
        </is>
      </c>
      <c r="E273" s="11" t="inlineStr">
        <is>
          <t>Kubernetes</t>
        </is>
      </c>
      <c r="F273" s="21" t="inlineStr">
        <is>
          <t>High</t>
        </is>
      </c>
      <c r="G273" s="11" t="inlineStr">
        <is>
          <t>Lead</t>
        </is>
      </c>
      <c r="H273" s="11" t="inlineStr">
        <is>
          <t>Director</t>
        </is>
      </c>
      <c r="I273" s="23">
        <f>VLOOKUP(G273,'Internal Cost Model'!$B$6:$F$15,5,FALSE)</f>
        <v/>
      </c>
      <c r="J273" s="24">
        <f>I273*VLOOKUP(F273,Assumptions!$B$43:$C$45,2,FALSE)</f>
        <v/>
      </c>
    </row>
    <row r="274">
      <c r="B274" s="7" t="inlineStr">
        <is>
          <t>ROL-269</t>
        </is>
      </c>
      <c r="C274" s="11" t="inlineStr">
        <is>
          <t>Cloud</t>
        </is>
      </c>
      <c r="D274" s="7" t="inlineStr">
        <is>
          <t>Kubernetes Engineer</t>
        </is>
      </c>
      <c r="E274" s="11" t="inlineStr">
        <is>
          <t>Kubernetes</t>
        </is>
      </c>
      <c r="F274" s="21" t="inlineStr">
        <is>
          <t>High</t>
        </is>
      </c>
      <c r="G274" s="11" t="inlineStr">
        <is>
          <t>Intermediate</t>
        </is>
      </c>
      <c r="H274" s="11" t="inlineStr">
        <is>
          <t>Senior</t>
        </is>
      </c>
      <c r="I274" s="23">
        <f>VLOOKUP(G274,'Internal Cost Model'!$B$6:$F$15,5,FALSE)</f>
        <v/>
      </c>
      <c r="J274" s="24">
        <f>I274*VLOOKUP(F274,Assumptions!$B$43:$C$45,2,FALSE)</f>
        <v/>
      </c>
    </row>
    <row r="275">
      <c r="B275" s="7" t="inlineStr">
        <is>
          <t>ROL-270</t>
        </is>
      </c>
      <c r="C275" s="11" t="inlineStr">
        <is>
          <t>Cloud</t>
        </is>
      </c>
      <c r="D275" s="7" t="inlineStr">
        <is>
          <t>FinOps Analyst</t>
        </is>
      </c>
      <c r="E275" s="11" t="inlineStr">
        <is>
          <t>FinOps</t>
        </is>
      </c>
      <c r="F275" s="21" t="inlineStr">
        <is>
          <t>Medium</t>
        </is>
      </c>
      <c r="G275" s="11" t="inlineStr">
        <is>
          <t>Intermediate</t>
        </is>
      </c>
      <c r="H275" s="11" t="inlineStr">
        <is>
          <t>Senior</t>
        </is>
      </c>
      <c r="I275" s="23">
        <f>VLOOKUP(G275,'Internal Cost Model'!$B$6:$F$15,5,FALSE)</f>
        <v/>
      </c>
      <c r="J275" s="24">
        <f>I275*VLOOKUP(F275,Assumptions!$B$43:$C$45,2,FALSE)</f>
        <v/>
      </c>
    </row>
    <row r="276">
      <c r="B276" s="7" t="inlineStr">
        <is>
          <t>ROL-271</t>
        </is>
      </c>
      <c r="C276" s="11" t="inlineStr">
        <is>
          <t>Cloud</t>
        </is>
      </c>
      <c r="D276" s="7" t="inlineStr">
        <is>
          <t>IaC / Terraform Engineer</t>
        </is>
      </c>
      <c r="E276" s="11" t="inlineStr">
        <is>
          <t>Infrastructure as Code</t>
        </is>
      </c>
      <c r="F276" s="21" t="inlineStr">
        <is>
          <t>High</t>
        </is>
      </c>
      <c r="G276" s="11" t="inlineStr">
        <is>
          <t>Intermediate</t>
        </is>
      </c>
      <c r="H276" s="11" t="inlineStr">
        <is>
          <t>Senior</t>
        </is>
      </c>
      <c r="I276" s="23">
        <f>VLOOKUP(G276,'Internal Cost Model'!$B$6:$F$15,5,FALSE)</f>
        <v/>
      </c>
      <c r="J276" s="24">
        <f>I276*VLOOKUP(F276,Assumptions!$B$43:$C$45,2,FALSE)</f>
        <v/>
      </c>
    </row>
    <row r="277">
      <c r="B277" s="7" t="inlineStr">
        <is>
          <t>ROL-272</t>
        </is>
      </c>
      <c r="C277" s="11" t="inlineStr">
        <is>
          <t>Cloud</t>
        </is>
      </c>
      <c r="D277" s="7" t="inlineStr">
        <is>
          <t>Landing Zone Architect</t>
        </is>
      </c>
      <c r="E277" s="11" t="inlineStr">
        <is>
          <t>Platform Engineering</t>
        </is>
      </c>
      <c r="F277" s="21" t="inlineStr">
        <is>
          <t>High</t>
        </is>
      </c>
      <c r="G277" s="11" t="inlineStr">
        <is>
          <t>Lead</t>
        </is>
      </c>
      <c r="H277" s="11" t="inlineStr">
        <is>
          <t>Director</t>
        </is>
      </c>
      <c r="I277" s="23">
        <f>VLOOKUP(G277,'Internal Cost Model'!$B$6:$F$15,5,FALSE)</f>
        <v/>
      </c>
      <c r="J277" s="24">
        <f>I277*VLOOKUP(F277,Assumptions!$B$43:$C$45,2,FALSE)</f>
        <v/>
      </c>
    </row>
    <row r="278">
      <c r="B278" s="7" t="inlineStr">
        <is>
          <t>ROL-273</t>
        </is>
      </c>
      <c r="C278" s="11" t="inlineStr">
        <is>
          <t>Cloud</t>
        </is>
      </c>
      <c r="D278" s="7" t="inlineStr">
        <is>
          <t>Cloud Migration Engineer</t>
        </is>
      </c>
      <c r="E278" s="11" t="inlineStr">
        <is>
          <t>Azure</t>
        </is>
      </c>
      <c r="F278" s="21" t="inlineStr">
        <is>
          <t>Medium</t>
        </is>
      </c>
      <c r="G278" s="11" t="inlineStr">
        <is>
          <t>Intermediate</t>
        </is>
      </c>
      <c r="H278" s="11" t="inlineStr">
        <is>
          <t>Senior</t>
        </is>
      </c>
      <c r="I278" s="23">
        <f>VLOOKUP(G278,'Internal Cost Model'!$B$6:$F$15,5,FALSE)</f>
        <v/>
      </c>
      <c r="J278" s="24">
        <f>I278*VLOOKUP(F278,Assumptions!$B$43:$C$45,2,FALSE)</f>
        <v/>
      </c>
    </row>
    <row r="279">
      <c r="B279" s="7" t="inlineStr">
        <is>
          <t>ROL-274</t>
        </is>
      </c>
      <c r="C279" s="11" t="inlineStr">
        <is>
          <t>Cloud</t>
        </is>
      </c>
      <c r="D279" s="7" t="inlineStr">
        <is>
          <t>SRE Engineer</t>
        </is>
      </c>
      <c r="E279" s="11" t="inlineStr">
        <is>
          <t>SRE</t>
        </is>
      </c>
      <c r="F279" s="21" t="inlineStr">
        <is>
          <t>High</t>
        </is>
      </c>
      <c r="G279" s="11" t="inlineStr">
        <is>
          <t>Intermediate</t>
        </is>
      </c>
      <c r="H279" s="11" t="inlineStr">
        <is>
          <t>Senior</t>
        </is>
      </c>
      <c r="I279" s="23">
        <f>VLOOKUP(G279,'Internal Cost Model'!$B$6:$F$15,5,FALSE)</f>
        <v/>
      </c>
      <c r="J279" s="24">
        <f>I279*VLOOKUP(F279,Assumptions!$B$43:$C$45,2,FALSE)</f>
        <v/>
      </c>
    </row>
    <row r="280">
      <c r="B280" s="7" t="inlineStr">
        <is>
          <t>ROL-275</t>
        </is>
      </c>
      <c r="C280" s="11" t="inlineStr">
        <is>
          <t>Infrastructure</t>
        </is>
      </c>
      <c r="D280" s="7" t="inlineStr">
        <is>
          <t>Cloud Infrastructure Engineer</t>
        </is>
      </c>
      <c r="E280" s="11" t="inlineStr">
        <is>
          <t>Compute</t>
        </is>
      </c>
      <c r="F280" s="21" t="inlineStr">
        <is>
          <t>Medium</t>
        </is>
      </c>
      <c r="G280" s="11" t="inlineStr">
        <is>
          <t>Intermediate</t>
        </is>
      </c>
      <c r="H280" s="11" t="inlineStr">
        <is>
          <t>Senior</t>
        </is>
      </c>
      <c r="I280" s="23">
        <f>VLOOKUP(G280,'Internal Cost Model'!$B$6:$F$15,5,FALSE)</f>
        <v/>
      </c>
      <c r="J280" s="24">
        <f>I280*VLOOKUP(F280,Assumptions!$B$43:$C$45,2,FALSE)</f>
        <v/>
      </c>
    </row>
    <row r="281">
      <c r="B281" s="7" t="inlineStr">
        <is>
          <t>ROL-276</t>
        </is>
      </c>
      <c r="C281" s="11" t="inlineStr">
        <is>
          <t>Infrastructure</t>
        </is>
      </c>
      <c r="D281" s="7" t="inlineStr">
        <is>
          <t>Virtualization Engineer</t>
        </is>
      </c>
      <c r="E281" s="11" t="inlineStr">
        <is>
          <t>Compute</t>
        </is>
      </c>
      <c r="F281" s="21" t="inlineStr">
        <is>
          <t>Medium</t>
        </is>
      </c>
      <c r="G281" s="11" t="inlineStr">
        <is>
          <t>Intermediate</t>
        </is>
      </c>
      <c r="H281" s="11" t="inlineStr">
        <is>
          <t>Senior</t>
        </is>
      </c>
      <c r="I281" s="23">
        <f>VLOOKUP(G281,'Internal Cost Model'!$B$6:$F$15,5,FALSE)</f>
        <v/>
      </c>
      <c r="J281" s="24">
        <f>I281*VLOOKUP(F281,Assumptions!$B$43:$C$45,2,FALSE)</f>
        <v/>
      </c>
    </row>
    <row r="282">
      <c r="B282" s="7" t="inlineStr">
        <is>
          <t>ROL-277</t>
        </is>
      </c>
      <c r="C282" s="11" t="inlineStr">
        <is>
          <t>Infrastructure</t>
        </is>
      </c>
      <c r="D282" s="7" t="inlineStr">
        <is>
          <t>Backup &amp; DR Engineer</t>
        </is>
      </c>
      <c r="E282" s="11" t="inlineStr">
        <is>
          <t>Storage</t>
        </is>
      </c>
      <c r="F282" s="21" t="inlineStr">
        <is>
          <t>Medium</t>
        </is>
      </c>
      <c r="G282" s="11" t="inlineStr">
        <is>
          <t>Intermediate</t>
        </is>
      </c>
      <c r="H282" s="11" t="inlineStr">
        <is>
          <t>Senior</t>
        </is>
      </c>
      <c r="I282" s="23">
        <f>VLOOKUP(G282,'Internal Cost Model'!$B$6:$F$15,5,FALSE)</f>
        <v/>
      </c>
      <c r="J282" s="24">
        <f>I282*VLOOKUP(F282,Assumptions!$B$43:$C$45,2,FALSE)</f>
        <v/>
      </c>
    </row>
    <row r="283">
      <c r="B283" s="7" t="inlineStr">
        <is>
          <t>ROL-278</t>
        </is>
      </c>
      <c r="C283" s="11" t="inlineStr">
        <is>
          <t>Infrastructure</t>
        </is>
      </c>
      <c r="D283" s="7" t="inlineStr">
        <is>
          <t>Active Directory Engineer</t>
        </is>
      </c>
      <c r="E283" s="11" t="inlineStr">
        <is>
          <t>Identity</t>
        </is>
      </c>
      <c r="F283" s="21" t="inlineStr">
        <is>
          <t>Medium</t>
        </is>
      </c>
      <c r="G283" s="11" t="inlineStr">
        <is>
          <t>Intermediate</t>
        </is>
      </c>
      <c r="H283" s="11" t="inlineStr">
        <is>
          <t>Senior</t>
        </is>
      </c>
      <c r="I283" s="23">
        <f>VLOOKUP(G283,'Internal Cost Model'!$B$6:$F$15,5,FALSE)</f>
        <v/>
      </c>
      <c r="J283" s="24">
        <f>I283*VLOOKUP(F283,Assumptions!$B$43:$C$45,2,FALSE)</f>
        <v/>
      </c>
    </row>
    <row r="284">
      <c r="B284" s="7" t="inlineStr">
        <is>
          <t>ROL-279</t>
        </is>
      </c>
      <c r="C284" s="11" t="inlineStr">
        <is>
          <t>Infrastructure</t>
        </is>
      </c>
      <c r="D284" s="7" t="inlineStr">
        <is>
          <t>Endpoint Engineer</t>
        </is>
      </c>
      <c r="E284" s="11" t="inlineStr">
        <is>
          <t>End-User Compute</t>
        </is>
      </c>
      <c r="F284" s="21" t="inlineStr">
        <is>
          <t>Low</t>
        </is>
      </c>
      <c r="G284" s="11" t="inlineStr">
        <is>
          <t>Junior</t>
        </is>
      </c>
      <c r="H284" s="11" t="inlineStr">
        <is>
          <t>Senior</t>
        </is>
      </c>
      <c r="I284" s="23">
        <f>VLOOKUP(G284,'Internal Cost Model'!$B$6:$F$15,5,FALSE)</f>
        <v/>
      </c>
      <c r="J284" s="24">
        <f>I284*VLOOKUP(F284,Assumptions!$B$43:$C$45,2,FALSE)</f>
        <v/>
      </c>
    </row>
    <row r="285">
      <c r="B285" s="7" t="inlineStr">
        <is>
          <t>ROL-280</t>
        </is>
      </c>
      <c r="C285" s="11" t="inlineStr">
        <is>
          <t>Infrastructure</t>
        </is>
      </c>
      <c r="D285" s="7" t="inlineStr">
        <is>
          <t>Network Engineer</t>
        </is>
      </c>
      <c r="E285" s="11" t="inlineStr">
        <is>
          <t>Network</t>
        </is>
      </c>
      <c r="F285" s="21" t="inlineStr">
        <is>
          <t>Medium</t>
        </is>
      </c>
      <c r="G285" s="11" t="inlineStr">
        <is>
          <t>Intermediate</t>
        </is>
      </c>
      <c r="H285" s="11" t="inlineStr">
        <is>
          <t>Senior</t>
        </is>
      </c>
      <c r="I285" s="23">
        <f>VLOOKUP(G285,'Internal Cost Model'!$B$6:$F$15,5,FALSE)</f>
        <v/>
      </c>
      <c r="J285" s="24">
        <f>I285*VLOOKUP(F285,Assumptions!$B$43:$C$45,2,FALSE)</f>
        <v/>
      </c>
    </row>
    <row r="286">
      <c r="B286" s="7" t="inlineStr">
        <is>
          <t>ROL-281</t>
        </is>
      </c>
      <c r="C286" s="11" t="inlineStr">
        <is>
          <t>Cybersecurity</t>
        </is>
      </c>
      <c r="D286" s="7" t="inlineStr">
        <is>
          <t>CISO Advisor</t>
        </is>
      </c>
      <c r="E286" s="11" t="inlineStr">
        <is>
          <t>GRC</t>
        </is>
      </c>
      <c r="F286" s="21" t="inlineStr">
        <is>
          <t>High</t>
        </is>
      </c>
      <c r="G286" s="11" t="inlineStr">
        <is>
          <t>Director</t>
        </is>
      </c>
      <c r="H286" s="11" t="inlineStr">
        <is>
          <t>Managing Director</t>
        </is>
      </c>
      <c r="I286" s="23">
        <f>VLOOKUP(G286,'Internal Cost Model'!$B$6:$F$15,5,FALSE)</f>
        <v/>
      </c>
      <c r="J286" s="24">
        <f>I286*VLOOKUP(F286,Assumptions!$B$43:$C$45,2,FALSE)</f>
        <v/>
      </c>
    </row>
    <row r="287">
      <c r="B287" s="7" t="inlineStr">
        <is>
          <t>ROL-282</t>
        </is>
      </c>
      <c r="C287" s="11" t="inlineStr">
        <is>
          <t>Cybersecurity</t>
        </is>
      </c>
      <c r="D287" s="7" t="inlineStr">
        <is>
          <t>Security Architect</t>
        </is>
      </c>
      <c r="E287" s="11" t="inlineStr">
        <is>
          <t>Application Security</t>
        </is>
      </c>
      <c r="F287" s="21" t="inlineStr">
        <is>
          <t>High</t>
        </is>
      </c>
      <c r="G287" s="11" t="inlineStr">
        <is>
          <t>Lead</t>
        </is>
      </c>
      <c r="H287" s="11" t="inlineStr">
        <is>
          <t>Director</t>
        </is>
      </c>
      <c r="I287" s="23">
        <f>VLOOKUP(G287,'Internal Cost Model'!$B$6:$F$15,5,FALSE)</f>
        <v/>
      </c>
      <c r="J287" s="24">
        <f>I287*VLOOKUP(F287,Assumptions!$B$43:$C$45,2,FALSE)</f>
        <v/>
      </c>
    </row>
    <row r="288">
      <c r="B288" s="7" t="inlineStr">
        <is>
          <t>ROL-283</t>
        </is>
      </c>
      <c r="C288" s="11" t="inlineStr">
        <is>
          <t>Cybersecurity</t>
        </is>
      </c>
      <c r="D288" s="7" t="inlineStr">
        <is>
          <t>Cloud Security Engineer</t>
        </is>
      </c>
      <c r="E288" s="11" t="inlineStr">
        <is>
          <t>IAM</t>
        </is>
      </c>
      <c r="F288" s="21" t="inlineStr">
        <is>
          <t>High</t>
        </is>
      </c>
      <c r="G288" s="11" t="inlineStr">
        <is>
          <t>Senior</t>
        </is>
      </c>
      <c r="H288" s="11" t="inlineStr">
        <is>
          <t>Lead</t>
        </is>
      </c>
      <c r="I288" s="23">
        <f>VLOOKUP(G288,'Internal Cost Model'!$B$6:$F$15,5,FALSE)</f>
        <v/>
      </c>
      <c r="J288" s="24">
        <f>I288*VLOOKUP(F288,Assumptions!$B$43:$C$45,2,FALSE)</f>
        <v/>
      </c>
    </row>
    <row r="289">
      <c r="B289" s="7" t="inlineStr">
        <is>
          <t>ROL-284</t>
        </is>
      </c>
      <c r="C289" s="11" t="inlineStr">
        <is>
          <t>Cybersecurity</t>
        </is>
      </c>
      <c r="D289" s="7" t="inlineStr">
        <is>
          <t>Zero Trust Architect</t>
        </is>
      </c>
      <c r="E289" s="11" t="inlineStr">
        <is>
          <t>Zero Trust</t>
        </is>
      </c>
      <c r="F289" s="21" t="inlineStr">
        <is>
          <t>High</t>
        </is>
      </c>
      <c r="G289" s="11" t="inlineStr">
        <is>
          <t>Lead</t>
        </is>
      </c>
      <c r="H289" s="11" t="inlineStr">
        <is>
          <t>Director</t>
        </is>
      </c>
      <c r="I289" s="23">
        <f>VLOOKUP(G289,'Internal Cost Model'!$B$6:$F$15,5,FALSE)</f>
        <v/>
      </c>
      <c r="J289" s="24">
        <f>I289*VLOOKUP(F289,Assumptions!$B$43:$C$45,2,FALSE)</f>
        <v/>
      </c>
    </row>
    <row r="290">
      <c r="B290" s="7" t="inlineStr">
        <is>
          <t>ROL-285</t>
        </is>
      </c>
      <c r="C290" s="11" t="inlineStr">
        <is>
          <t>Cybersecurity</t>
        </is>
      </c>
      <c r="D290" s="7" t="inlineStr">
        <is>
          <t>Incident Responder</t>
        </is>
      </c>
      <c r="E290" s="11" t="inlineStr">
        <is>
          <t>SOC</t>
        </is>
      </c>
      <c r="F290" s="21" t="inlineStr">
        <is>
          <t>High</t>
        </is>
      </c>
      <c r="G290" s="11" t="inlineStr">
        <is>
          <t>Intermediate</t>
        </is>
      </c>
      <c r="H290" s="11" t="inlineStr">
        <is>
          <t>Senior</t>
        </is>
      </c>
      <c r="I290" s="23">
        <f>VLOOKUP(G290,'Internal Cost Model'!$B$6:$F$15,5,FALSE)</f>
        <v/>
      </c>
      <c r="J290" s="24">
        <f>I290*VLOOKUP(F290,Assumptions!$B$43:$C$45,2,FALSE)</f>
        <v/>
      </c>
    </row>
    <row r="291">
      <c r="B291" s="7" t="inlineStr">
        <is>
          <t>ROL-286</t>
        </is>
      </c>
      <c r="C291" s="11" t="inlineStr">
        <is>
          <t>Cybersecurity</t>
        </is>
      </c>
      <c r="D291" s="7" t="inlineStr">
        <is>
          <t>Threat Hunter</t>
        </is>
      </c>
      <c r="E291" s="11" t="inlineStr">
        <is>
          <t>Threat &amp; Vuln Mgmt</t>
        </is>
      </c>
      <c r="F291" s="21" t="inlineStr">
        <is>
          <t>High</t>
        </is>
      </c>
      <c r="G291" s="11" t="inlineStr">
        <is>
          <t>Senior</t>
        </is>
      </c>
      <c r="H291" s="11" t="inlineStr">
        <is>
          <t>Lead</t>
        </is>
      </c>
      <c r="I291" s="23">
        <f>VLOOKUP(G291,'Internal Cost Model'!$B$6:$F$15,5,FALSE)</f>
        <v/>
      </c>
      <c r="J291" s="24">
        <f>I291*VLOOKUP(F291,Assumptions!$B$43:$C$45,2,FALSE)</f>
        <v/>
      </c>
    </row>
    <row r="292">
      <c r="B292" s="7" t="inlineStr">
        <is>
          <t>ROL-287</t>
        </is>
      </c>
      <c r="C292" s="11" t="inlineStr">
        <is>
          <t>Cybersecurity</t>
        </is>
      </c>
      <c r="D292" s="7" t="inlineStr">
        <is>
          <t>Penetration Tester</t>
        </is>
      </c>
      <c r="E292" s="11" t="inlineStr">
        <is>
          <t>Threat &amp; Vuln Mgmt</t>
        </is>
      </c>
      <c r="F292" s="21" t="inlineStr">
        <is>
          <t>High</t>
        </is>
      </c>
      <c r="G292" s="11" t="inlineStr">
        <is>
          <t>Senior</t>
        </is>
      </c>
      <c r="H292" s="11" t="inlineStr">
        <is>
          <t>Lead</t>
        </is>
      </c>
      <c r="I292" s="23">
        <f>VLOOKUP(G292,'Internal Cost Model'!$B$6:$F$15,5,FALSE)</f>
        <v/>
      </c>
      <c r="J292" s="24">
        <f>I292*VLOOKUP(F292,Assumptions!$B$43:$C$45,2,FALSE)</f>
        <v/>
      </c>
    </row>
    <row r="293">
      <c r="B293" s="7" t="inlineStr">
        <is>
          <t>ROL-288</t>
        </is>
      </c>
      <c r="C293" s="11" t="inlineStr">
        <is>
          <t>Cybersecurity</t>
        </is>
      </c>
      <c r="D293" s="7" t="inlineStr">
        <is>
          <t>GRC Analyst</t>
        </is>
      </c>
      <c r="E293" s="11" t="inlineStr">
        <is>
          <t>GRC</t>
        </is>
      </c>
      <c r="F293" s="21" t="inlineStr">
        <is>
          <t>Medium</t>
        </is>
      </c>
      <c r="G293" s="11" t="inlineStr">
        <is>
          <t>Junior</t>
        </is>
      </c>
      <c r="H293" s="11" t="inlineStr">
        <is>
          <t>Senior</t>
        </is>
      </c>
      <c r="I293" s="23">
        <f>VLOOKUP(G293,'Internal Cost Model'!$B$6:$F$15,5,FALSE)</f>
        <v/>
      </c>
      <c r="J293" s="24">
        <f>I293*VLOOKUP(F293,Assumptions!$B$43:$C$45,2,FALSE)</f>
        <v/>
      </c>
    </row>
    <row r="294">
      <c r="B294" s="7" t="inlineStr">
        <is>
          <t>ROL-289</t>
        </is>
      </c>
      <c r="C294" s="11" t="inlineStr">
        <is>
          <t>Cybersecurity</t>
        </is>
      </c>
      <c r="D294" s="7" t="inlineStr">
        <is>
          <t>SIEM Engineer</t>
        </is>
      </c>
      <c r="E294" s="11" t="inlineStr">
        <is>
          <t>SOC</t>
        </is>
      </c>
      <c r="F294" s="21" t="inlineStr">
        <is>
          <t>High</t>
        </is>
      </c>
      <c r="G294" s="11" t="inlineStr">
        <is>
          <t>Senior</t>
        </is>
      </c>
      <c r="H294" s="11" t="inlineStr">
        <is>
          <t>Lead</t>
        </is>
      </c>
      <c r="I294" s="23">
        <f>VLOOKUP(G294,'Internal Cost Model'!$B$6:$F$15,5,FALSE)</f>
        <v/>
      </c>
      <c r="J294" s="24">
        <f>I294*VLOOKUP(F294,Assumptions!$B$43:$C$45,2,FALSE)</f>
        <v/>
      </c>
    </row>
    <row r="295">
      <c r="B295" s="7" t="inlineStr">
        <is>
          <t>ROL-290</t>
        </is>
      </c>
      <c r="C295" s="11" t="inlineStr">
        <is>
          <t>Cybersecurity</t>
        </is>
      </c>
      <c r="D295" s="7" t="inlineStr">
        <is>
          <t>PAM Engineer</t>
        </is>
      </c>
      <c r="E295" s="11" t="inlineStr">
        <is>
          <t>IAM</t>
        </is>
      </c>
      <c r="F295" s="21" t="inlineStr">
        <is>
          <t>High</t>
        </is>
      </c>
      <c r="G295" s="11" t="inlineStr">
        <is>
          <t>Senior</t>
        </is>
      </c>
      <c r="H295" s="11" t="inlineStr">
        <is>
          <t>Lead</t>
        </is>
      </c>
      <c r="I295" s="23">
        <f>VLOOKUP(G295,'Internal Cost Model'!$B$6:$F$15,5,FALSE)</f>
        <v/>
      </c>
      <c r="J295" s="24">
        <f>I295*VLOOKUP(F295,Assumptions!$B$43:$C$45,2,FALSE)</f>
        <v/>
      </c>
    </row>
    <row r="296">
      <c r="B296" s="7" t="inlineStr">
        <is>
          <t>ROL-291</t>
        </is>
      </c>
      <c r="C296" s="11" t="inlineStr">
        <is>
          <t>Cybersecurity</t>
        </is>
      </c>
      <c r="D296" s="7" t="inlineStr">
        <is>
          <t>Privacy Engineer</t>
        </is>
      </c>
      <c r="E296" s="11" t="inlineStr">
        <is>
          <t>GRC</t>
        </is>
      </c>
      <c r="F296" s="21" t="inlineStr">
        <is>
          <t>High</t>
        </is>
      </c>
      <c r="G296" s="11" t="inlineStr">
        <is>
          <t>Senior</t>
        </is>
      </c>
      <c r="H296" s="11" t="inlineStr">
        <is>
          <t>Lead</t>
        </is>
      </c>
      <c r="I296" s="23">
        <f>VLOOKUP(G296,'Internal Cost Model'!$B$6:$F$15,5,FALSE)</f>
        <v/>
      </c>
      <c r="J296" s="24">
        <f>I296*VLOOKUP(F296,Assumptions!$B$43:$C$45,2,FALSE)</f>
        <v/>
      </c>
    </row>
    <row r="297">
      <c r="B297" s="7" t="inlineStr">
        <is>
          <t>ROL-292</t>
        </is>
      </c>
      <c r="C297" s="11" t="inlineStr">
        <is>
          <t>Quality Engineering</t>
        </is>
      </c>
      <c r="D297" s="7" t="inlineStr">
        <is>
          <t>SDET</t>
        </is>
      </c>
      <c r="E297" s="11" t="inlineStr">
        <is>
          <t>Test Automation</t>
        </is>
      </c>
      <c r="F297" s="21" t="inlineStr">
        <is>
          <t>High</t>
        </is>
      </c>
      <c r="G297" s="11" t="inlineStr">
        <is>
          <t>Intermediate</t>
        </is>
      </c>
      <c r="H297" s="11" t="inlineStr">
        <is>
          <t>Senior</t>
        </is>
      </c>
      <c r="I297" s="23">
        <f>VLOOKUP(G297,'Internal Cost Model'!$B$6:$F$15,5,FALSE)</f>
        <v/>
      </c>
      <c r="J297" s="24">
        <f>I297*VLOOKUP(F297,Assumptions!$B$43:$C$45,2,FALSE)</f>
        <v/>
      </c>
    </row>
    <row r="298">
      <c r="B298" s="7" t="inlineStr">
        <is>
          <t>ROL-293</t>
        </is>
      </c>
      <c r="C298" s="11" t="inlineStr">
        <is>
          <t>Quality Engineering</t>
        </is>
      </c>
      <c r="D298" s="7" t="inlineStr">
        <is>
          <t>API Test Engineer</t>
        </is>
      </c>
      <c r="E298" s="11" t="inlineStr">
        <is>
          <t>Test Automation</t>
        </is>
      </c>
      <c r="F298" s="21" t="inlineStr">
        <is>
          <t>Medium</t>
        </is>
      </c>
      <c r="G298" s="11" t="inlineStr">
        <is>
          <t>Intermediate</t>
        </is>
      </c>
      <c r="H298" s="11" t="inlineStr">
        <is>
          <t>Senior</t>
        </is>
      </c>
      <c r="I298" s="23">
        <f>VLOOKUP(G298,'Internal Cost Model'!$B$6:$F$15,5,FALSE)</f>
        <v/>
      </c>
      <c r="J298" s="24">
        <f>I298*VLOOKUP(F298,Assumptions!$B$43:$C$45,2,FALSE)</f>
        <v/>
      </c>
    </row>
    <row r="299">
      <c r="B299" s="7" t="inlineStr">
        <is>
          <t>ROL-294</t>
        </is>
      </c>
      <c r="C299" s="11" t="inlineStr">
        <is>
          <t>Quality Engineering</t>
        </is>
      </c>
      <c r="D299" s="7" t="inlineStr">
        <is>
          <t>Mobile Test Engineer</t>
        </is>
      </c>
      <c r="E299" s="11" t="inlineStr">
        <is>
          <t>Test Automation</t>
        </is>
      </c>
      <c r="F299" s="21" t="inlineStr">
        <is>
          <t>Medium</t>
        </is>
      </c>
      <c r="G299" s="11" t="inlineStr">
        <is>
          <t>Intermediate</t>
        </is>
      </c>
      <c r="H299" s="11" t="inlineStr">
        <is>
          <t>Senior</t>
        </is>
      </c>
      <c r="I299" s="23">
        <f>VLOOKUP(G299,'Internal Cost Model'!$B$6:$F$15,5,FALSE)</f>
        <v/>
      </c>
      <c r="J299" s="24">
        <f>I299*VLOOKUP(F299,Assumptions!$B$43:$C$45,2,FALSE)</f>
        <v/>
      </c>
    </row>
    <row r="300">
      <c r="B300" s="7" t="inlineStr">
        <is>
          <t>ROL-295</t>
        </is>
      </c>
      <c r="C300" s="11" t="inlineStr">
        <is>
          <t>Quality Engineering</t>
        </is>
      </c>
      <c r="D300" s="7" t="inlineStr">
        <is>
          <t>Test Data Engineer</t>
        </is>
      </c>
      <c r="E300" s="11" t="inlineStr">
        <is>
          <t>Test Strategy</t>
        </is>
      </c>
      <c r="F300" s="21" t="inlineStr">
        <is>
          <t>Medium</t>
        </is>
      </c>
      <c r="G300" s="11" t="inlineStr">
        <is>
          <t>Intermediate</t>
        </is>
      </c>
      <c r="H300" s="11" t="inlineStr">
        <is>
          <t>Senior</t>
        </is>
      </c>
      <c r="I300" s="23">
        <f>VLOOKUP(G300,'Internal Cost Model'!$B$6:$F$15,5,FALSE)</f>
        <v/>
      </c>
      <c r="J300" s="24">
        <f>I300*VLOOKUP(F300,Assumptions!$B$43:$C$45,2,FALSE)</f>
        <v/>
      </c>
    </row>
    <row r="301">
      <c r="B301" s="7" t="inlineStr">
        <is>
          <t>ROL-296</t>
        </is>
      </c>
      <c r="C301" s="11" t="inlineStr">
        <is>
          <t>Quality Engineering</t>
        </is>
      </c>
      <c r="D301" s="7" t="inlineStr">
        <is>
          <t>Chaos Engineer</t>
        </is>
      </c>
      <c r="E301" s="11" t="inlineStr">
        <is>
          <t>Performance Testing</t>
        </is>
      </c>
      <c r="F301" s="21" t="inlineStr">
        <is>
          <t>High</t>
        </is>
      </c>
      <c r="G301" s="11" t="inlineStr">
        <is>
          <t>Senior</t>
        </is>
      </c>
      <c r="H301" s="11" t="inlineStr">
        <is>
          <t>Lead</t>
        </is>
      </c>
      <c r="I301" s="23">
        <f>VLOOKUP(G301,'Internal Cost Model'!$B$6:$F$15,5,FALSE)</f>
        <v/>
      </c>
      <c r="J301" s="24">
        <f>I301*VLOOKUP(F301,Assumptions!$B$43:$C$45,2,FALSE)</f>
        <v/>
      </c>
    </row>
    <row r="302">
      <c r="B302" s="7" t="inlineStr">
        <is>
          <t>ROL-297</t>
        </is>
      </c>
      <c r="C302" s="11" t="inlineStr">
        <is>
          <t>Operations</t>
        </is>
      </c>
      <c r="D302" s="7" t="inlineStr">
        <is>
          <t>Incident Manager</t>
        </is>
      </c>
      <c r="E302" s="11" t="inlineStr">
        <is>
          <t>Service Operations</t>
        </is>
      </c>
      <c r="F302" s="21" t="inlineStr">
        <is>
          <t>Medium</t>
        </is>
      </c>
      <c r="G302" s="11" t="inlineStr">
        <is>
          <t>Senior</t>
        </is>
      </c>
      <c r="H302" s="11" t="inlineStr">
        <is>
          <t>Manager</t>
        </is>
      </c>
      <c r="I302" s="23">
        <f>VLOOKUP(G302,'Internal Cost Model'!$B$6:$F$15,5,FALSE)</f>
        <v/>
      </c>
      <c r="J302" s="24">
        <f>I302*VLOOKUP(F302,Assumptions!$B$43:$C$45,2,FALSE)</f>
        <v/>
      </c>
    </row>
    <row r="303">
      <c r="B303" s="7" t="inlineStr">
        <is>
          <t>ROL-298</t>
        </is>
      </c>
      <c r="C303" s="11" t="inlineStr">
        <is>
          <t>Operations</t>
        </is>
      </c>
      <c r="D303" s="7" t="inlineStr">
        <is>
          <t>Problem Manager</t>
        </is>
      </c>
      <c r="E303" s="11" t="inlineStr">
        <is>
          <t>Service Operations</t>
        </is>
      </c>
      <c r="F303" s="21" t="inlineStr">
        <is>
          <t>Medium</t>
        </is>
      </c>
      <c r="G303" s="11" t="inlineStr">
        <is>
          <t>Senior</t>
        </is>
      </c>
      <c r="H303" s="11" t="inlineStr">
        <is>
          <t>Manager</t>
        </is>
      </c>
      <c r="I303" s="23">
        <f>VLOOKUP(G303,'Internal Cost Model'!$B$6:$F$15,5,FALSE)</f>
        <v/>
      </c>
      <c r="J303" s="24">
        <f>I303*VLOOKUP(F303,Assumptions!$B$43:$C$45,2,FALSE)</f>
        <v/>
      </c>
    </row>
    <row r="304">
      <c r="B304" s="7" t="inlineStr">
        <is>
          <t>ROL-299</t>
        </is>
      </c>
      <c r="C304" s="11" t="inlineStr">
        <is>
          <t>Operations</t>
        </is>
      </c>
      <c r="D304" s="7" t="inlineStr">
        <is>
          <t>Major Incident Lead</t>
        </is>
      </c>
      <c r="E304" s="11" t="inlineStr">
        <is>
          <t>Service Operations</t>
        </is>
      </c>
      <c r="F304" s="21" t="inlineStr">
        <is>
          <t>High</t>
        </is>
      </c>
      <c r="G304" s="11" t="inlineStr">
        <is>
          <t>Lead</t>
        </is>
      </c>
      <c r="H304" s="11" t="inlineStr">
        <is>
          <t>Senior Manager</t>
        </is>
      </c>
      <c r="I304" s="23">
        <f>VLOOKUP(G304,'Internal Cost Model'!$B$6:$F$15,5,FALSE)</f>
        <v/>
      </c>
      <c r="J304" s="24">
        <f>I304*VLOOKUP(F304,Assumptions!$B$43:$C$45,2,FALSE)</f>
        <v/>
      </c>
    </row>
    <row r="305">
      <c r="B305" s="7" t="inlineStr">
        <is>
          <t>ROL-300</t>
        </is>
      </c>
      <c r="C305" s="11" t="inlineStr">
        <is>
          <t>Operations</t>
        </is>
      </c>
      <c r="D305" s="7" t="inlineStr">
        <is>
          <t>Monitoring Engineer</t>
        </is>
      </c>
      <c r="E305" s="11" t="inlineStr">
        <is>
          <t>Monitoring &amp; Observability</t>
        </is>
      </c>
      <c r="F305" s="21" t="inlineStr">
        <is>
          <t>Medium</t>
        </is>
      </c>
      <c r="G305" s="11" t="inlineStr">
        <is>
          <t>Intermediate</t>
        </is>
      </c>
      <c r="H305" s="11" t="inlineStr">
        <is>
          <t>Senior</t>
        </is>
      </c>
      <c r="I305" s="23">
        <f>VLOOKUP(G305,'Internal Cost Model'!$B$6:$F$15,5,FALSE)</f>
        <v/>
      </c>
      <c r="J305" s="24">
        <f>I305*VLOOKUP(F305,Assumptions!$B$43:$C$45,2,FALSE)</f>
        <v/>
      </c>
    </row>
    <row r="306">
      <c r="B306" s="7" t="inlineStr">
        <is>
          <t>ROL-301</t>
        </is>
      </c>
      <c r="C306" s="11" t="inlineStr">
        <is>
          <t>Operations</t>
        </is>
      </c>
      <c r="D306" s="7" t="inlineStr">
        <is>
          <t>Capacity Engineer</t>
        </is>
      </c>
      <c r="E306" s="11" t="inlineStr">
        <is>
          <t>Site Reliability</t>
        </is>
      </c>
      <c r="F306" s="21" t="inlineStr">
        <is>
          <t>Medium</t>
        </is>
      </c>
      <c r="G306" s="11" t="inlineStr">
        <is>
          <t>Senior</t>
        </is>
      </c>
      <c r="H306" s="11" t="inlineStr">
        <is>
          <t>Lead</t>
        </is>
      </c>
      <c r="I306" s="23">
        <f>VLOOKUP(G306,'Internal Cost Model'!$B$6:$F$15,5,FALSE)</f>
        <v/>
      </c>
      <c r="J306" s="24">
        <f>I306*VLOOKUP(F306,Assumptions!$B$43:$C$45,2,FALSE)</f>
        <v/>
      </c>
    </row>
    <row r="307">
      <c r="B307" s="7" t="inlineStr">
        <is>
          <t>ROL-302</t>
        </is>
      </c>
      <c r="C307" s="11" t="inlineStr">
        <is>
          <t>Managed Services</t>
        </is>
      </c>
      <c r="D307" s="7" t="inlineStr">
        <is>
          <t>Service Delivery Manager</t>
        </is>
      </c>
      <c r="E307" s="11" t="inlineStr">
        <is>
          <t>AMS L3</t>
        </is>
      </c>
      <c r="F307" s="21" t="inlineStr">
        <is>
          <t>Medium</t>
        </is>
      </c>
      <c r="G307" s="11" t="inlineStr">
        <is>
          <t>Manager</t>
        </is>
      </c>
      <c r="H307" s="11" t="inlineStr">
        <is>
          <t>Director</t>
        </is>
      </c>
      <c r="I307" s="23">
        <f>VLOOKUP(G307,'Internal Cost Model'!$B$6:$F$15,5,FALSE)</f>
        <v/>
      </c>
      <c r="J307" s="24">
        <f>I307*VLOOKUP(F307,Assumptions!$B$43:$C$45,2,FALSE)</f>
        <v/>
      </c>
    </row>
    <row r="308">
      <c r="B308" s="7" t="inlineStr">
        <is>
          <t>ROL-303</t>
        </is>
      </c>
      <c r="C308" s="11" t="inlineStr">
        <is>
          <t>Managed Services</t>
        </is>
      </c>
      <c r="D308" s="7" t="inlineStr">
        <is>
          <t>Transition Manager</t>
        </is>
      </c>
      <c r="E308" s="11" t="inlineStr">
        <is>
          <t>AMS L3</t>
        </is>
      </c>
      <c r="F308" s="21" t="inlineStr">
        <is>
          <t>Medium</t>
        </is>
      </c>
      <c r="G308" s="11" t="inlineStr">
        <is>
          <t>Manager</t>
        </is>
      </c>
      <c r="H308" s="11" t="inlineStr">
        <is>
          <t>Senior Manager</t>
        </is>
      </c>
      <c r="I308" s="23">
        <f>VLOOKUP(G308,'Internal Cost Model'!$B$6:$F$15,5,FALSE)</f>
        <v/>
      </c>
      <c r="J308" s="24">
        <f>I308*VLOOKUP(F308,Assumptions!$B$43:$C$45,2,FALSE)</f>
        <v/>
      </c>
    </row>
    <row r="309">
      <c r="B309" s="7" t="inlineStr">
        <is>
          <t>ROL-304</t>
        </is>
      </c>
      <c r="C309" s="11" t="inlineStr">
        <is>
          <t>Managed Services</t>
        </is>
      </c>
      <c r="D309" s="7" t="inlineStr">
        <is>
          <t>AMS Architect</t>
        </is>
      </c>
      <c r="E309" s="11" t="inlineStr">
        <is>
          <t>AMS L3</t>
        </is>
      </c>
      <c r="F309" s="21" t="inlineStr">
        <is>
          <t>High</t>
        </is>
      </c>
      <c r="G309" s="11" t="inlineStr">
        <is>
          <t>Lead</t>
        </is>
      </c>
      <c r="H309" s="11" t="inlineStr">
        <is>
          <t>Director</t>
        </is>
      </c>
      <c r="I309" s="23">
        <f>VLOOKUP(G309,'Internal Cost Model'!$B$6:$F$15,5,FALSE)</f>
        <v/>
      </c>
      <c r="J309" s="24">
        <f>I309*VLOOKUP(F309,Assumptions!$B$43:$C$45,2,FALSE)</f>
        <v/>
      </c>
    </row>
    <row r="310">
      <c r="B310" s="7" t="inlineStr">
        <is>
          <t>ROL-305</t>
        </is>
      </c>
      <c r="C310" s="11" t="inlineStr">
        <is>
          <t>Managed Services</t>
        </is>
      </c>
      <c r="D310" s="7" t="inlineStr">
        <is>
          <t>Knowledge Manager</t>
        </is>
      </c>
      <c r="E310" s="11" t="inlineStr">
        <is>
          <t>AMS L2</t>
        </is>
      </c>
      <c r="F310" s="21" t="inlineStr">
        <is>
          <t>Low</t>
        </is>
      </c>
      <c r="G310" s="11" t="inlineStr">
        <is>
          <t>Senior</t>
        </is>
      </c>
      <c r="H310" s="11" t="inlineStr">
        <is>
          <t>Manager</t>
        </is>
      </c>
      <c r="I310" s="23">
        <f>VLOOKUP(G310,'Internal Cost Model'!$B$6:$F$15,5,FALSE)</f>
        <v/>
      </c>
      <c r="J310" s="24">
        <f>I310*VLOOKUP(F310,Assumptions!$B$43:$C$45,2,FALSE)</f>
        <v/>
      </c>
    </row>
    <row r="311">
      <c r="B311" s="7" t="inlineStr">
        <is>
          <t>ROL-306</t>
        </is>
      </c>
      <c r="C311" s="11" t="inlineStr">
        <is>
          <t>Legacy &amp; Mainframe</t>
        </is>
      </c>
      <c r="D311" s="7" t="inlineStr">
        <is>
          <t>DB2 DBA</t>
        </is>
      </c>
      <c r="E311" s="11" t="inlineStr">
        <is>
          <t>DB2</t>
        </is>
      </c>
      <c r="F311" s="21" t="inlineStr">
        <is>
          <t>Medium</t>
        </is>
      </c>
      <c r="G311" s="11" t="inlineStr">
        <is>
          <t>Senior</t>
        </is>
      </c>
      <c r="H311" s="11" t="inlineStr">
        <is>
          <t>Lead</t>
        </is>
      </c>
      <c r="I311" s="23">
        <f>VLOOKUP(G311,'Internal Cost Model'!$B$6:$F$15,5,FALSE)</f>
        <v/>
      </c>
      <c r="J311" s="24">
        <f>I311*VLOOKUP(F311,Assumptions!$B$43:$C$45,2,FALSE)</f>
        <v/>
      </c>
    </row>
    <row r="312">
      <c r="B312" s="7" t="inlineStr">
        <is>
          <t>ROL-307</t>
        </is>
      </c>
      <c r="C312" s="11" t="inlineStr">
        <is>
          <t>Legacy &amp; Mainframe</t>
        </is>
      </c>
      <c r="D312" s="7" t="inlineStr">
        <is>
          <t>Mainframe Modernization Consultant</t>
        </is>
      </c>
      <c r="E312" s="11" t="inlineStr">
        <is>
          <t>Mainframe</t>
        </is>
      </c>
      <c r="F312" s="21" t="inlineStr">
        <is>
          <t>High</t>
        </is>
      </c>
      <c r="G312" s="11" t="inlineStr">
        <is>
          <t>Senior</t>
        </is>
      </c>
      <c r="H312" s="11" t="inlineStr">
        <is>
          <t>Senior Manager</t>
        </is>
      </c>
      <c r="I312" s="23">
        <f>VLOOKUP(G312,'Internal Cost Model'!$B$6:$F$15,5,FALSE)</f>
        <v/>
      </c>
      <c r="J312" s="24">
        <f>I312*VLOOKUP(F312,Assumptions!$B$43:$C$45,2,FALSE)</f>
        <v/>
      </c>
    </row>
    <row r="313">
      <c r="B313" s="7" t="inlineStr">
        <is>
          <t>ROL-308</t>
        </is>
      </c>
      <c r="C313" s="11" t="inlineStr">
        <is>
          <t>Legacy &amp; Mainframe</t>
        </is>
      </c>
      <c r="D313" s="7" t="inlineStr">
        <is>
          <t>JCL Engineer</t>
        </is>
      </c>
      <c r="E313" s="11" t="inlineStr">
        <is>
          <t>z/OS</t>
        </is>
      </c>
      <c r="F313" s="21" t="inlineStr">
        <is>
          <t>Medium</t>
        </is>
      </c>
      <c r="G313" s="11" t="inlineStr">
        <is>
          <t>Intermediate</t>
        </is>
      </c>
      <c r="H313" s="11" t="inlineStr">
        <is>
          <t>Senior</t>
        </is>
      </c>
      <c r="I313" s="23">
        <f>VLOOKUP(G313,'Internal Cost Model'!$B$6:$F$15,5,FALSE)</f>
        <v/>
      </c>
      <c r="J313" s="24">
        <f>I313*VLOOKUP(F313,Assumptions!$B$43:$C$45,2,FALSE)</f>
        <v/>
      </c>
    </row>
    <row r="314">
      <c r="B314" s="7" t="inlineStr">
        <is>
          <t>ROL-309</t>
        </is>
      </c>
      <c r="C314" s="11" t="inlineStr">
        <is>
          <t>Change Management</t>
        </is>
      </c>
      <c r="D314" s="7" t="inlineStr">
        <is>
          <t>Change Analyst</t>
        </is>
      </c>
      <c r="E314" s="11" t="inlineStr">
        <is>
          <t>Organizational Change</t>
        </is>
      </c>
      <c r="F314" s="21" t="inlineStr">
        <is>
          <t>Low</t>
        </is>
      </c>
      <c r="G314" s="11" t="inlineStr">
        <is>
          <t>Junior</t>
        </is>
      </c>
      <c r="H314" s="11" t="inlineStr">
        <is>
          <t>Senior</t>
        </is>
      </c>
      <c r="I314" s="23">
        <f>VLOOKUP(G314,'Internal Cost Model'!$B$6:$F$15,5,FALSE)</f>
        <v/>
      </c>
      <c r="J314" s="24">
        <f>I314*VLOOKUP(F314,Assumptions!$B$43:$C$45,2,FALSE)</f>
        <v/>
      </c>
    </row>
    <row r="315">
      <c r="B315" s="7" t="inlineStr">
        <is>
          <t>ROL-310</t>
        </is>
      </c>
      <c r="C315" s="11" t="inlineStr">
        <is>
          <t>Change Management</t>
        </is>
      </c>
      <c r="D315" s="7" t="inlineStr">
        <is>
          <t>Instructional Designer</t>
        </is>
      </c>
      <c r="E315" s="11" t="inlineStr">
        <is>
          <t>Training</t>
        </is>
      </c>
      <c r="F315" s="21" t="inlineStr">
        <is>
          <t>Low</t>
        </is>
      </c>
      <c r="G315" s="11" t="inlineStr">
        <is>
          <t>Intermediate</t>
        </is>
      </c>
      <c r="H315" s="11" t="inlineStr">
        <is>
          <t>Senior</t>
        </is>
      </c>
      <c r="I315" s="23">
        <f>VLOOKUP(G315,'Internal Cost Model'!$B$6:$F$15,5,FALSE)</f>
        <v/>
      </c>
      <c r="J315" s="24">
        <f>I315*VLOOKUP(F315,Assumptions!$B$43:$C$45,2,FALSE)</f>
        <v/>
      </c>
    </row>
    <row r="316">
      <c r="B316" s="7" t="inlineStr">
        <is>
          <t>ROL-311</t>
        </is>
      </c>
      <c r="C316" s="11" t="inlineStr">
        <is>
          <t>Change Management</t>
        </is>
      </c>
      <c r="D316" s="7" t="inlineStr">
        <is>
          <t>Adoption Analyst</t>
        </is>
      </c>
      <c r="E316" s="11" t="inlineStr">
        <is>
          <t>Adoption</t>
        </is>
      </c>
      <c r="F316" s="21" t="inlineStr">
        <is>
          <t>Low</t>
        </is>
      </c>
      <c r="G316" s="11" t="inlineStr">
        <is>
          <t>Junior</t>
        </is>
      </c>
      <c r="H316" s="11" t="inlineStr">
        <is>
          <t>Senior</t>
        </is>
      </c>
      <c r="I316" s="23">
        <f>VLOOKUP(G316,'Internal Cost Model'!$B$6:$F$15,5,FALSE)</f>
        <v/>
      </c>
      <c r="J316" s="24">
        <f>I316*VLOOKUP(F316,Assumptions!$B$43:$C$45,2,FALSE)</f>
        <v/>
      </c>
    </row>
    <row r="317">
      <c r="B317" s="7" t="inlineStr">
        <is>
          <t>ROL-312</t>
        </is>
      </c>
      <c r="C317" s="11" t="inlineStr">
        <is>
          <t>Program Management</t>
        </is>
      </c>
      <c r="D317" s="7" t="inlineStr">
        <is>
          <t>Portfolio Manager</t>
        </is>
      </c>
      <c r="E317" s="11" t="inlineStr">
        <is>
          <t>Program Delivery</t>
        </is>
      </c>
      <c r="F317" s="21" t="inlineStr">
        <is>
          <t>Medium</t>
        </is>
      </c>
      <c r="G317" s="11" t="inlineStr">
        <is>
          <t>Director</t>
        </is>
      </c>
      <c r="H317" s="11" t="inlineStr">
        <is>
          <t>Principal</t>
        </is>
      </c>
      <c r="I317" s="23">
        <f>VLOOKUP(G317,'Internal Cost Model'!$B$6:$F$15,5,FALSE)</f>
        <v/>
      </c>
      <c r="J317" s="24">
        <f>I317*VLOOKUP(F317,Assumptions!$B$43:$C$45,2,FALSE)</f>
        <v/>
      </c>
    </row>
    <row r="318">
      <c r="B318" s="7" t="inlineStr">
        <is>
          <t>ROL-313</t>
        </is>
      </c>
      <c r="C318" s="11" t="inlineStr">
        <is>
          <t>Program Management</t>
        </is>
      </c>
      <c r="D318" s="7" t="inlineStr">
        <is>
          <t>Agile Coach</t>
        </is>
      </c>
      <c r="E318" s="11" t="inlineStr">
        <is>
          <t>Agile Delivery</t>
        </is>
      </c>
      <c r="F318" s="21" t="inlineStr">
        <is>
          <t>Medium</t>
        </is>
      </c>
      <c r="G318" s="11" t="inlineStr">
        <is>
          <t>Lead</t>
        </is>
      </c>
      <c r="H318" s="11" t="inlineStr">
        <is>
          <t>Senior Manager</t>
        </is>
      </c>
      <c r="I318" s="23">
        <f>VLOOKUP(G318,'Internal Cost Model'!$B$6:$F$15,5,FALSE)</f>
        <v/>
      </c>
      <c r="J318" s="24">
        <f>I318*VLOOKUP(F318,Assumptions!$B$43:$C$45,2,FALSE)</f>
        <v/>
      </c>
    </row>
    <row r="319">
      <c r="B319" s="7" t="inlineStr">
        <is>
          <t>ROL-314</t>
        </is>
      </c>
      <c r="C319" s="11" t="inlineStr">
        <is>
          <t>Program Management</t>
        </is>
      </c>
      <c r="D319" s="7" t="inlineStr">
        <is>
          <t>Release Train Engineer</t>
        </is>
      </c>
      <c r="E319" s="11" t="inlineStr">
        <is>
          <t>Agile Delivery</t>
        </is>
      </c>
      <c r="F319" s="21" t="inlineStr">
        <is>
          <t>Medium</t>
        </is>
      </c>
      <c r="G319" s="11" t="inlineStr">
        <is>
          <t>Lead</t>
        </is>
      </c>
      <c r="H319" s="11" t="inlineStr">
        <is>
          <t>Senior Manager</t>
        </is>
      </c>
      <c r="I319" s="23">
        <f>VLOOKUP(G319,'Internal Cost Model'!$B$6:$F$15,5,FALSE)</f>
        <v/>
      </c>
      <c r="J319" s="24">
        <f>I319*VLOOKUP(F319,Assumptions!$B$43:$C$45,2,FALSE)</f>
        <v/>
      </c>
    </row>
    <row r="320">
      <c r="B320" s="7" t="inlineStr">
        <is>
          <t>ROL-315</t>
        </is>
      </c>
      <c r="C320" s="11" t="inlineStr">
        <is>
          <t>Program Management</t>
        </is>
      </c>
      <c r="D320" s="7" t="inlineStr">
        <is>
          <t>Delivery Lead</t>
        </is>
      </c>
      <c r="E320" s="11" t="inlineStr">
        <is>
          <t>Program Delivery</t>
        </is>
      </c>
      <c r="F320" s="21" t="inlineStr">
        <is>
          <t>Medium</t>
        </is>
      </c>
      <c r="G320" s="11" t="inlineStr">
        <is>
          <t>Manager</t>
        </is>
      </c>
      <c r="H320" s="11" t="inlineStr">
        <is>
          <t>Senior Manager</t>
        </is>
      </c>
      <c r="I320" s="23">
        <f>VLOOKUP(G320,'Internal Cost Model'!$B$6:$F$15,5,FALSE)</f>
        <v/>
      </c>
      <c r="J320" s="24">
        <f>I320*VLOOKUP(F320,Assumptions!$B$43:$C$45,2,FALSE)</f>
        <v/>
      </c>
    </row>
    <row r="321">
      <c r="B321" s="7" t="inlineStr">
        <is>
          <t>ROL-316</t>
        </is>
      </c>
      <c r="C321" s="11" t="inlineStr">
        <is>
          <t>Program Management</t>
        </is>
      </c>
      <c r="D321" s="7" t="inlineStr">
        <is>
          <t>Business Analyst</t>
        </is>
      </c>
      <c r="E321" s="11" t="inlineStr">
        <is>
          <t>PMO</t>
        </is>
      </c>
      <c r="F321" s="21" t="inlineStr">
        <is>
          <t>Low</t>
        </is>
      </c>
      <c r="G321" s="11" t="inlineStr">
        <is>
          <t>Junior</t>
        </is>
      </c>
      <c r="H321" s="11" t="inlineStr">
        <is>
          <t>Senior</t>
        </is>
      </c>
      <c r="I321" s="23">
        <f>VLOOKUP(G321,'Internal Cost Model'!$B$6:$F$15,5,FALSE)</f>
        <v/>
      </c>
      <c r="J321" s="24">
        <f>I321*VLOOKUP(F321,Assumptions!$B$43:$C$45,2,FALSE)</f>
        <v/>
      </c>
    </row>
    <row r="322">
      <c r="B322" s="7" t="inlineStr">
        <is>
          <t>ROL-317</t>
        </is>
      </c>
      <c r="C322" s="11" t="inlineStr">
        <is>
          <t>Enterprise Architecture</t>
        </is>
      </c>
      <c r="D322" s="7" t="inlineStr">
        <is>
          <t>Business Architect</t>
        </is>
      </c>
      <c r="E322" s="11" t="inlineStr">
        <is>
          <t>Enterprise Architecture</t>
        </is>
      </c>
      <c r="F322" s="21" t="inlineStr">
        <is>
          <t>High</t>
        </is>
      </c>
      <c r="G322" s="11" t="inlineStr">
        <is>
          <t>Lead</t>
        </is>
      </c>
      <c r="H322" s="11" t="inlineStr">
        <is>
          <t>Director</t>
        </is>
      </c>
      <c r="I322" s="23">
        <f>VLOOKUP(G322,'Internal Cost Model'!$B$6:$F$15,5,FALSE)</f>
        <v/>
      </c>
      <c r="J322" s="24">
        <f>I322*VLOOKUP(F322,Assumptions!$B$43:$C$45,2,FALSE)</f>
        <v/>
      </c>
    </row>
    <row r="323">
      <c r="B323" s="7" t="inlineStr">
        <is>
          <t>ROL-318</t>
        </is>
      </c>
      <c r="C323" s="11" t="inlineStr">
        <is>
          <t>Enterprise Architecture</t>
        </is>
      </c>
      <c r="D323" s="7" t="inlineStr">
        <is>
          <t>Domain Architect</t>
        </is>
      </c>
      <c r="E323" s="11" t="inlineStr">
        <is>
          <t>Solution Architecture</t>
        </is>
      </c>
      <c r="F323" s="21" t="inlineStr">
        <is>
          <t>High</t>
        </is>
      </c>
      <c r="G323" s="11" t="inlineStr">
        <is>
          <t>Lead</t>
        </is>
      </c>
      <c r="H323" s="11" t="inlineStr">
        <is>
          <t>Director</t>
        </is>
      </c>
      <c r="I323" s="23">
        <f>VLOOKUP(G323,'Internal Cost Model'!$B$6:$F$15,5,FALSE)</f>
        <v/>
      </c>
      <c r="J323" s="24">
        <f>I323*VLOOKUP(F323,Assumptions!$B$43:$C$45,2,FALSE)</f>
        <v/>
      </c>
    </row>
    <row r="324">
      <c r="B324" s="7" t="inlineStr">
        <is>
          <t>ROL-319</t>
        </is>
      </c>
      <c r="C324" s="11" t="inlineStr">
        <is>
          <t>Enterprise Architecture</t>
        </is>
      </c>
      <c r="D324" s="7" t="inlineStr">
        <is>
          <t>Integration Architect (EA)</t>
        </is>
      </c>
      <c r="E324" s="11" t="inlineStr">
        <is>
          <t>Technical Architecture</t>
        </is>
      </c>
      <c r="F324" s="21" t="inlineStr">
        <is>
          <t>High</t>
        </is>
      </c>
      <c r="G324" s="11" t="inlineStr">
        <is>
          <t>Lead</t>
        </is>
      </c>
      <c r="H324" s="11" t="inlineStr">
        <is>
          <t>Senior Manager</t>
        </is>
      </c>
      <c r="I324" s="23">
        <f>VLOOKUP(G324,'Internal Cost Model'!$B$6:$F$15,5,FALSE)</f>
        <v/>
      </c>
      <c r="J324" s="24">
        <f>I324*VLOOKUP(F324,Assumptions!$B$43:$C$45,2,FALSE)</f>
        <v/>
      </c>
    </row>
    <row r="325">
      <c r="B325" s="7" t="inlineStr">
        <is>
          <t>ROL-320</t>
        </is>
      </c>
      <c r="C325" s="11" t="inlineStr">
        <is>
          <t>Enterprise Architecture</t>
        </is>
      </c>
      <c r="D325" s="7" t="inlineStr">
        <is>
          <t>Security Architect (EA)</t>
        </is>
      </c>
      <c r="E325" s="11" t="inlineStr">
        <is>
          <t>Technical Architecture</t>
        </is>
      </c>
      <c r="F325" s="21" t="inlineStr">
        <is>
          <t>High</t>
        </is>
      </c>
      <c r="G325" s="11" t="inlineStr">
        <is>
          <t>Lead</t>
        </is>
      </c>
      <c r="H325" s="11" t="inlineStr">
        <is>
          <t>Senior Manager</t>
        </is>
      </c>
      <c r="I325" s="23">
        <f>VLOOKUP(G325,'Internal Cost Model'!$B$6:$F$15,5,FALSE)</f>
        <v/>
      </c>
      <c r="J325" s="24">
        <f>I325*VLOOKUP(F325,Assumptions!$B$43:$C$45,2,FALSE)</f>
        <v/>
      </c>
    </row>
    <row r="326">
      <c r="B326" s="7" t="inlineStr">
        <is>
          <t>ROL-321</t>
        </is>
      </c>
      <c r="C326" s="11" t="inlineStr">
        <is>
          <t>Enterprise Architecture</t>
        </is>
      </c>
      <c r="D326" s="7" t="inlineStr">
        <is>
          <t>Data Architect (EA)</t>
        </is>
      </c>
      <c r="E326" s="11" t="inlineStr">
        <is>
          <t>Technical Architecture</t>
        </is>
      </c>
      <c r="F326" s="21" t="inlineStr">
        <is>
          <t>High</t>
        </is>
      </c>
      <c r="G326" s="11" t="inlineStr">
        <is>
          <t>Lead</t>
        </is>
      </c>
      <c r="H326" s="11" t="inlineStr">
        <is>
          <t>Senior Manager</t>
        </is>
      </c>
      <c r="I326" s="23">
        <f>VLOOKUP(G326,'Internal Cost Model'!$B$6:$F$15,5,FALSE)</f>
        <v/>
      </c>
      <c r="J326" s="24">
        <f>I326*VLOOKUP(F326,Assumptions!$B$43:$C$45,2,FALSE)</f>
        <v/>
      </c>
    </row>
  </sheetData>
  <autoFilter ref="B5:J3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EA8"/>
    <outlinePr summaryBelow="1" summaryRight="1"/>
    <pageSetUpPr/>
  </sheetPr>
  <dimension ref="B2:J8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30" customWidth="1" min="4" max="4"/>
    <col width="26" customWidth="1" min="5" max="5"/>
    <col width="16" customWidth="1" min="6" max="6"/>
    <col width="12" customWidth="1" min="7" max="7"/>
    <col width="16" customWidth="1" min="8" max="8"/>
    <col width="18" customWidth="1" min="9" max="9"/>
    <col width="18" customWidth="1" min="10" max="10"/>
  </cols>
  <sheetData>
    <row r="2">
      <c r="B2" s="14" t="inlineStr">
        <is>
          <t>ROLE RATE CARD — staffable, priced units (role x career level)</t>
        </is>
      </c>
    </row>
    <row r="3">
      <c r="B3" s="9" t="inlineStr">
        <is>
          <t>Each row is a staffable unit the estimator consumes. Loaded = internal cost; Indicative Bill = SI-T1 onshore market rate. All parametric.</t>
        </is>
      </c>
    </row>
    <row r="5">
      <c r="B5" s="6" t="inlineStr">
        <is>
          <t>ID</t>
        </is>
      </c>
      <c r="C5" s="6" t="inlineStr">
        <is>
          <t>Tower</t>
        </is>
      </c>
      <c r="D5" s="6" t="inlineStr">
        <is>
          <t>Role</t>
        </is>
      </c>
      <c r="E5" s="6" t="inlineStr">
        <is>
          <t>Capability</t>
        </is>
      </c>
      <c r="F5" s="6" t="inlineStr">
        <is>
          <t>Level</t>
        </is>
      </c>
      <c r="G5" s="6" t="inlineStr">
        <is>
          <t>Scarcity</t>
        </is>
      </c>
      <c r="H5" s="6" t="inlineStr">
        <is>
          <t>Loaded $/hr</t>
        </is>
      </c>
      <c r="I5" s="6" t="inlineStr">
        <is>
          <t>Scarcity-Adj $/hr</t>
        </is>
      </c>
      <c r="J5" s="6" t="inlineStr">
        <is>
          <t>Indic. Bill $/hr</t>
        </is>
      </c>
    </row>
    <row r="6">
      <c r="B6" s="7" t="inlineStr">
        <is>
          <t>RC-0001</t>
        </is>
      </c>
      <c r="C6" s="11" t="inlineStr">
        <is>
          <t>Strategy &amp; Transformation</t>
        </is>
      </c>
      <c r="D6" s="7" t="inlineStr">
        <is>
          <t>Transformation Partner</t>
        </is>
      </c>
      <c r="E6" s="11" t="inlineStr">
        <is>
          <t>Transformation Strategy</t>
        </is>
      </c>
      <c r="F6" s="11" t="inlineStr">
        <is>
          <t>Partner</t>
        </is>
      </c>
      <c r="G6" s="21" t="inlineStr">
        <is>
          <t>High</t>
        </is>
      </c>
      <c r="H6" s="23">
        <f>VLOOKUP(F6,'Internal Cost Model'!$B$6:$F$15,5,FALSE)</f>
        <v/>
      </c>
      <c r="I6" s="24">
        <f>H6*VLOOKUP(G6,Assumptions!$B$43:$C$45,2,FALSE)</f>
        <v/>
      </c>
      <c r="J6" s="25">
        <f>VLOOKUP(F6,Assumptions!$B$50:$D$59,2,FALSE)*VLOOKUP("SI-T1",Assumptions!$B$27:$C$31,2,FALSE)*VLOOKUP(G6,Assumptions!$B$43:$C$45,2,FALSE)</f>
        <v/>
      </c>
    </row>
    <row r="7">
      <c r="B7" s="7" t="inlineStr">
        <is>
          <t>RC-0002</t>
        </is>
      </c>
      <c r="C7" s="11" t="inlineStr">
        <is>
          <t>Strategy &amp; Transformation</t>
        </is>
      </c>
      <c r="D7" s="7" t="inlineStr">
        <is>
          <t>Transformation Director</t>
        </is>
      </c>
      <c r="E7" s="11" t="inlineStr">
        <is>
          <t>Transformation Strategy</t>
        </is>
      </c>
      <c r="F7" s="11" t="inlineStr">
        <is>
          <t>Principal</t>
        </is>
      </c>
      <c r="G7" s="21" t="inlineStr">
        <is>
          <t>High</t>
        </is>
      </c>
      <c r="H7" s="23">
        <f>VLOOKUP(F7,'Internal Cost Model'!$B$6:$F$15,5,FALSE)</f>
        <v/>
      </c>
      <c r="I7" s="24">
        <f>H7*VLOOKUP(G7,Assumptions!$B$43:$C$45,2,FALSE)</f>
        <v/>
      </c>
      <c r="J7" s="25">
        <f>VLOOKUP(F7,Assumptions!$B$50:$D$59,2,FALSE)*VLOOKUP("SI-T1",Assumptions!$B$27:$C$31,2,FALSE)*VLOOKUP(G7,Assumptions!$B$43:$C$45,2,FALSE)</f>
        <v/>
      </c>
    </row>
    <row r="8">
      <c r="B8" s="7" t="inlineStr">
        <is>
          <t>RC-0003</t>
        </is>
      </c>
      <c r="C8" s="11" t="inlineStr">
        <is>
          <t>Strategy &amp; Transformation</t>
        </is>
      </c>
      <c r="D8" s="7" t="inlineStr">
        <is>
          <t>Transformation Director</t>
        </is>
      </c>
      <c r="E8" s="11" t="inlineStr">
        <is>
          <t>Transformation Strategy</t>
        </is>
      </c>
      <c r="F8" s="11" t="inlineStr">
        <is>
          <t>Director</t>
        </is>
      </c>
      <c r="G8" s="21" t="inlineStr">
        <is>
          <t>High</t>
        </is>
      </c>
      <c r="H8" s="23">
        <f>VLOOKUP(F8,'Internal Cost Model'!$B$6:$F$15,5,FALSE)</f>
        <v/>
      </c>
      <c r="I8" s="24">
        <f>H8*VLOOKUP(G8,Assumptions!$B$43:$C$45,2,FALSE)</f>
        <v/>
      </c>
      <c r="J8" s="25">
        <f>VLOOKUP(F8,Assumptions!$B$50:$D$59,2,FALSE)*VLOOKUP("SI-T1",Assumptions!$B$27:$C$31,2,FALSE)*VLOOKUP(G8,Assumptions!$B$43:$C$45,2,FALSE)</f>
        <v/>
      </c>
    </row>
    <row r="9">
      <c r="B9" s="7" t="inlineStr">
        <is>
          <t>RC-0004</t>
        </is>
      </c>
      <c r="C9" s="11" t="inlineStr">
        <is>
          <t>Strategy &amp; Transformation</t>
        </is>
      </c>
      <c r="D9" s="7" t="inlineStr">
        <is>
          <t>Operating Model Lead</t>
        </is>
      </c>
      <c r="E9" s="11" t="inlineStr">
        <is>
          <t>Operating Model Design</t>
        </is>
      </c>
      <c r="F9" s="11" t="inlineStr">
        <is>
          <t>Director</t>
        </is>
      </c>
      <c r="G9" s="21" t="inlineStr">
        <is>
          <t>High</t>
        </is>
      </c>
      <c r="H9" s="23">
        <f>VLOOKUP(F9,'Internal Cost Model'!$B$6:$F$15,5,FALSE)</f>
        <v/>
      </c>
      <c r="I9" s="24">
        <f>H9*VLOOKUP(G9,Assumptions!$B$43:$C$45,2,FALSE)</f>
        <v/>
      </c>
      <c r="J9" s="25">
        <f>VLOOKUP(F9,Assumptions!$B$50:$D$59,2,FALSE)*VLOOKUP("SI-T1",Assumptions!$B$27:$C$31,2,FALSE)*VLOOKUP(G9,Assumptions!$B$43:$C$45,2,FALSE)</f>
        <v/>
      </c>
    </row>
    <row r="10">
      <c r="B10" s="7" t="inlineStr">
        <is>
          <t>RC-0005</t>
        </is>
      </c>
      <c r="C10" s="11" t="inlineStr">
        <is>
          <t>Strategy &amp; Transformation</t>
        </is>
      </c>
      <c r="D10" s="7" t="inlineStr">
        <is>
          <t>Operating Model Lead</t>
        </is>
      </c>
      <c r="E10" s="11" t="inlineStr">
        <is>
          <t>Operating Model Design</t>
        </is>
      </c>
      <c r="F10" s="11" t="inlineStr">
        <is>
          <t>Senior Manager</t>
        </is>
      </c>
      <c r="G10" s="21" t="inlineStr">
        <is>
          <t>High</t>
        </is>
      </c>
      <c r="H10" s="23">
        <f>VLOOKUP(F10,'Internal Cost Model'!$B$6:$F$15,5,FALSE)</f>
        <v/>
      </c>
      <c r="I10" s="24">
        <f>H10*VLOOKUP(G10,Assumptions!$B$43:$C$45,2,FALSE)</f>
        <v/>
      </c>
      <c r="J10" s="25">
        <f>VLOOKUP(F10,Assumptions!$B$50:$D$59,2,FALSE)*VLOOKUP("SI-T1",Assumptions!$B$27:$C$31,2,FALSE)*VLOOKUP(G10,Assumptions!$B$43:$C$45,2,FALSE)</f>
        <v/>
      </c>
    </row>
    <row r="11">
      <c r="B11" s="7" t="inlineStr">
        <is>
          <t>RC-0006</t>
        </is>
      </c>
      <c r="C11" s="11" t="inlineStr">
        <is>
          <t>Strategy &amp; Transformation</t>
        </is>
      </c>
      <c r="D11" s="7" t="inlineStr">
        <is>
          <t>Value Architect</t>
        </is>
      </c>
      <c r="E11" s="11" t="inlineStr">
        <is>
          <t>Value Architecture</t>
        </is>
      </c>
      <c r="F11" s="11" t="inlineStr">
        <is>
          <t>Principal</t>
        </is>
      </c>
      <c r="G11" s="21" t="inlineStr">
        <is>
          <t>Medium</t>
        </is>
      </c>
      <c r="H11" s="23">
        <f>VLOOKUP(F11,'Internal Cost Model'!$B$6:$F$15,5,FALSE)</f>
        <v/>
      </c>
      <c r="I11" s="24">
        <f>H11*VLOOKUP(G11,Assumptions!$B$43:$C$45,2,FALSE)</f>
        <v/>
      </c>
      <c r="J11" s="25">
        <f>VLOOKUP(F11,Assumptions!$B$50:$D$59,2,FALSE)*VLOOKUP("SI-T1",Assumptions!$B$27:$C$31,2,FALSE)*VLOOKUP(G11,Assumptions!$B$43:$C$45,2,FALSE)</f>
        <v/>
      </c>
    </row>
    <row r="12">
      <c r="B12" s="7" t="inlineStr">
        <is>
          <t>RC-0007</t>
        </is>
      </c>
      <c r="C12" s="11" t="inlineStr">
        <is>
          <t>Strategy &amp; Transformation</t>
        </is>
      </c>
      <c r="D12" s="7" t="inlineStr">
        <is>
          <t>Value Architect</t>
        </is>
      </c>
      <c r="E12" s="11" t="inlineStr">
        <is>
          <t>Value Architecture</t>
        </is>
      </c>
      <c r="F12" s="11" t="inlineStr">
        <is>
          <t>Director</t>
        </is>
      </c>
      <c r="G12" s="21" t="inlineStr">
        <is>
          <t>Medium</t>
        </is>
      </c>
      <c r="H12" s="23">
        <f>VLOOKUP(F12,'Internal Cost Model'!$B$6:$F$15,5,FALSE)</f>
        <v/>
      </c>
      <c r="I12" s="24">
        <f>H12*VLOOKUP(G12,Assumptions!$B$43:$C$45,2,FALSE)</f>
        <v/>
      </c>
      <c r="J12" s="25">
        <f>VLOOKUP(F12,Assumptions!$B$50:$D$59,2,FALSE)*VLOOKUP("SI-T1",Assumptions!$B$27:$C$31,2,FALSE)*VLOOKUP(G12,Assumptions!$B$43:$C$45,2,FALSE)</f>
        <v/>
      </c>
    </row>
    <row r="13">
      <c r="B13" s="7" t="inlineStr">
        <is>
          <t>RC-0008</t>
        </is>
      </c>
      <c r="C13" s="11" t="inlineStr">
        <is>
          <t>Strategy &amp; Transformation</t>
        </is>
      </c>
      <c r="D13" s="7" t="inlineStr">
        <is>
          <t>Value Architect</t>
        </is>
      </c>
      <c r="E13" s="11" t="inlineStr">
        <is>
          <t>Value Architecture</t>
        </is>
      </c>
      <c r="F13" s="11" t="inlineStr">
        <is>
          <t>Senior Manager</t>
        </is>
      </c>
      <c r="G13" s="21" t="inlineStr">
        <is>
          <t>Medium</t>
        </is>
      </c>
      <c r="H13" s="23">
        <f>VLOOKUP(F13,'Internal Cost Model'!$B$6:$F$15,5,FALSE)</f>
        <v/>
      </c>
      <c r="I13" s="24">
        <f>H13*VLOOKUP(G13,Assumptions!$B$43:$C$45,2,FALSE)</f>
        <v/>
      </c>
      <c r="J13" s="25">
        <f>VLOOKUP(F13,Assumptions!$B$50:$D$59,2,FALSE)*VLOOKUP("SI-T1",Assumptions!$B$27:$C$31,2,FALSE)*VLOOKUP(G13,Assumptions!$B$43:$C$45,2,FALSE)</f>
        <v/>
      </c>
    </row>
    <row r="14">
      <c r="B14" s="7" t="inlineStr">
        <is>
          <t>RC-0009</t>
        </is>
      </c>
      <c r="C14" s="11" t="inlineStr">
        <is>
          <t>Strategy &amp; Transformation</t>
        </is>
      </c>
      <c r="D14" s="7" t="inlineStr">
        <is>
          <t>Value Architect</t>
        </is>
      </c>
      <c r="E14" s="11" t="inlineStr">
        <is>
          <t>Value Architecture</t>
        </is>
      </c>
      <c r="F14" s="11" t="inlineStr">
        <is>
          <t>Manager</t>
        </is>
      </c>
      <c r="G14" s="21" t="inlineStr">
        <is>
          <t>Medium</t>
        </is>
      </c>
      <c r="H14" s="23">
        <f>VLOOKUP(F14,'Internal Cost Model'!$B$6:$F$15,5,FALSE)</f>
        <v/>
      </c>
      <c r="I14" s="24">
        <f>H14*VLOOKUP(G14,Assumptions!$B$43:$C$45,2,FALSE)</f>
        <v/>
      </c>
      <c r="J14" s="25">
        <f>VLOOKUP(F14,Assumptions!$B$50:$D$59,2,FALSE)*VLOOKUP("SI-T1",Assumptions!$B$27:$C$31,2,FALSE)*VLOOKUP(G14,Assumptions!$B$43:$C$45,2,FALSE)</f>
        <v/>
      </c>
    </row>
    <row r="15">
      <c r="B15" s="7" t="inlineStr">
        <is>
          <t>RC-0010</t>
        </is>
      </c>
      <c r="C15" s="11" t="inlineStr">
        <is>
          <t>Strategy &amp; Transformation</t>
        </is>
      </c>
      <c r="D15" s="7" t="inlineStr">
        <is>
          <t>Business Case Lead</t>
        </is>
      </c>
      <c r="E15" s="11" t="inlineStr">
        <is>
          <t>Business Case &amp; ROI</t>
        </is>
      </c>
      <c r="F15" s="11" t="inlineStr">
        <is>
          <t>Director</t>
        </is>
      </c>
      <c r="G15" s="21" t="inlineStr">
        <is>
          <t>Medium</t>
        </is>
      </c>
      <c r="H15" s="23">
        <f>VLOOKUP(F15,'Internal Cost Model'!$B$6:$F$15,5,FALSE)</f>
        <v/>
      </c>
      <c r="I15" s="24">
        <f>H15*VLOOKUP(G15,Assumptions!$B$43:$C$45,2,FALSE)</f>
        <v/>
      </c>
      <c r="J15" s="25">
        <f>VLOOKUP(F15,Assumptions!$B$50:$D$59,2,FALSE)*VLOOKUP("SI-T1",Assumptions!$B$27:$C$31,2,FALSE)*VLOOKUP(G15,Assumptions!$B$43:$C$45,2,FALSE)</f>
        <v/>
      </c>
    </row>
    <row r="16">
      <c r="B16" s="7" t="inlineStr">
        <is>
          <t>RC-0011</t>
        </is>
      </c>
      <c r="C16" s="11" t="inlineStr">
        <is>
          <t>Strategy &amp; Transformation</t>
        </is>
      </c>
      <c r="D16" s="7" t="inlineStr">
        <is>
          <t>Business Case Lead</t>
        </is>
      </c>
      <c r="E16" s="11" t="inlineStr">
        <is>
          <t>Business Case &amp; ROI</t>
        </is>
      </c>
      <c r="F16" s="11" t="inlineStr">
        <is>
          <t>Senior Manager</t>
        </is>
      </c>
      <c r="G16" s="21" t="inlineStr">
        <is>
          <t>Medium</t>
        </is>
      </c>
      <c r="H16" s="23">
        <f>VLOOKUP(F16,'Internal Cost Model'!$B$6:$F$15,5,FALSE)</f>
        <v/>
      </c>
      <c r="I16" s="24">
        <f>H16*VLOOKUP(G16,Assumptions!$B$43:$C$45,2,FALSE)</f>
        <v/>
      </c>
      <c r="J16" s="25">
        <f>VLOOKUP(F16,Assumptions!$B$50:$D$59,2,FALSE)*VLOOKUP("SI-T1",Assumptions!$B$27:$C$31,2,FALSE)*VLOOKUP(G16,Assumptions!$B$43:$C$45,2,FALSE)</f>
        <v/>
      </c>
    </row>
    <row r="17">
      <c r="B17" s="7" t="inlineStr">
        <is>
          <t>RC-0012</t>
        </is>
      </c>
      <c r="C17" s="11" t="inlineStr">
        <is>
          <t>Strategy &amp; Transformation</t>
        </is>
      </c>
      <c r="D17" s="7" t="inlineStr">
        <is>
          <t>Business Case Lead</t>
        </is>
      </c>
      <c r="E17" s="11" t="inlineStr">
        <is>
          <t>Business Case &amp; ROI</t>
        </is>
      </c>
      <c r="F17" s="11" t="inlineStr">
        <is>
          <t>Manager</t>
        </is>
      </c>
      <c r="G17" s="21" t="inlineStr">
        <is>
          <t>Medium</t>
        </is>
      </c>
      <c r="H17" s="23">
        <f>VLOOKUP(F17,'Internal Cost Model'!$B$6:$F$15,5,FALSE)</f>
        <v/>
      </c>
      <c r="I17" s="24">
        <f>H17*VLOOKUP(G17,Assumptions!$B$43:$C$45,2,FALSE)</f>
        <v/>
      </c>
      <c r="J17" s="25">
        <f>VLOOKUP(F17,Assumptions!$B$50:$D$59,2,FALSE)*VLOOKUP("SI-T1",Assumptions!$B$27:$C$31,2,FALSE)*VLOOKUP(G17,Assumptions!$B$43:$C$45,2,FALSE)</f>
        <v/>
      </c>
    </row>
    <row r="18">
      <c r="B18" s="7" t="inlineStr">
        <is>
          <t>RC-0013</t>
        </is>
      </c>
      <c r="C18" s="11" t="inlineStr">
        <is>
          <t>Strategy &amp; Transformation</t>
        </is>
      </c>
      <c r="D18" s="7" t="inlineStr">
        <is>
          <t>Transformation Consultant</t>
        </is>
      </c>
      <c r="E18" s="11" t="inlineStr">
        <is>
          <t>Transformation Strategy</t>
        </is>
      </c>
      <c r="F18" s="11" t="inlineStr">
        <is>
          <t>Manager</t>
        </is>
      </c>
      <c r="G18" s="21" t="inlineStr">
        <is>
          <t>Medium</t>
        </is>
      </c>
      <c r="H18" s="23">
        <f>VLOOKUP(F18,'Internal Cost Model'!$B$6:$F$15,5,FALSE)</f>
        <v/>
      </c>
      <c r="I18" s="24">
        <f>H18*VLOOKUP(G18,Assumptions!$B$43:$C$45,2,FALSE)</f>
        <v/>
      </c>
      <c r="J18" s="25">
        <f>VLOOKUP(F18,Assumptions!$B$50:$D$59,2,FALSE)*VLOOKUP("SI-T1",Assumptions!$B$27:$C$31,2,FALSE)*VLOOKUP(G18,Assumptions!$B$43:$C$45,2,FALSE)</f>
        <v/>
      </c>
    </row>
    <row r="19">
      <c r="B19" s="7" t="inlineStr">
        <is>
          <t>RC-0014</t>
        </is>
      </c>
      <c r="C19" s="11" t="inlineStr">
        <is>
          <t>Strategy &amp; Transformation</t>
        </is>
      </c>
      <c r="D19" s="7" t="inlineStr">
        <is>
          <t>Transformation Consultant</t>
        </is>
      </c>
      <c r="E19" s="11" t="inlineStr">
        <is>
          <t>Transformation Strategy</t>
        </is>
      </c>
      <c r="F19" s="11" t="inlineStr">
        <is>
          <t>Lead</t>
        </is>
      </c>
      <c r="G19" s="21" t="inlineStr">
        <is>
          <t>Medium</t>
        </is>
      </c>
      <c r="H19" s="23">
        <f>VLOOKUP(F19,'Internal Cost Model'!$B$6:$F$15,5,FALSE)</f>
        <v/>
      </c>
      <c r="I19" s="24">
        <f>H19*VLOOKUP(G19,Assumptions!$B$43:$C$45,2,FALSE)</f>
        <v/>
      </c>
      <c r="J19" s="25">
        <f>VLOOKUP(F19,Assumptions!$B$50:$D$59,2,FALSE)*VLOOKUP("SI-T1",Assumptions!$B$27:$C$31,2,FALSE)*VLOOKUP(G19,Assumptions!$B$43:$C$45,2,FALSE)</f>
        <v/>
      </c>
    </row>
    <row r="20">
      <c r="B20" s="7" t="inlineStr">
        <is>
          <t>RC-0015</t>
        </is>
      </c>
      <c r="C20" s="11" t="inlineStr">
        <is>
          <t>Strategy &amp; Transformation</t>
        </is>
      </c>
      <c r="D20" s="7" t="inlineStr">
        <is>
          <t>Transformation Consultant</t>
        </is>
      </c>
      <c r="E20" s="11" t="inlineStr">
        <is>
          <t>Transformation Strategy</t>
        </is>
      </c>
      <c r="F20" s="11" t="inlineStr">
        <is>
          <t>Senior</t>
        </is>
      </c>
      <c r="G20" s="21" t="inlineStr">
        <is>
          <t>Medium</t>
        </is>
      </c>
      <c r="H20" s="23">
        <f>VLOOKUP(F20,'Internal Cost Model'!$B$6:$F$15,5,FALSE)</f>
        <v/>
      </c>
      <c r="I20" s="24">
        <f>H20*VLOOKUP(G20,Assumptions!$B$43:$C$45,2,FALSE)</f>
        <v/>
      </c>
      <c r="J20" s="25">
        <f>VLOOKUP(F20,Assumptions!$B$50:$D$59,2,FALSE)*VLOOKUP("SI-T1",Assumptions!$B$27:$C$31,2,FALSE)*VLOOKUP(G20,Assumptions!$B$43:$C$45,2,FALSE)</f>
        <v/>
      </c>
    </row>
    <row r="21">
      <c r="B21" s="7" t="inlineStr">
        <is>
          <t>RC-0016</t>
        </is>
      </c>
      <c r="C21" s="11" t="inlineStr">
        <is>
          <t>Strategy &amp; Transformation</t>
        </is>
      </c>
      <c r="D21" s="7" t="inlineStr">
        <is>
          <t>Transformation Consultant</t>
        </is>
      </c>
      <c r="E21" s="11" t="inlineStr">
        <is>
          <t>Transformation Strategy</t>
        </is>
      </c>
      <c r="F21" s="11" t="inlineStr">
        <is>
          <t>Intermediate</t>
        </is>
      </c>
      <c r="G21" s="21" t="inlineStr">
        <is>
          <t>Medium</t>
        </is>
      </c>
      <c r="H21" s="23">
        <f>VLOOKUP(F21,'Internal Cost Model'!$B$6:$F$15,5,FALSE)</f>
        <v/>
      </c>
      <c r="I21" s="24">
        <f>H21*VLOOKUP(G21,Assumptions!$B$43:$C$45,2,FALSE)</f>
        <v/>
      </c>
      <c r="J21" s="25">
        <f>VLOOKUP(F21,Assumptions!$B$50:$D$59,2,FALSE)*VLOOKUP("SI-T1",Assumptions!$B$27:$C$31,2,FALSE)*VLOOKUP(G21,Assumptions!$B$43:$C$45,2,FALSE)</f>
        <v/>
      </c>
    </row>
    <row r="22">
      <c r="B22" s="7" t="inlineStr">
        <is>
          <t>RC-0017</t>
        </is>
      </c>
      <c r="C22" s="11" t="inlineStr">
        <is>
          <t>Industry SMEs</t>
        </is>
      </c>
      <c r="D22" s="7" t="inlineStr">
        <is>
          <t>Financial Services Principal SME</t>
        </is>
      </c>
      <c r="E22" s="11" t="inlineStr">
        <is>
          <t>Financial Services Domain</t>
        </is>
      </c>
      <c r="F22" s="11" t="inlineStr">
        <is>
          <t>Managing Director</t>
        </is>
      </c>
      <c r="G22" s="21" t="inlineStr">
        <is>
          <t>High</t>
        </is>
      </c>
      <c r="H22" s="23">
        <f>VLOOKUP(F22,'Internal Cost Model'!$B$6:$F$15,5,FALSE)</f>
        <v/>
      </c>
      <c r="I22" s="24">
        <f>H22*VLOOKUP(G22,Assumptions!$B$43:$C$45,2,FALSE)</f>
        <v/>
      </c>
      <c r="J22" s="25">
        <f>VLOOKUP(F22,Assumptions!$B$50:$D$59,2,FALSE)*VLOOKUP("SI-T1",Assumptions!$B$27:$C$31,2,FALSE)*VLOOKUP(G22,Assumptions!$B$43:$C$45,2,FALSE)</f>
        <v/>
      </c>
    </row>
    <row r="23">
      <c r="B23" s="7" t="inlineStr">
        <is>
          <t>RC-0018</t>
        </is>
      </c>
      <c r="C23" s="11" t="inlineStr">
        <is>
          <t>Industry SMEs</t>
        </is>
      </c>
      <c r="D23" s="7" t="inlineStr">
        <is>
          <t>Financial Services Principal SME</t>
        </is>
      </c>
      <c r="E23" s="11" t="inlineStr">
        <is>
          <t>Financial Services Domain</t>
        </is>
      </c>
      <c r="F23" s="11" t="inlineStr">
        <is>
          <t>Principal</t>
        </is>
      </c>
      <c r="G23" s="21" t="inlineStr">
        <is>
          <t>High</t>
        </is>
      </c>
      <c r="H23" s="23">
        <f>VLOOKUP(F23,'Internal Cost Model'!$B$6:$F$15,5,FALSE)</f>
        <v/>
      </c>
      <c r="I23" s="24">
        <f>H23*VLOOKUP(G23,Assumptions!$B$43:$C$45,2,FALSE)</f>
        <v/>
      </c>
      <c r="J23" s="25">
        <f>VLOOKUP(F23,Assumptions!$B$50:$D$59,2,FALSE)*VLOOKUP("SI-T1",Assumptions!$B$27:$C$31,2,FALSE)*VLOOKUP(G23,Assumptions!$B$43:$C$45,2,FALSE)</f>
        <v/>
      </c>
    </row>
    <row r="24">
      <c r="B24" s="7" t="inlineStr">
        <is>
          <t>RC-0019</t>
        </is>
      </c>
      <c r="C24" s="11" t="inlineStr">
        <is>
          <t>Industry SMEs</t>
        </is>
      </c>
      <c r="D24" s="7" t="inlineStr">
        <is>
          <t>Financial Services Domain Consultant</t>
        </is>
      </c>
      <c r="E24" s="11" t="inlineStr">
        <is>
          <t>Financial Services Domain</t>
        </is>
      </c>
      <c r="F24" s="11" t="inlineStr">
        <is>
          <t>Senior Manager</t>
        </is>
      </c>
      <c r="G24" s="21" t="inlineStr">
        <is>
          <t>Medium</t>
        </is>
      </c>
      <c r="H24" s="23">
        <f>VLOOKUP(F24,'Internal Cost Model'!$B$6:$F$15,5,FALSE)</f>
        <v/>
      </c>
      <c r="I24" s="24">
        <f>H24*VLOOKUP(G24,Assumptions!$B$43:$C$45,2,FALSE)</f>
        <v/>
      </c>
      <c r="J24" s="25">
        <f>VLOOKUP(F24,Assumptions!$B$50:$D$59,2,FALSE)*VLOOKUP("SI-T1",Assumptions!$B$27:$C$31,2,FALSE)*VLOOKUP(G24,Assumptions!$B$43:$C$45,2,FALSE)</f>
        <v/>
      </c>
    </row>
    <row r="25">
      <c r="B25" s="7" t="inlineStr">
        <is>
          <t>RC-0020</t>
        </is>
      </c>
      <c r="C25" s="11" t="inlineStr">
        <is>
          <t>Industry SMEs</t>
        </is>
      </c>
      <c r="D25" s="7" t="inlineStr">
        <is>
          <t>Financial Services Domain Consultant</t>
        </is>
      </c>
      <c r="E25" s="11" t="inlineStr">
        <is>
          <t>Financial Services Domain</t>
        </is>
      </c>
      <c r="F25" s="11" t="inlineStr">
        <is>
          <t>Manager</t>
        </is>
      </c>
      <c r="G25" s="21" t="inlineStr">
        <is>
          <t>Medium</t>
        </is>
      </c>
      <c r="H25" s="23">
        <f>VLOOKUP(F25,'Internal Cost Model'!$B$6:$F$15,5,FALSE)</f>
        <v/>
      </c>
      <c r="I25" s="24">
        <f>H25*VLOOKUP(G25,Assumptions!$B$43:$C$45,2,FALSE)</f>
        <v/>
      </c>
      <c r="J25" s="25">
        <f>VLOOKUP(F25,Assumptions!$B$50:$D$59,2,FALSE)*VLOOKUP("SI-T1",Assumptions!$B$27:$C$31,2,FALSE)*VLOOKUP(G25,Assumptions!$B$43:$C$45,2,FALSE)</f>
        <v/>
      </c>
    </row>
    <row r="26">
      <c r="B26" s="7" t="inlineStr">
        <is>
          <t>RC-0021</t>
        </is>
      </c>
      <c r="C26" s="11" t="inlineStr">
        <is>
          <t>Industry SMEs</t>
        </is>
      </c>
      <c r="D26" s="7" t="inlineStr">
        <is>
          <t>Financial Services Domain Consultant</t>
        </is>
      </c>
      <c r="E26" s="11" t="inlineStr">
        <is>
          <t>Financial Services Domain</t>
        </is>
      </c>
      <c r="F26" s="11" t="inlineStr">
        <is>
          <t>Lead</t>
        </is>
      </c>
      <c r="G26" s="21" t="inlineStr">
        <is>
          <t>Medium</t>
        </is>
      </c>
      <c r="H26" s="23">
        <f>VLOOKUP(F26,'Internal Cost Model'!$B$6:$F$15,5,FALSE)</f>
        <v/>
      </c>
      <c r="I26" s="24">
        <f>H26*VLOOKUP(G26,Assumptions!$B$43:$C$45,2,FALSE)</f>
        <v/>
      </c>
      <c r="J26" s="25">
        <f>VLOOKUP(F26,Assumptions!$B$50:$D$59,2,FALSE)*VLOOKUP("SI-T1",Assumptions!$B$27:$C$31,2,FALSE)*VLOOKUP(G26,Assumptions!$B$43:$C$45,2,FALSE)</f>
        <v/>
      </c>
    </row>
    <row r="27">
      <c r="B27" s="7" t="inlineStr">
        <is>
          <t>RC-0022</t>
        </is>
      </c>
      <c r="C27" s="11" t="inlineStr">
        <is>
          <t>Industry SMEs</t>
        </is>
      </c>
      <c r="D27" s="7" t="inlineStr">
        <is>
          <t>Financial Services Domain Consultant</t>
        </is>
      </c>
      <c r="E27" s="11" t="inlineStr">
        <is>
          <t>Financial Services Domain</t>
        </is>
      </c>
      <c r="F27" s="11" t="inlineStr">
        <is>
          <t>Senior</t>
        </is>
      </c>
      <c r="G27" s="21" t="inlineStr">
        <is>
          <t>Medium</t>
        </is>
      </c>
      <c r="H27" s="23">
        <f>VLOOKUP(F27,'Internal Cost Model'!$B$6:$F$15,5,FALSE)</f>
        <v/>
      </c>
      <c r="I27" s="24">
        <f>H27*VLOOKUP(G27,Assumptions!$B$43:$C$45,2,FALSE)</f>
        <v/>
      </c>
      <c r="J27" s="25">
        <f>VLOOKUP(F27,Assumptions!$B$50:$D$59,2,FALSE)*VLOOKUP("SI-T1",Assumptions!$B$27:$C$31,2,FALSE)*VLOOKUP(G27,Assumptions!$B$43:$C$45,2,FALSE)</f>
        <v/>
      </c>
    </row>
    <row r="28">
      <c r="B28" s="7" t="inlineStr">
        <is>
          <t>RC-0023</t>
        </is>
      </c>
      <c r="C28" s="11" t="inlineStr">
        <is>
          <t>Industry SMEs</t>
        </is>
      </c>
      <c r="D28" s="7" t="inlineStr">
        <is>
          <t>Healthcare Principal SME</t>
        </is>
      </c>
      <c r="E28" s="11" t="inlineStr">
        <is>
          <t>Healthcare Domain</t>
        </is>
      </c>
      <c r="F28" s="11" t="inlineStr">
        <is>
          <t>Managing Director</t>
        </is>
      </c>
      <c r="G28" s="21" t="inlineStr">
        <is>
          <t>High</t>
        </is>
      </c>
      <c r="H28" s="23">
        <f>VLOOKUP(F28,'Internal Cost Model'!$B$6:$F$15,5,FALSE)</f>
        <v/>
      </c>
      <c r="I28" s="24">
        <f>H28*VLOOKUP(G28,Assumptions!$B$43:$C$45,2,FALSE)</f>
        <v/>
      </c>
      <c r="J28" s="25">
        <f>VLOOKUP(F28,Assumptions!$B$50:$D$59,2,FALSE)*VLOOKUP("SI-T1",Assumptions!$B$27:$C$31,2,FALSE)*VLOOKUP(G28,Assumptions!$B$43:$C$45,2,FALSE)</f>
        <v/>
      </c>
    </row>
    <row r="29">
      <c r="B29" s="7" t="inlineStr">
        <is>
          <t>RC-0024</t>
        </is>
      </c>
      <c r="C29" s="11" t="inlineStr">
        <is>
          <t>Industry SMEs</t>
        </is>
      </c>
      <c r="D29" s="7" t="inlineStr">
        <is>
          <t>Healthcare Principal SME</t>
        </is>
      </c>
      <c r="E29" s="11" t="inlineStr">
        <is>
          <t>Healthcare Domain</t>
        </is>
      </c>
      <c r="F29" s="11" t="inlineStr">
        <is>
          <t>Principal</t>
        </is>
      </c>
      <c r="G29" s="21" t="inlineStr">
        <is>
          <t>High</t>
        </is>
      </c>
      <c r="H29" s="23">
        <f>VLOOKUP(F29,'Internal Cost Model'!$B$6:$F$15,5,FALSE)</f>
        <v/>
      </c>
      <c r="I29" s="24">
        <f>H29*VLOOKUP(G29,Assumptions!$B$43:$C$45,2,FALSE)</f>
        <v/>
      </c>
      <c r="J29" s="25">
        <f>VLOOKUP(F29,Assumptions!$B$50:$D$59,2,FALSE)*VLOOKUP("SI-T1",Assumptions!$B$27:$C$31,2,FALSE)*VLOOKUP(G29,Assumptions!$B$43:$C$45,2,FALSE)</f>
        <v/>
      </c>
    </row>
    <row r="30">
      <c r="B30" s="7" t="inlineStr">
        <is>
          <t>RC-0025</t>
        </is>
      </c>
      <c r="C30" s="11" t="inlineStr">
        <is>
          <t>Industry SMEs</t>
        </is>
      </c>
      <c r="D30" s="7" t="inlineStr">
        <is>
          <t>Healthcare Domain Consultant</t>
        </is>
      </c>
      <c r="E30" s="11" t="inlineStr">
        <is>
          <t>Healthcare Domain</t>
        </is>
      </c>
      <c r="F30" s="11" t="inlineStr">
        <is>
          <t>Senior Manager</t>
        </is>
      </c>
      <c r="G30" s="21" t="inlineStr">
        <is>
          <t>Medium</t>
        </is>
      </c>
      <c r="H30" s="23">
        <f>VLOOKUP(F30,'Internal Cost Model'!$B$6:$F$15,5,FALSE)</f>
        <v/>
      </c>
      <c r="I30" s="24">
        <f>H30*VLOOKUP(G30,Assumptions!$B$43:$C$45,2,FALSE)</f>
        <v/>
      </c>
      <c r="J30" s="25">
        <f>VLOOKUP(F30,Assumptions!$B$50:$D$59,2,FALSE)*VLOOKUP("SI-T1",Assumptions!$B$27:$C$31,2,FALSE)*VLOOKUP(G30,Assumptions!$B$43:$C$45,2,FALSE)</f>
        <v/>
      </c>
    </row>
    <row r="31">
      <c r="B31" s="7" t="inlineStr">
        <is>
          <t>RC-0026</t>
        </is>
      </c>
      <c r="C31" s="11" t="inlineStr">
        <is>
          <t>Industry SMEs</t>
        </is>
      </c>
      <c r="D31" s="7" t="inlineStr">
        <is>
          <t>Healthcare Domain Consultant</t>
        </is>
      </c>
      <c r="E31" s="11" t="inlineStr">
        <is>
          <t>Healthcare Domain</t>
        </is>
      </c>
      <c r="F31" s="11" t="inlineStr">
        <is>
          <t>Manager</t>
        </is>
      </c>
      <c r="G31" s="21" t="inlineStr">
        <is>
          <t>Medium</t>
        </is>
      </c>
      <c r="H31" s="23">
        <f>VLOOKUP(F31,'Internal Cost Model'!$B$6:$F$15,5,FALSE)</f>
        <v/>
      </c>
      <c r="I31" s="24">
        <f>H31*VLOOKUP(G31,Assumptions!$B$43:$C$45,2,FALSE)</f>
        <v/>
      </c>
      <c r="J31" s="25">
        <f>VLOOKUP(F31,Assumptions!$B$50:$D$59,2,FALSE)*VLOOKUP("SI-T1",Assumptions!$B$27:$C$31,2,FALSE)*VLOOKUP(G31,Assumptions!$B$43:$C$45,2,FALSE)</f>
        <v/>
      </c>
    </row>
    <row r="32">
      <c r="B32" s="7" t="inlineStr">
        <is>
          <t>RC-0027</t>
        </is>
      </c>
      <c r="C32" s="11" t="inlineStr">
        <is>
          <t>Industry SMEs</t>
        </is>
      </c>
      <c r="D32" s="7" t="inlineStr">
        <is>
          <t>Healthcare Domain Consultant</t>
        </is>
      </c>
      <c r="E32" s="11" t="inlineStr">
        <is>
          <t>Healthcare Domain</t>
        </is>
      </c>
      <c r="F32" s="11" t="inlineStr">
        <is>
          <t>Lead</t>
        </is>
      </c>
      <c r="G32" s="21" t="inlineStr">
        <is>
          <t>Medium</t>
        </is>
      </c>
      <c r="H32" s="23">
        <f>VLOOKUP(F32,'Internal Cost Model'!$B$6:$F$15,5,FALSE)</f>
        <v/>
      </c>
      <c r="I32" s="24">
        <f>H32*VLOOKUP(G32,Assumptions!$B$43:$C$45,2,FALSE)</f>
        <v/>
      </c>
      <c r="J32" s="25">
        <f>VLOOKUP(F32,Assumptions!$B$50:$D$59,2,FALSE)*VLOOKUP("SI-T1",Assumptions!$B$27:$C$31,2,FALSE)*VLOOKUP(G32,Assumptions!$B$43:$C$45,2,FALSE)</f>
        <v/>
      </c>
    </row>
    <row r="33">
      <c r="B33" s="7" t="inlineStr">
        <is>
          <t>RC-0028</t>
        </is>
      </c>
      <c r="C33" s="11" t="inlineStr">
        <is>
          <t>Industry SMEs</t>
        </is>
      </c>
      <c r="D33" s="7" t="inlineStr">
        <is>
          <t>Healthcare Domain Consultant</t>
        </is>
      </c>
      <c r="E33" s="11" t="inlineStr">
        <is>
          <t>Healthcare Domain</t>
        </is>
      </c>
      <c r="F33" s="11" t="inlineStr">
        <is>
          <t>Senior</t>
        </is>
      </c>
      <c r="G33" s="21" t="inlineStr">
        <is>
          <t>Medium</t>
        </is>
      </c>
      <c r="H33" s="23">
        <f>VLOOKUP(F33,'Internal Cost Model'!$B$6:$F$15,5,FALSE)</f>
        <v/>
      </c>
      <c r="I33" s="24">
        <f>H33*VLOOKUP(G33,Assumptions!$B$43:$C$45,2,FALSE)</f>
        <v/>
      </c>
      <c r="J33" s="25">
        <f>VLOOKUP(F33,Assumptions!$B$50:$D$59,2,FALSE)*VLOOKUP("SI-T1",Assumptions!$B$27:$C$31,2,FALSE)*VLOOKUP(G33,Assumptions!$B$43:$C$45,2,FALSE)</f>
        <v/>
      </c>
    </row>
    <row r="34">
      <c r="B34" s="7" t="inlineStr">
        <is>
          <t>RC-0029</t>
        </is>
      </c>
      <c r="C34" s="11" t="inlineStr">
        <is>
          <t>Industry SMEs</t>
        </is>
      </c>
      <c r="D34" s="7" t="inlineStr">
        <is>
          <t>Retail &amp; CPG Principal SME</t>
        </is>
      </c>
      <c r="E34" s="11" t="inlineStr">
        <is>
          <t>Retail &amp; CPG Domain</t>
        </is>
      </c>
      <c r="F34" s="11" t="inlineStr">
        <is>
          <t>Managing Director</t>
        </is>
      </c>
      <c r="G34" s="21" t="inlineStr">
        <is>
          <t>High</t>
        </is>
      </c>
      <c r="H34" s="23">
        <f>VLOOKUP(F34,'Internal Cost Model'!$B$6:$F$15,5,FALSE)</f>
        <v/>
      </c>
      <c r="I34" s="24">
        <f>H34*VLOOKUP(G34,Assumptions!$B$43:$C$45,2,FALSE)</f>
        <v/>
      </c>
      <c r="J34" s="25">
        <f>VLOOKUP(F34,Assumptions!$B$50:$D$59,2,FALSE)*VLOOKUP("SI-T1",Assumptions!$B$27:$C$31,2,FALSE)*VLOOKUP(G34,Assumptions!$B$43:$C$45,2,FALSE)</f>
        <v/>
      </c>
    </row>
    <row r="35">
      <c r="B35" s="7" t="inlineStr">
        <is>
          <t>RC-0030</t>
        </is>
      </c>
      <c r="C35" s="11" t="inlineStr">
        <is>
          <t>Industry SMEs</t>
        </is>
      </c>
      <c r="D35" s="7" t="inlineStr">
        <is>
          <t>Retail &amp; CPG Principal SME</t>
        </is>
      </c>
      <c r="E35" s="11" t="inlineStr">
        <is>
          <t>Retail &amp; CPG Domain</t>
        </is>
      </c>
      <c r="F35" s="11" t="inlineStr">
        <is>
          <t>Principal</t>
        </is>
      </c>
      <c r="G35" s="21" t="inlineStr">
        <is>
          <t>High</t>
        </is>
      </c>
      <c r="H35" s="23">
        <f>VLOOKUP(F35,'Internal Cost Model'!$B$6:$F$15,5,FALSE)</f>
        <v/>
      </c>
      <c r="I35" s="24">
        <f>H35*VLOOKUP(G35,Assumptions!$B$43:$C$45,2,FALSE)</f>
        <v/>
      </c>
      <c r="J35" s="25">
        <f>VLOOKUP(F35,Assumptions!$B$50:$D$59,2,FALSE)*VLOOKUP("SI-T1",Assumptions!$B$27:$C$31,2,FALSE)*VLOOKUP(G35,Assumptions!$B$43:$C$45,2,FALSE)</f>
        <v/>
      </c>
    </row>
    <row r="36">
      <c r="B36" s="7" t="inlineStr">
        <is>
          <t>RC-0031</t>
        </is>
      </c>
      <c r="C36" s="11" t="inlineStr">
        <is>
          <t>Industry SMEs</t>
        </is>
      </c>
      <c r="D36" s="7" t="inlineStr">
        <is>
          <t>Retail &amp; CPG Domain Consultant</t>
        </is>
      </c>
      <c r="E36" s="11" t="inlineStr">
        <is>
          <t>Retail &amp; CPG Domain</t>
        </is>
      </c>
      <c r="F36" s="11" t="inlineStr">
        <is>
          <t>Senior Manager</t>
        </is>
      </c>
      <c r="G36" s="21" t="inlineStr">
        <is>
          <t>Medium</t>
        </is>
      </c>
      <c r="H36" s="23">
        <f>VLOOKUP(F36,'Internal Cost Model'!$B$6:$F$15,5,FALSE)</f>
        <v/>
      </c>
      <c r="I36" s="24">
        <f>H36*VLOOKUP(G36,Assumptions!$B$43:$C$45,2,FALSE)</f>
        <v/>
      </c>
      <c r="J36" s="25">
        <f>VLOOKUP(F36,Assumptions!$B$50:$D$59,2,FALSE)*VLOOKUP("SI-T1",Assumptions!$B$27:$C$31,2,FALSE)*VLOOKUP(G36,Assumptions!$B$43:$C$45,2,FALSE)</f>
        <v/>
      </c>
    </row>
    <row r="37">
      <c r="B37" s="7" t="inlineStr">
        <is>
          <t>RC-0032</t>
        </is>
      </c>
      <c r="C37" s="11" t="inlineStr">
        <is>
          <t>Industry SMEs</t>
        </is>
      </c>
      <c r="D37" s="7" t="inlineStr">
        <is>
          <t>Retail &amp; CPG Domain Consultant</t>
        </is>
      </c>
      <c r="E37" s="11" t="inlineStr">
        <is>
          <t>Retail &amp; CPG Domain</t>
        </is>
      </c>
      <c r="F37" s="11" t="inlineStr">
        <is>
          <t>Manager</t>
        </is>
      </c>
      <c r="G37" s="21" t="inlineStr">
        <is>
          <t>Medium</t>
        </is>
      </c>
      <c r="H37" s="23">
        <f>VLOOKUP(F37,'Internal Cost Model'!$B$6:$F$15,5,FALSE)</f>
        <v/>
      </c>
      <c r="I37" s="24">
        <f>H37*VLOOKUP(G37,Assumptions!$B$43:$C$45,2,FALSE)</f>
        <v/>
      </c>
      <c r="J37" s="25">
        <f>VLOOKUP(F37,Assumptions!$B$50:$D$59,2,FALSE)*VLOOKUP("SI-T1",Assumptions!$B$27:$C$31,2,FALSE)*VLOOKUP(G37,Assumptions!$B$43:$C$45,2,FALSE)</f>
        <v/>
      </c>
    </row>
    <row r="38">
      <c r="B38" s="7" t="inlineStr">
        <is>
          <t>RC-0033</t>
        </is>
      </c>
      <c r="C38" s="11" t="inlineStr">
        <is>
          <t>Industry SMEs</t>
        </is>
      </c>
      <c r="D38" s="7" t="inlineStr">
        <is>
          <t>Retail &amp; CPG Domain Consultant</t>
        </is>
      </c>
      <c r="E38" s="11" t="inlineStr">
        <is>
          <t>Retail &amp; CPG Domain</t>
        </is>
      </c>
      <c r="F38" s="11" t="inlineStr">
        <is>
          <t>Lead</t>
        </is>
      </c>
      <c r="G38" s="21" t="inlineStr">
        <is>
          <t>Medium</t>
        </is>
      </c>
      <c r="H38" s="23">
        <f>VLOOKUP(F38,'Internal Cost Model'!$B$6:$F$15,5,FALSE)</f>
        <v/>
      </c>
      <c r="I38" s="24">
        <f>H38*VLOOKUP(G38,Assumptions!$B$43:$C$45,2,FALSE)</f>
        <v/>
      </c>
      <c r="J38" s="25">
        <f>VLOOKUP(F38,Assumptions!$B$50:$D$59,2,FALSE)*VLOOKUP("SI-T1",Assumptions!$B$27:$C$31,2,FALSE)*VLOOKUP(G38,Assumptions!$B$43:$C$45,2,FALSE)</f>
        <v/>
      </c>
    </row>
    <row r="39">
      <c r="B39" s="7" t="inlineStr">
        <is>
          <t>RC-0034</t>
        </is>
      </c>
      <c r="C39" s="11" t="inlineStr">
        <is>
          <t>Industry SMEs</t>
        </is>
      </c>
      <c r="D39" s="7" t="inlineStr">
        <is>
          <t>Retail &amp; CPG Domain Consultant</t>
        </is>
      </c>
      <c r="E39" s="11" t="inlineStr">
        <is>
          <t>Retail &amp; CPG Domain</t>
        </is>
      </c>
      <c r="F39" s="11" t="inlineStr">
        <is>
          <t>Senior</t>
        </is>
      </c>
      <c r="G39" s="21" t="inlineStr">
        <is>
          <t>Medium</t>
        </is>
      </c>
      <c r="H39" s="23">
        <f>VLOOKUP(F39,'Internal Cost Model'!$B$6:$F$15,5,FALSE)</f>
        <v/>
      </c>
      <c r="I39" s="24">
        <f>H39*VLOOKUP(G39,Assumptions!$B$43:$C$45,2,FALSE)</f>
        <v/>
      </c>
      <c r="J39" s="25">
        <f>VLOOKUP(F39,Assumptions!$B$50:$D$59,2,FALSE)*VLOOKUP("SI-T1",Assumptions!$B$27:$C$31,2,FALSE)*VLOOKUP(G39,Assumptions!$B$43:$C$45,2,FALSE)</f>
        <v/>
      </c>
    </row>
    <row r="40">
      <c r="B40" s="7" t="inlineStr">
        <is>
          <t>RC-0035</t>
        </is>
      </c>
      <c r="C40" s="11" t="inlineStr">
        <is>
          <t>Industry SMEs</t>
        </is>
      </c>
      <c r="D40" s="7" t="inlineStr">
        <is>
          <t>Manufacturing Principal SME</t>
        </is>
      </c>
      <c r="E40" s="11" t="inlineStr">
        <is>
          <t>Manufacturing Domain</t>
        </is>
      </c>
      <c r="F40" s="11" t="inlineStr">
        <is>
          <t>Managing Director</t>
        </is>
      </c>
      <c r="G40" s="21" t="inlineStr">
        <is>
          <t>High</t>
        </is>
      </c>
      <c r="H40" s="23">
        <f>VLOOKUP(F40,'Internal Cost Model'!$B$6:$F$15,5,FALSE)</f>
        <v/>
      </c>
      <c r="I40" s="24">
        <f>H40*VLOOKUP(G40,Assumptions!$B$43:$C$45,2,FALSE)</f>
        <v/>
      </c>
      <c r="J40" s="25">
        <f>VLOOKUP(F40,Assumptions!$B$50:$D$59,2,FALSE)*VLOOKUP("SI-T1",Assumptions!$B$27:$C$31,2,FALSE)*VLOOKUP(G40,Assumptions!$B$43:$C$45,2,FALSE)</f>
        <v/>
      </c>
    </row>
    <row r="41">
      <c r="B41" s="7" t="inlineStr">
        <is>
          <t>RC-0036</t>
        </is>
      </c>
      <c r="C41" s="11" t="inlineStr">
        <is>
          <t>Industry SMEs</t>
        </is>
      </c>
      <c r="D41" s="7" t="inlineStr">
        <is>
          <t>Manufacturing Principal SME</t>
        </is>
      </c>
      <c r="E41" s="11" t="inlineStr">
        <is>
          <t>Manufacturing Domain</t>
        </is>
      </c>
      <c r="F41" s="11" t="inlineStr">
        <is>
          <t>Principal</t>
        </is>
      </c>
      <c r="G41" s="21" t="inlineStr">
        <is>
          <t>High</t>
        </is>
      </c>
      <c r="H41" s="23">
        <f>VLOOKUP(F41,'Internal Cost Model'!$B$6:$F$15,5,FALSE)</f>
        <v/>
      </c>
      <c r="I41" s="24">
        <f>H41*VLOOKUP(G41,Assumptions!$B$43:$C$45,2,FALSE)</f>
        <v/>
      </c>
      <c r="J41" s="25">
        <f>VLOOKUP(F41,Assumptions!$B$50:$D$59,2,FALSE)*VLOOKUP("SI-T1",Assumptions!$B$27:$C$31,2,FALSE)*VLOOKUP(G41,Assumptions!$B$43:$C$45,2,FALSE)</f>
        <v/>
      </c>
    </row>
    <row r="42">
      <c r="B42" s="7" t="inlineStr">
        <is>
          <t>RC-0037</t>
        </is>
      </c>
      <c r="C42" s="11" t="inlineStr">
        <is>
          <t>Industry SMEs</t>
        </is>
      </c>
      <c r="D42" s="7" t="inlineStr">
        <is>
          <t>Manufacturing Domain Consultant</t>
        </is>
      </c>
      <c r="E42" s="11" t="inlineStr">
        <is>
          <t>Manufacturing Domain</t>
        </is>
      </c>
      <c r="F42" s="11" t="inlineStr">
        <is>
          <t>Senior Manager</t>
        </is>
      </c>
      <c r="G42" s="21" t="inlineStr">
        <is>
          <t>Medium</t>
        </is>
      </c>
      <c r="H42" s="23">
        <f>VLOOKUP(F42,'Internal Cost Model'!$B$6:$F$15,5,FALSE)</f>
        <v/>
      </c>
      <c r="I42" s="24">
        <f>H42*VLOOKUP(G42,Assumptions!$B$43:$C$45,2,FALSE)</f>
        <v/>
      </c>
      <c r="J42" s="25">
        <f>VLOOKUP(F42,Assumptions!$B$50:$D$59,2,FALSE)*VLOOKUP("SI-T1",Assumptions!$B$27:$C$31,2,FALSE)*VLOOKUP(G42,Assumptions!$B$43:$C$45,2,FALSE)</f>
        <v/>
      </c>
    </row>
    <row r="43">
      <c r="B43" s="7" t="inlineStr">
        <is>
          <t>RC-0038</t>
        </is>
      </c>
      <c r="C43" s="11" t="inlineStr">
        <is>
          <t>Industry SMEs</t>
        </is>
      </c>
      <c r="D43" s="7" t="inlineStr">
        <is>
          <t>Manufacturing Domain Consultant</t>
        </is>
      </c>
      <c r="E43" s="11" t="inlineStr">
        <is>
          <t>Manufacturing Domain</t>
        </is>
      </c>
      <c r="F43" s="11" t="inlineStr">
        <is>
          <t>Manager</t>
        </is>
      </c>
      <c r="G43" s="21" t="inlineStr">
        <is>
          <t>Medium</t>
        </is>
      </c>
      <c r="H43" s="23">
        <f>VLOOKUP(F43,'Internal Cost Model'!$B$6:$F$15,5,FALSE)</f>
        <v/>
      </c>
      <c r="I43" s="24">
        <f>H43*VLOOKUP(G43,Assumptions!$B$43:$C$45,2,FALSE)</f>
        <v/>
      </c>
      <c r="J43" s="25">
        <f>VLOOKUP(F43,Assumptions!$B$50:$D$59,2,FALSE)*VLOOKUP("SI-T1",Assumptions!$B$27:$C$31,2,FALSE)*VLOOKUP(G43,Assumptions!$B$43:$C$45,2,FALSE)</f>
        <v/>
      </c>
    </row>
    <row r="44">
      <c r="B44" s="7" t="inlineStr">
        <is>
          <t>RC-0039</t>
        </is>
      </c>
      <c r="C44" s="11" t="inlineStr">
        <is>
          <t>Industry SMEs</t>
        </is>
      </c>
      <c r="D44" s="7" t="inlineStr">
        <is>
          <t>Manufacturing Domain Consultant</t>
        </is>
      </c>
      <c r="E44" s="11" t="inlineStr">
        <is>
          <t>Manufacturing Domain</t>
        </is>
      </c>
      <c r="F44" s="11" t="inlineStr">
        <is>
          <t>Lead</t>
        </is>
      </c>
      <c r="G44" s="21" t="inlineStr">
        <is>
          <t>Medium</t>
        </is>
      </c>
      <c r="H44" s="23">
        <f>VLOOKUP(F44,'Internal Cost Model'!$B$6:$F$15,5,FALSE)</f>
        <v/>
      </c>
      <c r="I44" s="24">
        <f>H44*VLOOKUP(G44,Assumptions!$B$43:$C$45,2,FALSE)</f>
        <v/>
      </c>
      <c r="J44" s="25">
        <f>VLOOKUP(F44,Assumptions!$B$50:$D$59,2,FALSE)*VLOOKUP("SI-T1",Assumptions!$B$27:$C$31,2,FALSE)*VLOOKUP(G44,Assumptions!$B$43:$C$45,2,FALSE)</f>
        <v/>
      </c>
    </row>
    <row r="45">
      <c r="B45" s="7" t="inlineStr">
        <is>
          <t>RC-0040</t>
        </is>
      </c>
      <c r="C45" s="11" t="inlineStr">
        <is>
          <t>Industry SMEs</t>
        </is>
      </c>
      <c r="D45" s="7" t="inlineStr">
        <is>
          <t>Manufacturing Domain Consultant</t>
        </is>
      </c>
      <c r="E45" s="11" t="inlineStr">
        <is>
          <t>Manufacturing Domain</t>
        </is>
      </c>
      <c r="F45" s="11" t="inlineStr">
        <is>
          <t>Senior</t>
        </is>
      </c>
      <c r="G45" s="21" t="inlineStr">
        <is>
          <t>Medium</t>
        </is>
      </c>
      <c r="H45" s="23">
        <f>VLOOKUP(F45,'Internal Cost Model'!$B$6:$F$15,5,FALSE)</f>
        <v/>
      </c>
      <c r="I45" s="24">
        <f>H45*VLOOKUP(G45,Assumptions!$B$43:$C$45,2,FALSE)</f>
        <v/>
      </c>
      <c r="J45" s="25">
        <f>VLOOKUP(F45,Assumptions!$B$50:$D$59,2,FALSE)*VLOOKUP("SI-T1",Assumptions!$B$27:$C$31,2,FALSE)*VLOOKUP(G45,Assumptions!$B$43:$C$45,2,FALSE)</f>
        <v/>
      </c>
    </row>
    <row r="46">
      <c r="B46" s="7" t="inlineStr">
        <is>
          <t>RC-0041</t>
        </is>
      </c>
      <c r="C46" s="11" t="inlineStr">
        <is>
          <t>Industry SMEs</t>
        </is>
      </c>
      <c r="D46" s="7" t="inlineStr">
        <is>
          <t>Public Sector Principal SME</t>
        </is>
      </c>
      <c r="E46" s="11" t="inlineStr">
        <is>
          <t>Public Sector Domain</t>
        </is>
      </c>
      <c r="F46" s="11" t="inlineStr">
        <is>
          <t>Managing Director</t>
        </is>
      </c>
      <c r="G46" s="21" t="inlineStr">
        <is>
          <t>High</t>
        </is>
      </c>
      <c r="H46" s="23">
        <f>VLOOKUP(F46,'Internal Cost Model'!$B$6:$F$15,5,FALSE)</f>
        <v/>
      </c>
      <c r="I46" s="24">
        <f>H46*VLOOKUP(G46,Assumptions!$B$43:$C$45,2,FALSE)</f>
        <v/>
      </c>
      <c r="J46" s="25">
        <f>VLOOKUP(F46,Assumptions!$B$50:$D$59,2,FALSE)*VLOOKUP("SI-T1",Assumptions!$B$27:$C$31,2,FALSE)*VLOOKUP(G46,Assumptions!$B$43:$C$45,2,FALSE)</f>
        <v/>
      </c>
    </row>
    <row r="47">
      <c r="B47" s="7" t="inlineStr">
        <is>
          <t>RC-0042</t>
        </is>
      </c>
      <c r="C47" s="11" t="inlineStr">
        <is>
          <t>Industry SMEs</t>
        </is>
      </c>
      <c r="D47" s="7" t="inlineStr">
        <is>
          <t>Public Sector Principal SME</t>
        </is>
      </c>
      <c r="E47" s="11" t="inlineStr">
        <is>
          <t>Public Sector Domain</t>
        </is>
      </c>
      <c r="F47" s="11" t="inlineStr">
        <is>
          <t>Principal</t>
        </is>
      </c>
      <c r="G47" s="21" t="inlineStr">
        <is>
          <t>High</t>
        </is>
      </c>
      <c r="H47" s="23">
        <f>VLOOKUP(F47,'Internal Cost Model'!$B$6:$F$15,5,FALSE)</f>
        <v/>
      </c>
      <c r="I47" s="24">
        <f>H47*VLOOKUP(G47,Assumptions!$B$43:$C$45,2,FALSE)</f>
        <v/>
      </c>
      <c r="J47" s="25">
        <f>VLOOKUP(F47,Assumptions!$B$50:$D$59,2,FALSE)*VLOOKUP("SI-T1",Assumptions!$B$27:$C$31,2,FALSE)*VLOOKUP(G47,Assumptions!$B$43:$C$45,2,FALSE)</f>
        <v/>
      </c>
    </row>
    <row r="48">
      <c r="B48" s="7" t="inlineStr">
        <is>
          <t>RC-0043</t>
        </is>
      </c>
      <c r="C48" s="11" t="inlineStr">
        <is>
          <t>Industry SMEs</t>
        </is>
      </c>
      <c r="D48" s="7" t="inlineStr">
        <is>
          <t>Public Sector Domain Consultant</t>
        </is>
      </c>
      <c r="E48" s="11" t="inlineStr">
        <is>
          <t>Public Sector Domain</t>
        </is>
      </c>
      <c r="F48" s="11" t="inlineStr">
        <is>
          <t>Senior Manager</t>
        </is>
      </c>
      <c r="G48" s="21" t="inlineStr">
        <is>
          <t>Medium</t>
        </is>
      </c>
      <c r="H48" s="23">
        <f>VLOOKUP(F48,'Internal Cost Model'!$B$6:$F$15,5,FALSE)</f>
        <v/>
      </c>
      <c r="I48" s="24">
        <f>H48*VLOOKUP(G48,Assumptions!$B$43:$C$45,2,FALSE)</f>
        <v/>
      </c>
      <c r="J48" s="25">
        <f>VLOOKUP(F48,Assumptions!$B$50:$D$59,2,FALSE)*VLOOKUP("SI-T1",Assumptions!$B$27:$C$31,2,FALSE)*VLOOKUP(G48,Assumptions!$B$43:$C$45,2,FALSE)</f>
        <v/>
      </c>
    </row>
    <row r="49">
      <c r="B49" s="7" t="inlineStr">
        <is>
          <t>RC-0044</t>
        </is>
      </c>
      <c r="C49" s="11" t="inlineStr">
        <is>
          <t>Industry SMEs</t>
        </is>
      </c>
      <c r="D49" s="7" t="inlineStr">
        <is>
          <t>Public Sector Domain Consultant</t>
        </is>
      </c>
      <c r="E49" s="11" t="inlineStr">
        <is>
          <t>Public Sector Domain</t>
        </is>
      </c>
      <c r="F49" s="11" t="inlineStr">
        <is>
          <t>Manager</t>
        </is>
      </c>
      <c r="G49" s="21" t="inlineStr">
        <is>
          <t>Medium</t>
        </is>
      </c>
      <c r="H49" s="23">
        <f>VLOOKUP(F49,'Internal Cost Model'!$B$6:$F$15,5,FALSE)</f>
        <v/>
      </c>
      <c r="I49" s="24">
        <f>H49*VLOOKUP(G49,Assumptions!$B$43:$C$45,2,FALSE)</f>
        <v/>
      </c>
      <c r="J49" s="25">
        <f>VLOOKUP(F49,Assumptions!$B$50:$D$59,2,FALSE)*VLOOKUP("SI-T1",Assumptions!$B$27:$C$31,2,FALSE)*VLOOKUP(G49,Assumptions!$B$43:$C$45,2,FALSE)</f>
        <v/>
      </c>
    </row>
    <row r="50">
      <c r="B50" s="7" t="inlineStr">
        <is>
          <t>RC-0045</t>
        </is>
      </c>
      <c r="C50" s="11" t="inlineStr">
        <is>
          <t>Industry SMEs</t>
        </is>
      </c>
      <c r="D50" s="7" t="inlineStr">
        <is>
          <t>Public Sector Domain Consultant</t>
        </is>
      </c>
      <c r="E50" s="11" t="inlineStr">
        <is>
          <t>Public Sector Domain</t>
        </is>
      </c>
      <c r="F50" s="11" t="inlineStr">
        <is>
          <t>Lead</t>
        </is>
      </c>
      <c r="G50" s="21" t="inlineStr">
        <is>
          <t>Medium</t>
        </is>
      </c>
      <c r="H50" s="23">
        <f>VLOOKUP(F50,'Internal Cost Model'!$B$6:$F$15,5,FALSE)</f>
        <v/>
      </c>
      <c r="I50" s="24">
        <f>H50*VLOOKUP(G50,Assumptions!$B$43:$C$45,2,FALSE)</f>
        <v/>
      </c>
      <c r="J50" s="25">
        <f>VLOOKUP(F50,Assumptions!$B$50:$D$59,2,FALSE)*VLOOKUP("SI-T1",Assumptions!$B$27:$C$31,2,FALSE)*VLOOKUP(G50,Assumptions!$B$43:$C$45,2,FALSE)</f>
        <v/>
      </c>
    </row>
    <row r="51">
      <c r="B51" s="7" t="inlineStr">
        <is>
          <t>RC-0046</t>
        </is>
      </c>
      <c r="C51" s="11" t="inlineStr">
        <is>
          <t>Industry SMEs</t>
        </is>
      </c>
      <c r="D51" s="7" t="inlineStr">
        <is>
          <t>Public Sector Domain Consultant</t>
        </is>
      </c>
      <c r="E51" s="11" t="inlineStr">
        <is>
          <t>Public Sector Domain</t>
        </is>
      </c>
      <c r="F51" s="11" t="inlineStr">
        <is>
          <t>Senior</t>
        </is>
      </c>
      <c r="G51" s="21" t="inlineStr">
        <is>
          <t>Medium</t>
        </is>
      </c>
      <c r="H51" s="23">
        <f>VLOOKUP(F51,'Internal Cost Model'!$B$6:$F$15,5,FALSE)</f>
        <v/>
      </c>
      <c r="I51" s="24">
        <f>H51*VLOOKUP(G51,Assumptions!$B$43:$C$45,2,FALSE)</f>
        <v/>
      </c>
      <c r="J51" s="25">
        <f>VLOOKUP(F51,Assumptions!$B$50:$D$59,2,FALSE)*VLOOKUP("SI-T1",Assumptions!$B$27:$C$31,2,FALSE)*VLOOKUP(G51,Assumptions!$B$43:$C$45,2,FALSE)</f>
        <v/>
      </c>
    </row>
    <row r="52">
      <c r="B52" s="7" t="inlineStr">
        <is>
          <t>RC-0047</t>
        </is>
      </c>
      <c r="C52" s="11" t="inlineStr">
        <is>
          <t>Business Process</t>
        </is>
      </c>
      <c r="D52" s="7" t="inlineStr">
        <is>
          <t>Process Design Lead</t>
        </is>
      </c>
      <c r="E52" s="11" t="inlineStr">
        <is>
          <t>Process Design</t>
        </is>
      </c>
      <c r="F52" s="11" t="inlineStr">
        <is>
          <t>Director</t>
        </is>
      </c>
      <c r="G52" s="21" t="inlineStr">
        <is>
          <t>Medium</t>
        </is>
      </c>
      <c r="H52" s="23">
        <f>VLOOKUP(F52,'Internal Cost Model'!$B$6:$F$15,5,FALSE)</f>
        <v/>
      </c>
      <c r="I52" s="24">
        <f>H52*VLOOKUP(G52,Assumptions!$B$43:$C$45,2,FALSE)</f>
        <v/>
      </c>
      <c r="J52" s="25">
        <f>VLOOKUP(F52,Assumptions!$B$50:$D$59,2,FALSE)*VLOOKUP("SI-T1",Assumptions!$B$27:$C$31,2,FALSE)*VLOOKUP(G52,Assumptions!$B$43:$C$45,2,FALSE)</f>
        <v/>
      </c>
    </row>
    <row r="53">
      <c r="B53" s="7" t="inlineStr">
        <is>
          <t>RC-0048</t>
        </is>
      </c>
      <c r="C53" s="11" t="inlineStr">
        <is>
          <t>Business Process</t>
        </is>
      </c>
      <c r="D53" s="7" t="inlineStr">
        <is>
          <t>Process Design Lead</t>
        </is>
      </c>
      <c r="E53" s="11" t="inlineStr">
        <is>
          <t>Process Design</t>
        </is>
      </c>
      <c r="F53" s="11" t="inlineStr">
        <is>
          <t>Senior Manager</t>
        </is>
      </c>
      <c r="G53" s="21" t="inlineStr">
        <is>
          <t>Medium</t>
        </is>
      </c>
      <c r="H53" s="23">
        <f>VLOOKUP(F53,'Internal Cost Model'!$B$6:$F$15,5,FALSE)</f>
        <v/>
      </c>
      <c r="I53" s="24">
        <f>H53*VLOOKUP(G53,Assumptions!$B$43:$C$45,2,FALSE)</f>
        <v/>
      </c>
      <c r="J53" s="25">
        <f>VLOOKUP(F53,Assumptions!$B$50:$D$59,2,FALSE)*VLOOKUP("SI-T1",Assumptions!$B$27:$C$31,2,FALSE)*VLOOKUP(G53,Assumptions!$B$43:$C$45,2,FALSE)</f>
        <v/>
      </c>
    </row>
    <row r="54">
      <c r="B54" s="7" t="inlineStr">
        <is>
          <t>RC-0049</t>
        </is>
      </c>
      <c r="C54" s="11" t="inlineStr">
        <is>
          <t>Business Process</t>
        </is>
      </c>
      <c r="D54" s="7" t="inlineStr">
        <is>
          <t>Process Design Lead</t>
        </is>
      </c>
      <c r="E54" s="11" t="inlineStr">
        <is>
          <t>Process Design</t>
        </is>
      </c>
      <c r="F54" s="11" t="inlineStr">
        <is>
          <t>Manager</t>
        </is>
      </c>
      <c r="G54" s="21" t="inlineStr">
        <is>
          <t>Medium</t>
        </is>
      </c>
      <c r="H54" s="23">
        <f>VLOOKUP(F54,'Internal Cost Model'!$B$6:$F$15,5,FALSE)</f>
        <v/>
      </c>
      <c r="I54" s="24">
        <f>H54*VLOOKUP(G54,Assumptions!$B$43:$C$45,2,FALSE)</f>
        <v/>
      </c>
      <c r="J54" s="25">
        <f>VLOOKUP(F54,Assumptions!$B$50:$D$59,2,FALSE)*VLOOKUP("SI-T1",Assumptions!$B$27:$C$31,2,FALSE)*VLOOKUP(G54,Assumptions!$B$43:$C$45,2,FALSE)</f>
        <v/>
      </c>
    </row>
    <row r="55">
      <c r="B55" s="7" t="inlineStr">
        <is>
          <t>RC-0050</t>
        </is>
      </c>
      <c r="C55" s="11" t="inlineStr">
        <is>
          <t>Business Process</t>
        </is>
      </c>
      <c r="D55" s="7" t="inlineStr">
        <is>
          <t>Process Mining Consultant</t>
        </is>
      </c>
      <c r="E55" s="11" t="inlineStr">
        <is>
          <t>Process Mining</t>
        </is>
      </c>
      <c r="F55" s="11" t="inlineStr">
        <is>
          <t>Manager</t>
        </is>
      </c>
      <c r="G55" s="21" t="inlineStr">
        <is>
          <t>Medium</t>
        </is>
      </c>
      <c r="H55" s="23">
        <f>VLOOKUP(F55,'Internal Cost Model'!$B$6:$F$15,5,FALSE)</f>
        <v/>
      </c>
      <c r="I55" s="24">
        <f>H55*VLOOKUP(G55,Assumptions!$B$43:$C$45,2,FALSE)</f>
        <v/>
      </c>
      <c r="J55" s="25">
        <f>VLOOKUP(F55,Assumptions!$B$50:$D$59,2,FALSE)*VLOOKUP("SI-T1",Assumptions!$B$27:$C$31,2,FALSE)*VLOOKUP(G55,Assumptions!$B$43:$C$45,2,FALSE)</f>
        <v/>
      </c>
    </row>
    <row r="56">
      <c r="B56" s="7" t="inlineStr">
        <is>
          <t>RC-0051</t>
        </is>
      </c>
      <c r="C56" s="11" t="inlineStr">
        <is>
          <t>Business Process</t>
        </is>
      </c>
      <c r="D56" s="7" t="inlineStr">
        <is>
          <t>Process Mining Consultant</t>
        </is>
      </c>
      <c r="E56" s="11" t="inlineStr">
        <is>
          <t>Process Mining</t>
        </is>
      </c>
      <c r="F56" s="11" t="inlineStr">
        <is>
          <t>Lead</t>
        </is>
      </c>
      <c r="G56" s="21" t="inlineStr">
        <is>
          <t>Medium</t>
        </is>
      </c>
      <c r="H56" s="23">
        <f>VLOOKUP(F56,'Internal Cost Model'!$B$6:$F$15,5,FALSE)</f>
        <v/>
      </c>
      <c r="I56" s="24">
        <f>H56*VLOOKUP(G56,Assumptions!$B$43:$C$45,2,FALSE)</f>
        <v/>
      </c>
      <c r="J56" s="25">
        <f>VLOOKUP(F56,Assumptions!$B$50:$D$59,2,FALSE)*VLOOKUP("SI-T1",Assumptions!$B$27:$C$31,2,FALSE)*VLOOKUP(G56,Assumptions!$B$43:$C$45,2,FALSE)</f>
        <v/>
      </c>
    </row>
    <row r="57">
      <c r="B57" s="7" t="inlineStr">
        <is>
          <t>RC-0052</t>
        </is>
      </c>
      <c r="C57" s="11" t="inlineStr">
        <is>
          <t>Business Process</t>
        </is>
      </c>
      <c r="D57" s="7" t="inlineStr">
        <is>
          <t>Process Mining Consultant</t>
        </is>
      </c>
      <c r="E57" s="11" t="inlineStr">
        <is>
          <t>Process Mining</t>
        </is>
      </c>
      <c r="F57" s="11" t="inlineStr">
        <is>
          <t>Senior</t>
        </is>
      </c>
      <c r="G57" s="21" t="inlineStr">
        <is>
          <t>Medium</t>
        </is>
      </c>
      <c r="H57" s="23">
        <f>VLOOKUP(F57,'Internal Cost Model'!$B$6:$F$15,5,FALSE)</f>
        <v/>
      </c>
      <c r="I57" s="24">
        <f>H57*VLOOKUP(G57,Assumptions!$B$43:$C$45,2,FALSE)</f>
        <v/>
      </c>
      <c r="J57" s="25">
        <f>VLOOKUP(F57,Assumptions!$B$50:$D$59,2,FALSE)*VLOOKUP("SI-T1",Assumptions!$B$27:$C$31,2,FALSE)*VLOOKUP(G57,Assumptions!$B$43:$C$45,2,FALSE)</f>
        <v/>
      </c>
    </row>
    <row r="58">
      <c r="B58" s="7" t="inlineStr">
        <is>
          <t>RC-0053</t>
        </is>
      </c>
      <c r="C58" s="11" t="inlineStr">
        <is>
          <t>Business Process</t>
        </is>
      </c>
      <c r="D58" s="7" t="inlineStr">
        <is>
          <t>Intelligent Automation Architect</t>
        </is>
      </c>
      <c r="E58" s="11" t="inlineStr">
        <is>
          <t>Intelligent Automation</t>
        </is>
      </c>
      <c r="F58" s="11" t="inlineStr">
        <is>
          <t>Director</t>
        </is>
      </c>
      <c r="G58" s="21" t="inlineStr">
        <is>
          <t>High</t>
        </is>
      </c>
      <c r="H58" s="23">
        <f>VLOOKUP(F58,'Internal Cost Model'!$B$6:$F$15,5,FALSE)</f>
        <v/>
      </c>
      <c r="I58" s="24">
        <f>H58*VLOOKUP(G58,Assumptions!$B$43:$C$45,2,FALSE)</f>
        <v/>
      </c>
      <c r="J58" s="25">
        <f>VLOOKUP(F58,Assumptions!$B$50:$D$59,2,FALSE)*VLOOKUP("SI-T1",Assumptions!$B$27:$C$31,2,FALSE)*VLOOKUP(G58,Assumptions!$B$43:$C$45,2,FALSE)</f>
        <v/>
      </c>
    </row>
    <row r="59">
      <c r="B59" s="7" t="inlineStr">
        <is>
          <t>RC-0054</t>
        </is>
      </c>
      <c r="C59" s="11" t="inlineStr">
        <is>
          <t>Business Process</t>
        </is>
      </c>
      <c r="D59" s="7" t="inlineStr">
        <is>
          <t>Intelligent Automation Architect</t>
        </is>
      </c>
      <c r="E59" s="11" t="inlineStr">
        <is>
          <t>Intelligent Automation</t>
        </is>
      </c>
      <c r="F59" s="11" t="inlineStr">
        <is>
          <t>Senior Manager</t>
        </is>
      </c>
      <c r="G59" s="21" t="inlineStr">
        <is>
          <t>High</t>
        </is>
      </c>
      <c r="H59" s="23">
        <f>VLOOKUP(F59,'Internal Cost Model'!$B$6:$F$15,5,FALSE)</f>
        <v/>
      </c>
      <c r="I59" s="24">
        <f>H59*VLOOKUP(G59,Assumptions!$B$43:$C$45,2,FALSE)</f>
        <v/>
      </c>
      <c r="J59" s="25">
        <f>VLOOKUP(F59,Assumptions!$B$50:$D$59,2,FALSE)*VLOOKUP("SI-T1",Assumptions!$B$27:$C$31,2,FALSE)*VLOOKUP(G59,Assumptions!$B$43:$C$45,2,FALSE)</f>
        <v/>
      </c>
    </row>
    <row r="60">
      <c r="B60" s="7" t="inlineStr">
        <is>
          <t>RC-0055</t>
        </is>
      </c>
      <c r="C60" s="11" t="inlineStr">
        <is>
          <t>Business Process</t>
        </is>
      </c>
      <c r="D60" s="7" t="inlineStr">
        <is>
          <t>Intelligent Automation Architect</t>
        </is>
      </c>
      <c r="E60" s="11" t="inlineStr">
        <is>
          <t>Intelligent Automation</t>
        </is>
      </c>
      <c r="F60" s="11" t="inlineStr">
        <is>
          <t>Manager</t>
        </is>
      </c>
      <c r="G60" s="21" t="inlineStr">
        <is>
          <t>High</t>
        </is>
      </c>
      <c r="H60" s="23">
        <f>VLOOKUP(F60,'Internal Cost Model'!$B$6:$F$15,5,FALSE)</f>
        <v/>
      </c>
      <c r="I60" s="24">
        <f>H60*VLOOKUP(G60,Assumptions!$B$43:$C$45,2,FALSE)</f>
        <v/>
      </c>
      <c r="J60" s="25">
        <f>VLOOKUP(F60,Assumptions!$B$50:$D$59,2,FALSE)*VLOOKUP("SI-T1",Assumptions!$B$27:$C$31,2,FALSE)*VLOOKUP(G60,Assumptions!$B$43:$C$45,2,FALSE)</f>
        <v/>
      </c>
    </row>
    <row r="61">
      <c r="B61" s="7" t="inlineStr">
        <is>
          <t>RC-0056</t>
        </is>
      </c>
      <c r="C61" s="11" t="inlineStr">
        <is>
          <t>Business Process</t>
        </is>
      </c>
      <c r="D61" s="7" t="inlineStr">
        <is>
          <t>Intelligent Automation Architect</t>
        </is>
      </c>
      <c r="E61" s="11" t="inlineStr">
        <is>
          <t>Intelligent Automation</t>
        </is>
      </c>
      <c r="F61" s="11" t="inlineStr">
        <is>
          <t>Lead</t>
        </is>
      </c>
      <c r="G61" s="21" t="inlineStr">
        <is>
          <t>High</t>
        </is>
      </c>
      <c r="H61" s="23">
        <f>VLOOKUP(F61,'Internal Cost Model'!$B$6:$F$15,5,FALSE)</f>
        <v/>
      </c>
      <c r="I61" s="24">
        <f>H61*VLOOKUP(G61,Assumptions!$B$43:$C$45,2,FALSE)</f>
        <v/>
      </c>
      <c r="J61" s="25">
        <f>VLOOKUP(F61,Assumptions!$B$50:$D$59,2,FALSE)*VLOOKUP("SI-T1",Assumptions!$B$27:$C$31,2,FALSE)*VLOOKUP(G61,Assumptions!$B$43:$C$45,2,FALSE)</f>
        <v/>
      </c>
    </row>
    <row r="62">
      <c r="B62" s="7" t="inlineStr">
        <is>
          <t>RC-0057</t>
        </is>
      </c>
      <c r="C62" s="11" t="inlineStr">
        <is>
          <t>Business Process</t>
        </is>
      </c>
      <c r="D62" s="7" t="inlineStr">
        <is>
          <t>Automation Engineer</t>
        </is>
      </c>
      <c r="E62" s="11" t="inlineStr">
        <is>
          <t>Intelligent Automation</t>
        </is>
      </c>
      <c r="F62" s="11" t="inlineStr">
        <is>
          <t>Senior</t>
        </is>
      </c>
      <c r="G62" s="21" t="inlineStr">
        <is>
          <t>Medium</t>
        </is>
      </c>
      <c r="H62" s="23">
        <f>VLOOKUP(F62,'Internal Cost Model'!$B$6:$F$15,5,FALSE)</f>
        <v/>
      </c>
      <c r="I62" s="24">
        <f>H62*VLOOKUP(G62,Assumptions!$B$43:$C$45,2,FALSE)</f>
        <v/>
      </c>
      <c r="J62" s="25">
        <f>VLOOKUP(F62,Assumptions!$B$50:$D$59,2,FALSE)*VLOOKUP("SI-T1",Assumptions!$B$27:$C$31,2,FALSE)*VLOOKUP(G62,Assumptions!$B$43:$C$45,2,FALSE)</f>
        <v/>
      </c>
    </row>
    <row r="63">
      <c r="B63" s="7" t="inlineStr">
        <is>
          <t>RC-0058</t>
        </is>
      </c>
      <c r="C63" s="11" t="inlineStr">
        <is>
          <t>Business Process</t>
        </is>
      </c>
      <c r="D63" s="7" t="inlineStr">
        <is>
          <t>Automation Engineer</t>
        </is>
      </c>
      <c r="E63" s="11" t="inlineStr">
        <is>
          <t>Intelligent Automation</t>
        </is>
      </c>
      <c r="F63" s="11" t="inlineStr">
        <is>
          <t>Intermediate</t>
        </is>
      </c>
      <c r="G63" s="21" t="inlineStr">
        <is>
          <t>Medium</t>
        </is>
      </c>
      <c r="H63" s="23">
        <f>VLOOKUP(F63,'Internal Cost Model'!$B$6:$F$15,5,FALSE)</f>
        <v/>
      </c>
      <c r="I63" s="24">
        <f>H63*VLOOKUP(G63,Assumptions!$B$43:$C$45,2,FALSE)</f>
        <v/>
      </c>
      <c r="J63" s="25">
        <f>VLOOKUP(F63,Assumptions!$B$50:$D$59,2,FALSE)*VLOOKUP("SI-T1",Assumptions!$B$27:$C$31,2,FALSE)*VLOOKUP(G63,Assumptions!$B$43:$C$45,2,FALSE)</f>
        <v/>
      </c>
    </row>
    <row r="64">
      <c r="B64" s="7" t="inlineStr">
        <is>
          <t>RC-0059</t>
        </is>
      </c>
      <c r="C64" s="11" t="inlineStr">
        <is>
          <t>Data &amp; Analytics</t>
        </is>
      </c>
      <c r="D64" s="7" t="inlineStr">
        <is>
          <t>Chief Data Officer (Advisory)</t>
        </is>
      </c>
      <c r="E64" s="11" t="inlineStr">
        <is>
          <t>Data Strategy</t>
        </is>
      </c>
      <c r="F64" s="11" t="inlineStr">
        <is>
          <t>Partner</t>
        </is>
      </c>
      <c r="G64" s="21" t="inlineStr">
        <is>
          <t>High</t>
        </is>
      </c>
      <c r="H64" s="23">
        <f>VLOOKUP(F64,'Internal Cost Model'!$B$6:$F$15,5,FALSE)</f>
        <v/>
      </c>
      <c r="I64" s="24">
        <f>H64*VLOOKUP(G64,Assumptions!$B$43:$C$45,2,FALSE)</f>
        <v/>
      </c>
      <c r="J64" s="25">
        <f>VLOOKUP(F64,Assumptions!$B$50:$D$59,2,FALSE)*VLOOKUP("SI-T1",Assumptions!$B$27:$C$31,2,FALSE)*VLOOKUP(G64,Assumptions!$B$43:$C$45,2,FALSE)</f>
        <v/>
      </c>
    </row>
    <row r="65">
      <c r="B65" s="7" t="inlineStr">
        <is>
          <t>RC-0060</t>
        </is>
      </c>
      <c r="C65" s="11" t="inlineStr">
        <is>
          <t>Data &amp; Analytics</t>
        </is>
      </c>
      <c r="D65" s="7" t="inlineStr">
        <is>
          <t>Chief Data Officer (Advisory)</t>
        </is>
      </c>
      <c r="E65" s="11" t="inlineStr">
        <is>
          <t>Data Strategy</t>
        </is>
      </c>
      <c r="F65" s="11" t="inlineStr">
        <is>
          <t>Managing Director</t>
        </is>
      </c>
      <c r="G65" s="21" t="inlineStr">
        <is>
          <t>High</t>
        </is>
      </c>
      <c r="H65" s="23">
        <f>VLOOKUP(F65,'Internal Cost Model'!$B$6:$F$15,5,FALSE)</f>
        <v/>
      </c>
      <c r="I65" s="24">
        <f>H65*VLOOKUP(G65,Assumptions!$B$43:$C$45,2,FALSE)</f>
        <v/>
      </c>
      <c r="J65" s="25">
        <f>VLOOKUP(F65,Assumptions!$B$50:$D$59,2,FALSE)*VLOOKUP("SI-T1",Assumptions!$B$27:$C$31,2,FALSE)*VLOOKUP(G65,Assumptions!$B$43:$C$45,2,FALSE)</f>
        <v/>
      </c>
    </row>
    <row r="66">
      <c r="B66" s="7" t="inlineStr">
        <is>
          <t>RC-0061</t>
        </is>
      </c>
      <c r="C66" s="11" t="inlineStr">
        <is>
          <t>Data &amp; Analytics</t>
        </is>
      </c>
      <c r="D66" s="7" t="inlineStr">
        <is>
          <t>Enterprise Data Architect</t>
        </is>
      </c>
      <c r="E66" s="11" t="inlineStr">
        <is>
          <t>Data Strategy</t>
        </is>
      </c>
      <c r="F66" s="11" t="inlineStr">
        <is>
          <t>Principal</t>
        </is>
      </c>
      <c r="G66" s="21" t="inlineStr">
        <is>
          <t>High</t>
        </is>
      </c>
      <c r="H66" s="23">
        <f>VLOOKUP(F66,'Internal Cost Model'!$B$6:$F$15,5,FALSE)</f>
        <v/>
      </c>
      <c r="I66" s="24">
        <f>H66*VLOOKUP(G66,Assumptions!$B$43:$C$45,2,FALSE)</f>
        <v/>
      </c>
      <c r="J66" s="25">
        <f>VLOOKUP(F66,Assumptions!$B$50:$D$59,2,FALSE)*VLOOKUP("SI-T1",Assumptions!$B$27:$C$31,2,FALSE)*VLOOKUP(G66,Assumptions!$B$43:$C$45,2,FALSE)</f>
        <v/>
      </c>
    </row>
    <row r="67">
      <c r="B67" s="7" t="inlineStr">
        <is>
          <t>RC-0062</t>
        </is>
      </c>
      <c r="C67" s="11" t="inlineStr">
        <is>
          <t>Data &amp; Analytics</t>
        </is>
      </c>
      <c r="D67" s="7" t="inlineStr">
        <is>
          <t>Enterprise Data Architect</t>
        </is>
      </c>
      <c r="E67" s="11" t="inlineStr">
        <is>
          <t>Data Strategy</t>
        </is>
      </c>
      <c r="F67" s="11" t="inlineStr">
        <is>
          <t>Director</t>
        </is>
      </c>
      <c r="G67" s="21" t="inlineStr">
        <is>
          <t>High</t>
        </is>
      </c>
      <c r="H67" s="23">
        <f>VLOOKUP(F67,'Internal Cost Model'!$B$6:$F$15,5,FALSE)</f>
        <v/>
      </c>
      <c r="I67" s="24">
        <f>H67*VLOOKUP(G67,Assumptions!$B$43:$C$45,2,FALSE)</f>
        <v/>
      </c>
      <c r="J67" s="25">
        <f>VLOOKUP(F67,Assumptions!$B$50:$D$59,2,FALSE)*VLOOKUP("SI-T1",Assumptions!$B$27:$C$31,2,FALSE)*VLOOKUP(G67,Assumptions!$B$43:$C$45,2,FALSE)</f>
        <v/>
      </c>
    </row>
    <row r="68">
      <c r="B68" s="7" t="inlineStr">
        <is>
          <t>RC-0063</t>
        </is>
      </c>
      <c r="C68" s="11" t="inlineStr">
        <is>
          <t>Data &amp; Analytics</t>
        </is>
      </c>
      <c r="D68" s="7" t="inlineStr">
        <is>
          <t>Data Architect</t>
        </is>
      </c>
      <c r="E68" s="11" t="inlineStr">
        <is>
          <t>Data Strategy</t>
        </is>
      </c>
      <c r="F68" s="11" t="inlineStr">
        <is>
          <t>Director</t>
        </is>
      </c>
      <c r="G68" s="21" t="inlineStr">
        <is>
          <t>High</t>
        </is>
      </c>
      <c r="H68" s="23">
        <f>VLOOKUP(F68,'Internal Cost Model'!$B$6:$F$15,5,FALSE)</f>
        <v/>
      </c>
      <c r="I68" s="24">
        <f>H68*VLOOKUP(G68,Assumptions!$B$43:$C$45,2,FALSE)</f>
        <v/>
      </c>
      <c r="J68" s="25">
        <f>VLOOKUP(F68,Assumptions!$B$50:$D$59,2,FALSE)*VLOOKUP("SI-T1",Assumptions!$B$27:$C$31,2,FALSE)*VLOOKUP(G68,Assumptions!$B$43:$C$45,2,FALSE)</f>
        <v/>
      </c>
    </row>
    <row r="69">
      <c r="B69" s="7" t="inlineStr">
        <is>
          <t>RC-0064</t>
        </is>
      </c>
      <c r="C69" s="11" t="inlineStr">
        <is>
          <t>Data &amp; Analytics</t>
        </is>
      </c>
      <c r="D69" s="7" t="inlineStr">
        <is>
          <t>Data Architect</t>
        </is>
      </c>
      <c r="E69" s="11" t="inlineStr">
        <is>
          <t>Data Strategy</t>
        </is>
      </c>
      <c r="F69" s="11" t="inlineStr">
        <is>
          <t>Senior Manager</t>
        </is>
      </c>
      <c r="G69" s="21" t="inlineStr">
        <is>
          <t>High</t>
        </is>
      </c>
      <c r="H69" s="23">
        <f>VLOOKUP(F69,'Internal Cost Model'!$B$6:$F$15,5,FALSE)</f>
        <v/>
      </c>
      <c r="I69" s="24">
        <f>H69*VLOOKUP(G69,Assumptions!$B$43:$C$45,2,FALSE)</f>
        <v/>
      </c>
      <c r="J69" s="25">
        <f>VLOOKUP(F69,Assumptions!$B$50:$D$59,2,FALSE)*VLOOKUP("SI-T1",Assumptions!$B$27:$C$31,2,FALSE)*VLOOKUP(G69,Assumptions!$B$43:$C$45,2,FALSE)</f>
        <v/>
      </c>
    </row>
    <row r="70">
      <c r="B70" s="7" t="inlineStr">
        <is>
          <t>RC-0065</t>
        </is>
      </c>
      <c r="C70" s="11" t="inlineStr">
        <is>
          <t>Data &amp; Analytics</t>
        </is>
      </c>
      <c r="D70" s="7" t="inlineStr">
        <is>
          <t>Data Architect</t>
        </is>
      </c>
      <c r="E70" s="11" t="inlineStr">
        <is>
          <t>Data Strategy</t>
        </is>
      </c>
      <c r="F70" s="11" t="inlineStr">
        <is>
          <t>Manager</t>
        </is>
      </c>
      <c r="G70" s="21" t="inlineStr">
        <is>
          <t>High</t>
        </is>
      </c>
      <c r="H70" s="23">
        <f>VLOOKUP(F70,'Internal Cost Model'!$B$6:$F$15,5,FALSE)</f>
        <v/>
      </c>
      <c r="I70" s="24">
        <f>H70*VLOOKUP(G70,Assumptions!$B$43:$C$45,2,FALSE)</f>
        <v/>
      </c>
      <c r="J70" s="25">
        <f>VLOOKUP(F70,Assumptions!$B$50:$D$59,2,FALSE)*VLOOKUP("SI-T1",Assumptions!$B$27:$C$31,2,FALSE)*VLOOKUP(G70,Assumptions!$B$43:$C$45,2,FALSE)</f>
        <v/>
      </c>
    </row>
    <row r="71">
      <c r="B71" s="7" t="inlineStr">
        <is>
          <t>RC-0066</t>
        </is>
      </c>
      <c r="C71" s="11" t="inlineStr">
        <is>
          <t>Data &amp; Analytics</t>
        </is>
      </c>
      <c r="D71" s="7" t="inlineStr">
        <is>
          <t>Data Architect</t>
        </is>
      </c>
      <c r="E71" s="11" t="inlineStr">
        <is>
          <t>Data Strategy</t>
        </is>
      </c>
      <c r="F71" s="11" t="inlineStr">
        <is>
          <t>Lead</t>
        </is>
      </c>
      <c r="G71" s="21" t="inlineStr">
        <is>
          <t>High</t>
        </is>
      </c>
      <c r="H71" s="23">
        <f>VLOOKUP(F71,'Internal Cost Model'!$B$6:$F$15,5,FALSE)</f>
        <v/>
      </c>
      <c r="I71" s="24">
        <f>H71*VLOOKUP(G71,Assumptions!$B$43:$C$45,2,FALSE)</f>
        <v/>
      </c>
      <c r="J71" s="25">
        <f>VLOOKUP(F71,Assumptions!$B$50:$D$59,2,FALSE)*VLOOKUP("SI-T1",Assumptions!$B$27:$C$31,2,FALSE)*VLOOKUP(G71,Assumptions!$B$43:$C$45,2,FALSE)</f>
        <v/>
      </c>
    </row>
    <row r="72">
      <c r="B72" s="7" t="inlineStr">
        <is>
          <t>RC-0067</t>
        </is>
      </c>
      <c r="C72" s="11" t="inlineStr">
        <is>
          <t>Data &amp; Analytics</t>
        </is>
      </c>
      <c r="D72" s="7" t="inlineStr">
        <is>
          <t>Data Product Manager</t>
        </is>
      </c>
      <c r="E72" s="11" t="inlineStr">
        <is>
          <t>Data Products</t>
        </is>
      </c>
      <c r="F72" s="11" t="inlineStr">
        <is>
          <t>Director</t>
        </is>
      </c>
      <c r="G72" s="21" t="inlineStr">
        <is>
          <t>High</t>
        </is>
      </c>
      <c r="H72" s="23">
        <f>VLOOKUP(F72,'Internal Cost Model'!$B$6:$F$15,5,FALSE)</f>
        <v/>
      </c>
      <c r="I72" s="24">
        <f>H72*VLOOKUP(G72,Assumptions!$B$43:$C$45,2,FALSE)</f>
        <v/>
      </c>
      <c r="J72" s="25">
        <f>VLOOKUP(F72,Assumptions!$B$50:$D$59,2,FALSE)*VLOOKUP("SI-T1",Assumptions!$B$27:$C$31,2,FALSE)*VLOOKUP(G72,Assumptions!$B$43:$C$45,2,FALSE)</f>
        <v/>
      </c>
    </row>
    <row r="73">
      <c r="B73" s="7" t="inlineStr">
        <is>
          <t>RC-0068</t>
        </is>
      </c>
      <c r="C73" s="11" t="inlineStr">
        <is>
          <t>Data &amp; Analytics</t>
        </is>
      </c>
      <c r="D73" s="7" t="inlineStr">
        <is>
          <t>Data Product Manager</t>
        </is>
      </c>
      <c r="E73" s="11" t="inlineStr">
        <is>
          <t>Data Products</t>
        </is>
      </c>
      <c r="F73" s="11" t="inlineStr">
        <is>
          <t>Senior Manager</t>
        </is>
      </c>
      <c r="G73" s="21" t="inlineStr">
        <is>
          <t>High</t>
        </is>
      </c>
      <c r="H73" s="23">
        <f>VLOOKUP(F73,'Internal Cost Model'!$B$6:$F$15,5,FALSE)</f>
        <v/>
      </c>
      <c r="I73" s="24">
        <f>H73*VLOOKUP(G73,Assumptions!$B$43:$C$45,2,FALSE)</f>
        <v/>
      </c>
      <c r="J73" s="25">
        <f>VLOOKUP(F73,Assumptions!$B$50:$D$59,2,FALSE)*VLOOKUP("SI-T1",Assumptions!$B$27:$C$31,2,FALSE)*VLOOKUP(G73,Assumptions!$B$43:$C$45,2,FALSE)</f>
        <v/>
      </c>
    </row>
    <row r="74">
      <c r="B74" s="7" t="inlineStr">
        <is>
          <t>RC-0069</t>
        </is>
      </c>
      <c r="C74" s="11" t="inlineStr">
        <is>
          <t>Data &amp; Analytics</t>
        </is>
      </c>
      <c r="D74" s="7" t="inlineStr">
        <is>
          <t>Data Product Manager</t>
        </is>
      </c>
      <c r="E74" s="11" t="inlineStr">
        <is>
          <t>Data Products</t>
        </is>
      </c>
      <c r="F74" s="11" t="inlineStr">
        <is>
          <t>Manager</t>
        </is>
      </c>
      <c r="G74" s="21" t="inlineStr">
        <is>
          <t>High</t>
        </is>
      </c>
      <c r="H74" s="23">
        <f>VLOOKUP(F74,'Internal Cost Model'!$B$6:$F$15,5,FALSE)</f>
        <v/>
      </c>
      <c r="I74" s="24">
        <f>H74*VLOOKUP(G74,Assumptions!$B$43:$C$45,2,FALSE)</f>
        <v/>
      </c>
      <c r="J74" s="25">
        <f>VLOOKUP(F74,Assumptions!$B$50:$D$59,2,FALSE)*VLOOKUP("SI-T1",Assumptions!$B$27:$C$31,2,FALSE)*VLOOKUP(G74,Assumptions!$B$43:$C$45,2,FALSE)</f>
        <v/>
      </c>
    </row>
    <row r="75">
      <c r="B75" s="7" t="inlineStr">
        <is>
          <t>RC-0070</t>
        </is>
      </c>
      <c r="C75" s="11" t="inlineStr">
        <is>
          <t>Data &amp; Analytics</t>
        </is>
      </c>
      <c r="D75" s="7" t="inlineStr">
        <is>
          <t>Data Product Owner</t>
        </is>
      </c>
      <c r="E75" s="11" t="inlineStr">
        <is>
          <t>Data Products</t>
        </is>
      </c>
      <c r="F75" s="11" t="inlineStr">
        <is>
          <t>Senior Manager</t>
        </is>
      </c>
      <c r="G75" s="21" t="inlineStr">
        <is>
          <t>Medium</t>
        </is>
      </c>
      <c r="H75" s="23">
        <f>VLOOKUP(F75,'Internal Cost Model'!$B$6:$F$15,5,FALSE)</f>
        <v/>
      </c>
      <c r="I75" s="24">
        <f>H75*VLOOKUP(G75,Assumptions!$B$43:$C$45,2,FALSE)</f>
        <v/>
      </c>
      <c r="J75" s="25">
        <f>VLOOKUP(F75,Assumptions!$B$50:$D$59,2,FALSE)*VLOOKUP("SI-T1",Assumptions!$B$27:$C$31,2,FALSE)*VLOOKUP(G75,Assumptions!$B$43:$C$45,2,FALSE)</f>
        <v/>
      </c>
    </row>
    <row r="76">
      <c r="B76" s="7" t="inlineStr">
        <is>
          <t>RC-0071</t>
        </is>
      </c>
      <c r="C76" s="11" t="inlineStr">
        <is>
          <t>Data &amp; Analytics</t>
        </is>
      </c>
      <c r="D76" s="7" t="inlineStr">
        <is>
          <t>Data Product Owner</t>
        </is>
      </c>
      <c r="E76" s="11" t="inlineStr">
        <is>
          <t>Data Products</t>
        </is>
      </c>
      <c r="F76" s="11" t="inlineStr">
        <is>
          <t>Manager</t>
        </is>
      </c>
      <c r="G76" s="21" t="inlineStr">
        <is>
          <t>Medium</t>
        </is>
      </c>
      <c r="H76" s="23">
        <f>VLOOKUP(F76,'Internal Cost Model'!$B$6:$F$15,5,FALSE)</f>
        <v/>
      </c>
      <c r="I76" s="24">
        <f>H76*VLOOKUP(G76,Assumptions!$B$43:$C$45,2,FALSE)</f>
        <v/>
      </c>
      <c r="J76" s="25">
        <f>VLOOKUP(F76,Assumptions!$B$50:$D$59,2,FALSE)*VLOOKUP("SI-T1",Assumptions!$B$27:$C$31,2,FALSE)*VLOOKUP(G76,Assumptions!$B$43:$C$45,2,FALSE)</f>
        <v/>
      </c>
    </row>
    <row r="77">
      <c r="B77" s="7" t="inlineStr">
        <is>
          <t>RC-0072</t>
        </is>
      </c>
      <c r="C77" s="11" t="inlineStr">
        <is>
          <t>Data &amp; Analytics</t>
        </is>
      </c>
      <c r="D77" s="7" t="inlineStr">
        <is>
          <t>Data Product Owner</t>
        </is>
      </c>
      <c r="E77" s="11" t="inlineStr">
        <is>
          <t>Data Products</t>
        </is>
      </c>
      <c r="F77" s="11" t="inlineStr">
        <is>
          <t>Lead</t>
        </is>
      </c>
      <c r="G77" s="21" t="inlineStr">
        <is>
          <t>Medium</t>
        </is>
      </c>
      <c r="H77" s="23">
        <f>VLOOKUP(F77,'Internal Cost Model'!$B$6:$F$15,5,FALSE)</f>
        <v/>
      </c>
      <c r="I77" s="24">
        <f>H77*VLOOKUP(G77,Assumptions!$B$43:$C$45,2,FALSE)</f>
        <v/>
      </c>
      <c r="J77" s="25">
        <f>VLOOKUP(F77,Assumptions!$B$50:$D$59,2,FALSE)*VLOOKUP("SI-T1",Assumptions!$B$27:$C$31,2,FALSE)*VLOOKUP(G77,Assumptions!$B$43:$C$45,2,FALSE)</f>
        <v/>
      </c>
    </row>
    <row r="78">
      <c r="B78" s="7" t="inlineStr">
        <is>
          <t>RC-0073</t>
        </is>
      </c>
      <c r="C78" s="11" t="inlineStr">
        <is>
          <t>Data &amp; Analytics</t>
        </is>
      </c>
      <c r="D78" s="7" t="inlineStr">
        <is>
          <t>Data Product Owner</t>
        </is>
      </c>
      <c r="E78" s="11" t="inlineStr">
        <is>
          <t>Data Products</t>
        </is>
      </c>
      <c r="F78" s="11" t="inlineStr">
        <is>
          <t>Senior</t>
        </is>
      </c>
      <c r="G78" s="21" t="inlineStr">
        <is>
          <t>Medium</t>
        </is>
      </c>
      <c r="H78" s="23">
        <f>VLOOKUP(F78,'Internal Cost Model'!$B$6:$F$15,5,FALSE)</f>
        <v/>
      </c>
      <c r="I78" s="24">
        <f>H78*VLOOKUP(G78,Assumptions!$B$43:$C$45,2,FALSE)</f>
        <v/>
      </c>
      <c r="J78" s="25">
        <f>VLOOKUP(F78,Assumptions!$B$50:$D$59,2,FALSE)*VLOOKUP("SI-T1",Assumptions!$B$27:$C$31,2,FALSE)*VLOOKUP(G78,Assumptions!$B$43:$C$45,2,FALSE)</f>
        <v/>
      </c>
    </row>
    <row r="79">
      <c r="B79" s="7" t="inlineStr">
        <is>
          <t>RC-0074</t>
        </is>
      </c>
      <c r="C79" s="11" t="inlineStr">
        <is>
          <t>Data &amp; Analytics</t>
        </is>
      </c>
      <c r="D79" s="7" t="inlineStr">
        <is>
          <t>Data Governance Lead</t>
        </is>
      </c>
      <c r="E79" s="11" t="inlineStr">
        <is>
          <t>Data Governance</t>
        </is>
      </c>
      <c r="F79" s="11" t="inlineStr">
        <is>
          <t>Director</t>
        </is>
      </c>
      <c r="G79" s="21" t="inlineStr">
        <is>
          <t>High</t>
        </is>
      </c>
      <c r="H79" s="23">
        <f>VLOOKUP(F79,'Internal Cost Model'!$B$6:$F$15,5,FALSE)</f>
        <v/>
      </c>
      <c r="I79" s="24">
        <f>H79*VLOOKUP(G79,Assumptions!$B$43:$C$45,2,FALSE)</f>
        <v/>
      </c>
      <c r="J79" s="25">
        <f>VLOOKUP(F79,Assumptions!$B$50:$D$59,2,FALSE)*VLOOKUP("SI-T1",Assumptions!$B$27:$C$31,2,FALSE)*VLOOKUP(G79,Assumptions!$B$43:$C$45,2,FALSE)</f>
        <v/>
      </c>
    </row>
    <row r="80">
      <c r="B80" s="7" t="inlineStr">
        <is>
          <t>RC-0075</t>
        </is>
      </c>
      <c r="C80" s="11" t="inlineStr">
        <is>
          <t>Data &amp; Analytics</t>
        </is>
      </c>
      <c r="D80" s="7" t="inlineStr">
        <is>
          <t>Data Governance Lead</t>
        </is>
      </c>
      <c r="E80" s="11" t="inlineStr">
        <is>
          <t>Data Governance</t>
        </is>
      </c>
      <c r="F80" s="11" t="inlineStr">
        <is>
          <t>Senior Manager</t>
        </is>
      </c>
      <c r="G80" s="21" t="inlineStr">
        <is>
          <t>High</t>
        </is>
      </c>
      <c r="H80" s="23">
        <f>VLOOKUP(F80,'Internal Cost Model'!$B$6:$F$15,5,FALSE)</f>
        <v/>
      </c>
      <c r="I80" s="24">
        <f>H80*VLOOKUP(G80,Assumptions!$B$43:$C$45,2,FALSE)</f>
        <v/>
      </c>
      <c r="J80" s="25">
        <f>VLOOKUP(F80,Assumptions!$B$50:$D$59,2,FALSE)*VLOOKUP("SI-T1",Assumptions!$B$27:$C$31,2,FALSE)*VLOOKUP(G80,Assumptions!$B$43:$C$45,2,FALSE)</f>
        <v/>
      </c>
    </row>
    <row r="81">
      <c r="B81" s="7" t="inlineStr">
        <is>
          <t>RC-0076</t>
        </is>
      </c>
      <c r="C81" s="11" t="inlineStr">
        <is>
          <t>Data &amp; Analytics</t>
        </is>
      </c>
      <c r="D81" s="7" t="inlineStr">
        <is>
          <t>Data Governance Lead</t>
        </is>
      </c>
      <c r="E81" s="11" t="inlineStr">
        <is>
          <t>Data Governance</t>
        </is>
      </c>
      <c r="F81" s="11" t="inlineStr">
        <is>
          <t>Manager</t>
        </is>
      </c>
      <c r="G81" s="21" t="inlineStr">
        <is>
          <t>High</t>
        </is>
      </c>
      <c r="H81" s="23">
        <f>VLOOKUP(F81,'Internal Cost Model'!$B$6:$F$15,5,FALSE)</f>
        <v/>
      </c>
      <c r="I81" s="24">
        <f>H81*VLOOKUP(G81,Assumptions!$B$43:$C$45,2,FALSE)</f>
        <v/>
      </c>
      <c r="J81" s="25">
        <f>VLOOKUP(F81,Assumptions!$B$50:$D$59,2,FALSE)*VLOOKUP("SI-T1",Assumptions!$B$27:$C$31,2,FALSE)*VLOOKUP(G81,Assumptions!$B$43:$C$45,2,FALSE)</f>
        <v/>
      </c>
    </row>
    <row r="82">
      <c r="B82" s="7" t="inlineStr">
        <is>
          <t>RC-0077</t>
        </is>
      </c>
      <c r="C82" s="11" t="inlineStr">
        <is>
          <t>Data &amp; Analytics</t>
        </is>
      </c>
      <c r="D82" s="7" t="inlineStr">
        <is>
          <t>Data Steward</t>
        </is>
      </c>
      <c r="E82" s="11" t="inlineStr">
        <is>
          <t>Data Governance</t>
        </is>
      </c>
      <c r="F82" s="11" t="inlineStr">
        <is>
          <t>Senior</t>
        </is>
      </c>
      <c r="G82" s="21" t="inlineStr">
        <is>
          <t>Medium</t>
        </is>
      </c>
      <c r="H82" s="23">
        <f>VLOOKUP(F82,'Internal Cost Model'!$B$6:$F$15,5,FALSE)</f>
        <v/>
      </c>
      <c r="I82" s="24">
        <f>H82*VLOOKUP(G82,Assumptions!$B$43:$C$45,2,FALSE)</f>
        <v/>
      </c>
      <c r="J82" s="25">
        <f>VLOOKUP(F82,Assumptions!$B$50:$D$59,2,FALSE)*VLOOKUP("SI-T1",Assumptions!$B$27:$C$31,2,FALSE)*VLOOKUP(G82,Assumptions!$B$43:$C$45,2,FALSE)</f>
        <v/>
      </c>
    </row>
    <row r="83">
      <c r="B83" s="7" t="inlineStr">
        <is>
          <t>RC-0078</t>
        </is>
      </c>
      <c r="C83" s="11" t="inlineStr">
        <is>
          <t>Data &amp; Analytics</t>
        </is>
      </c>
      <c r="D83" s="7" t="inlineStr">
        <is>
          <t>Data Steward</t>
        </is>
      </c>
      <c r="E83" s="11" t="inlineStr">
        <is>
          <t>Data Governance</t>
        </is>
      </c>
      <c r="F83" s="11" t="inlineStr">
        <is>
          <t>Intermediate</t>
        </is>
      </c>
      <c r="G83" s="21" t="inlineStr">
        <is>
          <t>Medium</t>
        </is>
      </c>
      <c r="H83" s="23">
        <f>VLOOKUP(F83,'Internal Cost Model'!$B$6:$F$15,5,FALSE)</f>
        <v/>
      </c>
      <c r="I83" s="24">
        <f>H83*VLOOKUP(G83,Assumptions!$B$43:$C$45,2,FALSE)</f>
        <v/>
      </c>
      <c r="J83" s="25">
        <f>VLOOKUP(F83,Assumptions!$B$50:$D$59,2,FALSE)*VLOOKUP("SI-T1",Assumptions!$B$27:$C$31,2,FALSE)*VLOOKUP(G83,Assumptions!$B$43:$C$45,2,FALSE)</f>
        <v/>
      </c>
    </row>
    <row r="84">
      <c r="B84" s="7" t="inlineStr">
        <is>
          <t>RC-0079</t>
        </is>
      </c>
      <c r="C84" s="11" t="inlineStr">
        <is>
          <t>Data &amp; Analytics</t>
        </is>
      </c>
      <c r="D84" s="7" t="inlineStr">
        <is>
          <t>Metadata Lead</t>
        </is>
      </c>
      <c r="E84" s="11" t="inlineStr">
        <is>
          <t>Metadata Management</t>
        </is>
      </c>
      <c r="F84" s="11" t="inlineStr">
        <is>
          <t>Senior Manager</t>
        </is>
      </c>
      <c r="G84" s="21" t="inlineStr">
        <is>
          <t>Medium</t>
        </is>
      </c>
      <c r="H84" s="23">
        <f>VLOOKUP(F84,'Internal Cost Model'!$B$6:$F$15,5,FALSE)</f>
        <v/>
      </c>
      <c r="I84" s="24">
        <f>H84*VLOOKUP(G84,Assumptions!$B$43:$C$45,2,FALSE)</f>
        <v/>
      </c>
      <c r="J84" s="25">
        <f>VLOOKUP(F84,Assumptions!$B$50:$D$59,2,FALSE)*VLOOKUP("SI-T1",Assumptions!$B$27:$C$31,2,FALSE)*VLOOKUP(G84,Assumptions!$B$43:$C$45,2,FALSE)</f>
        <v/>
      </c>
    </row>
    <row r="85">
      <c r="B85" s="7" t="inlineStr">
        <is>
          <t>RC-0080</t>
        </is>
      </c>
      <c r="C85" s="11" t="inlineStr">
        <is>
          <t>Data &amp; Analytics</t>
        </is>
      </c>
      <c r="D85" s="7" t="inlineStr">
        <is>
          <t>Metadata Lead</t>
        </is>
      </c>
      <c r="E85" s="11" t="inlineStr">
        <is>
          <t>Metadata Management</t>
        </is>
      </c>
      <c r="F85" s="11" t="inlineStr">
        <is>
          <t>Manager</t>
        </is>
      </c>
      <c r="G85" s="21" t="inlineStr">
        <is>
          <t>Medium</t>
        </is>
      </c>
      <c r="H85" s="23">
        <f>VLOOKUP(F85,'Internal Cost Model'!$B$6:$F$15,5,FALSE)</f>
        <v/>
      </c>
      <c r="I85" s="24">
        <f>H85*VLOOKUP(G85,Assumptions!$B$43:$C$45,2,FALSE)</f>
        <v/>
      </c>
      <c r="J85" s="25">
        <f>VLOOKUP(F85,Assumptions!$B$50:$D$59,2,FALSE)*VLOOKUP("SI-T1",Assumptions!$B$27:$C$31,2,FALSE)*VLOOKUP(G85,Assumptions!$B$43:$C$45,2,FALSE)</f>
        <v/>
      </c>
    </row>
    <row r="86">
      <c r="B86" s="7" t="inlineStr">
        <is>
          <t>RC-0081</t>
        </is>
      </c>
      <c r="C86" s="11" t="inlineStr">
        <is>
          <t>Data &amp; Analytics</t>
        </is>
      </c>
      <c r="D86" s="7" t="inlineStr">
        <is>
          <t>Metadata Lead</t>
        </is>
      </c>
      <c r="E86" s="11" t="inlineStr">
        <is>
          <t>Metadata Management</t>
        </is>
      </c>
      <c r="F86" s="11" t="inlineStr">
        <is>
          <t>Lead</t>
        </is>
      </c>
      <c r="G86" s="21" t="inlineStr">
        <is>
          <t>Medium</t>
        </is>
      </c>
      <c r="H86" s="23">
        <f>VLOOKUP(F86,'Internal Cost Model'!$B$6:$F$15,5,FALSE)</f>
        <v/>
      </c>
      <c r="I86" s="24">
        <f>H86*VLOOKUP(G86,Assumptions!$B$43:$C$45,2,FALSE)</f>
        <v/>
      </c>
      <c r="J86" s="25">
        <f>VLOOKUP(F86,Assumptions!$B$50:$D$59,2,FALSE)*VLOOKUP("SI-T1",Assumptions!$B$27:$C$31,2,FALSE)*VLOOKUP(G86,Assumptions!$B$43:$C$45,2,FALSE)</f>
        <v/>
      </c>
    </row>
    <row r="87">
      <c r="B87" s="7" t="inlineStr">
        <is>
          <t>RC-0082</t>
        </is>
      </c>
      <c r="C87" s="11" t="inlineStr">
        <is>
          <t>Data &amp; Analytics</t>
        </is>
      </c>
      <c r="D87" s="7" t="inlineStr">
        <is>
          <t>MDM Architect</t>
        </is>
      </c>
      <c r="E87" s="11" t="inlineStr">
        <is>
          <t>Master Data Management</t>
        </is>
      </c>
      <c r="F87" s="11" t="inlineStr">
        <is>
          <t>Director</t>
        </is>
      </c>
      <c r="G87" s="21" t="inlineStr">
        <is>
          <t>High</t>
        </is>
      </c>
      <c r="H87" s="23">
        <f>VLOOKUP(F87,'Internal Cost Model'!$B$6:$F$15,5,FALSE)</f>
        <v/>
      </c>
      <c r="I87" s="24">
        <f>H87*VLOOKUP(G87,Assumptions!$B$43:$C$45,2,FALSE)</f>
        <v/>
      </c>
      <c r="J87" s="25">
        <f>VLOOKUP(F87,Assumptions!$B$50:$D$59,2,FALSE)*VLOOKUP("SI-T1",Assumptions!$B$27:$C$31,2,FALSE)*VLOOKUP(G87,Assumptions!$B$43:$C$45,2,FALSE)</f>
        <v/>
      </c>
    </row>
    <row r="88">
      <c r="B88" s="7" t="inlineStr">
        <is>
          <t>RC-0083</t>
        </is>
      </c>
      <c r="C88" s="11" t="inlineStr">
        <is>
          <t>Data &amp; Analytics</t>
        </is>
      </c>
      <c r="D88" s="7" t="inlineStr">
        <is>
          <t>MDM Architect</t>
        </is>
      </c>
      <c r="E88" s="11" t="inlineStr">
        <is>
          <t>Master Data Management</t>
        </is>
      </c>
      <c r="F88" s="11" t="inlineStr">
        <is>
          <t>Senior Manager</t>
        </is>
      </c>
      <c r="G88" s="21" t="inlineStr">
        <is>
          <t>High</t>
        </is>
      </c>
      <c r="H88" s="23">
        <f>VLOOKUP(F88,'Internal Cost Model'!$B$6:$F$15,5,FALSE)</f>
        <v/>
      </c>
      <c r="I88" s="24">
        <f>H88*VLOOKUP(G88,Assumptions!$B$43:$C$45,2,FALSE)</f>
        <v/>
      </c>
      <c r="J88" s="25">
        <f>VLOOKUP(F88,Assumptions!$B$50:$D$59,2,FALSE)*VLOOKUP("SI-T1",Assumptions!$B$27:$C$31,2,FALSE)*VLOOKUP(G88,Assumptions!$B$43:$C$45,2,FALSE)</f>
        <v/>
      </c>
    </row>
    <row r="89">
      <c r="B89" s="7" t="inlineStr">
        <is>
          <t>RC-0084</t>
        </is>
      </c>
      <c r="C89" s="11" t="inlineStr">
        <is>
          <t>Data &amp; Analytics</t>
        </is>
      </c>
      <c r="D89" s="7" t="inlineStr">
        <is>
          <t>MDM Architect</t>
        </is>
      </c>
      <c r="E89" s="11" t="inlineStr">
        <is>
          <t>Master Data Management</t>
        </is>
      </c>
      <c r="F89" s="11" t="inlineStr">
        <is>
          <t>Manager</t>
        </is>
      </c>
      <c r="G89" s="21" t="inlineStr">
        <is>
          <t>High</t>
        </is>
      </c>
      <c r="H89" s="23">
        <f>VLOOKUP(F89,'Internal Cost Model'!$B$6:$F$15,5,FALSE)</f>
        <v/>
      </c>
      <c r="I89" s="24">
        <f>H89*VLOOKUP(G89,Assumptions!$B$43:$C$45,2,FALSE)</f>
        <v/>
      </c>
      <c r="J89" s="25">
        <f>VLOOKUP(F89,Assumptions!$B$50:$D$59,2,FALSE)*VLOOKUP("SI-T1",Assumptions!$B$27:$C$31,2,FALSE)*VLOOKUP(G89,Assumptions!$B$43:$C$45,2,FALSE)</f>
        <v/>
      </c>
    </row>
    <row r="90">
      <c r="B90" s="7" t="inlineStr">
        <is>
          <t>RC-0085</t>
        </is>
      </c>
      <c r="C90" s="11" t="inlineStr">
        <is>
          <t>Data &amp; Analytics</t>
        </is>
      </c>
      <c r="D90" s="7" t="inlineStr">
        <is>
          <t>MDM Architect</t>
        </is>
      </c>
      <c r="E90" s="11" t="inlineStr">
        <is>
          <t>Master Data Management</t>
        </is>
      </c>
      <c r="F90" s="11" t="inlineStr">
        <is>
          <t>Lead</t>
        </is>
      </c>
      <c r="G90" s="21" t="inlineStr">
        <is>
          <t>High</t>
        </is>
      </c>
      <c r="H90" s="23">
        <f>VLOOKUP(F90,'Internal Cost Model'!$B$6:$F$15,5,FALSE)</f>
        <v/>
      </c>
      <c r="I90" s="24">
        <f>H90*VLOOKUP(G90,Assumptions!$B$43:$C$45,2,FALSE)</f>
        <v/>
      </c>
      <c r="J90" s="25">
        <f>VLOOKUP(F90,Assumptions!$B$50:$D$59,2,FALSE)*VLOOKUP("SI-T1",Assumptions!$B$27:$C$31,2,FALSE)*VLOOKUP(G90,Assumptions!$B$43:$C$45,2,FALSE)</f>
        <v/>
      </c>
    </row>
    <row r="91">
      <c r="B91" s="7" t="inlineStr">
        <is>
          <t>RC-0086</t>
        </is>
      </c>
      <c r="C91" s="11" t="inlineStr">
        <is>
          <t>Data &amp; Analytics</t>
        </is>
      </c>
      <c r="D91" s="7" t="inlineStr">
        <is>
          <t>Data Quality Lead</t>
        </is>
      </c>
      <c r="E91" s="11" t="inlineStr">
        <is>
          <t>Data Quality</t>
        </is>
      </c>
      <c r="F91" s="11" t="inlineStr">
        <is>
          <t>Senior Manager</t>
        </is>
      </c>
      <c r="G91" s="21" t="inlineStr">
        <is>
          <t>Medium</t>
        </is>
      </c>
      <c r="H91" s="23">
        <f>VLOOKUP(F91,'Internal Cost Model'!$B$6:$F$15,5,FALSE)</f>
        <v/>
      </c>
      <c r="I91" s="24">
        <f>H91*VLOOKUP(G91,Assumptions!$B$43:$C$45,2,FALSE)</f>
        <v/>
      </c>
      <c r="J91" s="25">
        <f>VLOOKUP(F91,Assumptions!$B$50:$D$59,2,FALSE)*VLOOKUP("SI-T1",Assumptions!$B$27:$C$31,2,FALSE)*VLOOKUP(G91,Assumptions!$B$43:$C$45,2,FALSE)</f>
        <v/>
      </c>
    </row>
    <row r="92">
      <c r="B92" s="7" t="inlineStr">
        <is>
          <t>RC-0087</t>
        </is>
      </c>
      <c r="C92" s="11" t="inlineStr">
        <is>
          <t>Data &amp; Analytics</t>
        </is>
      </c>
      <c r="D92" s="7" t="inlineStr">
        <is>
          <t>Data Quality Lead</t>
        </is>
      </c>
      <c r="E92" s="11" t="inlineStr">
        <is>
          <t>Data Quality</t>
        </is>
      </c>
      <c r="F92" s="11" t="inlineStr">
        <is>
          <t>Manager</t>
        </is>
      </c>
      <c r="G92" s="21" t="inlineStr">
        <is>
          <t>Medium</t>
        </is>
      </c>
      <c r="H92" s="23">
        <f>VLOOKUP(F92,'Internal Cost Model'!$B$6:$F$15,5,FALSE)</f>
        <v/>
      </c>
      <c r="I92" s="24">
        <f>H92*VLOOKUP(G92,Assumptions!$B$43:$C$45,2,FALSE)</f>
        <v/>
      </c>
      <c r="J92" s="25">
        <f>VLOOKUP(F92,Assumptions!$B$50:$D$59,2,FALSE)*VLOOKUP("SI-T1",Assumptions!$B$27:$C$31,2,FALSE)*VLOOKUP(G92,Assumptions!$B$43:$C$45,2,FALSE)</f>
        <v/>
      </c>
    </row>
    <row r="93">
      <c r="B93" s="7" t="inlineStr">
        <is>
          <t>RC-0088</t>
        </is>
      </c>
      <c r="C93" s="11" t="inlineStr">
        <is>
          <t>Data &amp; Analytics</t>
        </is>
      </c>
      <c r="D93" s="7" t="inlineStr">
        <is>
          <t>Data Quality Lead</t>
        </is>
      </c>
      <c r="E93" s="11" t="inlineStr">
        <is>
          <t>Data Quality</t>
        </is>
      </c>
      <c r="F93" s="11" t="inlineStr">
        <is>
          <t>Lead</t>
        </is>
      </c>
      <c r="G93" s="21" t="inlineStr">
        <is>
          <t>Medium</t>
        </is>
      </c>
      <c r="H93" s="23">
        <f>VLOOKUP(F93,'Internal Cost Model'!$B$6:$F$15,5,FALSE)</f>
        <v/>
      </c>
      <c r="I93" s="24">
        <f>H93*VLOOKUP(G93,Assumptions!$B$43:$C$45,2,FALSE)</f>
        <v/>
      </c>
      <c r="J93" s="25">
        <f>VLOOKUP(F93,Assumptions!$B$50:$D$59,2,FALSE)*VLOOKUP("SI-T1",Assumptions!$B$27:$C$31,2,FALSE)*VLOOKUP(G93,Assumptions!$B$43:$C$45,2,FALSE)</f>
        <v/>
      </c>
    </row>
    <row r="94">
      <c r="B94" s="7" t="inlineStr">
        <is>
          <t>RC-0089</t>
        </is>
      </c>
      <c r="C94" s="11" t="inlineStr">
        <is>
          <t>Data &amp; Analytics</t>
        </is>
      </c>
      <c r="D94" s="7" t="inlineStr">
        <is>
          <t>Snowflake Architect</t>
        </is>
      </c>
      <c r="E94" s="11" t="inlineStr">
        <is>
          <t>Snowflake</t>
        </is>
      </c>
      <c r="F94" s="11" t="inlineStr">
        <is>
          <t>Director</t>
        </is>
      </c>
      <c r="G94" s="21" t="inlineStr">
        <is>
          <t>High</t>
        </is>
      </c>
      <c r="H94" s="23">
        <f>VLOOKUP(F94,'Internal Cost Model'!$B$6:$F$15,5,FALSE)</f>
        <v/>
      </c>
      <c r="I94" s="24">
        <f>H94*VLOOKUP(G94,Assumptions!$B$43:$C$45,2,FALSE)</f>
        <v/>
      </c>
      <c r="J94" s="25">
        <f>VLOOKUP(F94,Assumptions!$B$50:$D$59,2,FALSE)*VLOOKUP("SI-T1",Assumptions!$B$27:$C$31,2,FALSE)*VLOOKUP(G94,Assumptions!$B$43:$C$45,2,FALSE)</f>
        <v/>
      </c>
    </row>
    <row r="95">
      <c r="B95" s="7" t="inlineStr">
        <is>
          <t>RC-0090</t>
        </is>
      </c>
      <c r="C95" s="11" t="inlineStr">
        <is>
          <t>Data &amp; Analytics</t>
        </is>
      </c>
      <c r="D95" s="7" t="inlineStr">
        <is>
          <t>Snowflake Architect</t>
        </is>
      </c>
      <c r="E95" s="11" t="inlineStr">
        <is>
          <t>Snowflake</t>
        </is>
      </c>
      <c r="F95" s="11" t="inlineStr">
        <is>
          <t>Senior Manager</t>
        </is>
      </c>
      <c r="G95" s="21" t="inlineStr">
        <is>
          <t>High</t>
        </is>
      </c>
      <c r="H95" s="23">
        <f>VLOOKUP(F95,'Internal Cost Model'!$B$6:$F$15,5,FALSE)</f>
        <v/>
      </c>
      <c r="I95" s="24">
        <f>H95*VLOOKUP(G95,Assumptions!$B$43:$C$45,2,FALSE)</f>
        <v/>
      </c>
      <c r="J95" s="25">
        <f>VLOOKUP(F95,Assumptions!$B$50:$D$59,2,FALSE)*VLOOKUP("SI-T1",Assumptions!$B$27:$C$31,2,FALSE)*VLOOKUP(G95,Assumptions!$B$43:$C$45,2,FALSE)</f>
        <v/>
      </c>
    </row>
    <row r="96">
      <c r="B96" s="7" t="inlineStr">
        <is>
          <t>RC-0091</t>
        </is>
      </c>
      <c r="C96" s="11" t="inlineStr">
        <is>
          <t>Data &amp; Analytics</t>
        </is>
      </c>
      <c r="D96" s="7" t="inlineStr">
        <is>
          <t>Snowflake Architect</t>
        </is>
      </c>
      <c r="E96" s="11" t="inlineStr">
        <is>
          <t>Snowflake</t>
        </is>
      </c>
      <c r="F96" s="11" t="inlineStr">
        <is>
          <t>Manager</t>
        </is>
      </c>
      <c r="G96" s="21" t="inlineStr">
        <is>
          <t>High</t>
        </is>
      </c>
      <c r="H96" s="23">
        <f>VLOOKUP(F96,'Internal Cost Model'!$B$6:$F$15,5,FALSE)</f>
        <v/>
      </c>
      <c r="I96" s="24">
        <f>H96*VLOOKUP(G96,Assumptions!$B$43:$C$45,2,FALSE)</f>
        <v/>
      </c>
      <c r="J96" s="25">
        <f>VLOOKUP(F96,Assumptions!$B$50:$D$59,2,FALSE)*VLOOKUP("SI-T1",Assumptions!$B$27:$C$31,2,FALSE)*VLOOKUP(G96,Assumptions!$B$43:$C$45,2,FALSE)</f>
        <v/>
      </c>
    </row>
    <row r="97">
      <c r="B97" s="7" t="inlineStr">
        <is>
          <t>RC-0092</t>
        </is>
      </c>
      <c r="C97" s="11" t="inlineStr">
        <is>
          <t>Data &amp; Analytics</t>
        </is>
      </c>
      <c r="D97" s="7" t="inlineStr">
        <is>
          <t>Snowflake Architect</t>
        </is>
      </c>
      <c r="E97" s="11" t="inlineStr">
        <is>
          <t>Snowflake</t>
        </is>
      </c>
      <c r="F97" s="11" t="inlineStr">
        <is>
          <t>Lead</t>
        </is>
      </c>
      <c r="G97" s="21" t="inlineStr">
        <is>
          <t>High</t>
        </is>
      </c>
      <c r="H97" s="23">
        <f>VLOOKUP(F97,'Internal Cost Model'!$B$6:$F$15,5,FALSE)</f>
        <v/>
      </c>
      <c r="I97" s="24">
        <f>H97*VLOOKUP(G97,Assumptions!$B$43:$C$45,2,FALSE)</f>
        <v/>
      </c>
      <c r="J97" s="25">
        <f>VLOOKUP(F97,Assumptions!$B$50:$D$59,2,FALSE)*VLOOKUP("SI-T1",Assumptions!$B$27:$C$31,2,FALSE)*VLOOKUP(G97,Assumptions!$B$43:$C$45,2,FALSE)</f>
        <v/>
      </c>
    </row>
    <row r="98">
      <c r="B98" s="7" t="inlineStr">
        <is>
          <t>RC-0093</t>
        </is>
      </c>
      <c r="C98" s="11" t="inlineStr">
        <is>
          <t>Data &amp; Analytics</t>
        </is>
      </c>
      <c r="D98" s="7" t="inlineStr">
        <is>
          <t>Snowflake Engineer</t>
        </is>
      </c>
      <c r="E98" s="11" t="inlineStr">
        <is>
          <t>Snowflake</t>
        </is>
      </c>
      <c r="F98" s="11" t="inlineStr">
        <is>
          <t>Senior</t>
        </is>
      </c>
      <c r="G98" s="21" t="inlineStr">
        <is>
          <t>High</t>
        </is>
      </c>
      <c r="H98" s="23">
        <f>VLOOKUP(F98,'Internal Cost Model'!$B$6:$F$15,5,FALSE)</f>
        <v/>
      </c>
      <c r="I98" s="24">
        <f>H98*VLOOKUP(G98,Assumptions!$B$43:$C$45,2,FALSE)</f>
        <v/>
      </c>
      <c r="J98" s="25">
        <f>VLOOKUP(F98,Assumptions!$B$50:$D$59,2,FALSE)*VLOOKUP("SI-T1",Assumptions!$B$27:$C$31,2,FALSE)*VLOOKUP(G98,Assumptions!$B$43:$C$45,2,FALSE)</f>
        <v/>
      </c>
    </row>
    <row r="99">
      <c r="B99" s="7" t="inlineStr">
        <is>
          <t>RC-0094</t>
        </is>
      </c>
      <c r="C99" s="11" t="inlineStr">
        <is>
          <t>Data &amp; Analytics</t>
        </is>
      </c>
      <c r="D99" s="7" t="inlineStr">
        <is>
          <t>Snowflake Engineer</t>
        </is>
      </c>
      <c r="E99" s="11" t="inlineStr">
        <is>
          <t>Snowflake</t>
        </is>
      </c>
      <c r="F99" s="11" t="inlineStr">
        <is>
          <t>Intermediate</t>
        </is>
      </c>
      <c r="G99" s="21" t="inlineStr">
        <is>
          <t>High</t>
        </is>
      </c>
      <c r="H99" s="23">
        <f>VLOOKUP(F99,'Internal Cost Model'!$B$6:$F$15,5,FALSE)</f>
        <v/>
      </c>
      <c r="I99" s="24">
        <f>H99*VLOOKUP(G99,Assumptions!$B$43:$C$45,2,FALSE)</f>
        <v/>
      </c>
      <c r="J99" s="25">
        <f>VLOOKUP(F99,Assumptions!$B$50:$D$59,2,FALSE)*VLOOKUP("SI-T1",Assumptions!$B$27:$C$31,2,FALSE)*VLOOKUP(G99,Assumptions!$B$43:$C$45,2,FALSE)</f>
        <v/>
      </c>
    </row>
    <row r="100">
      <c r="B100" s="7" t="inlineStr">
        <is>
          <t>RC-0095</t>
        </is>
      </c>
      <c r="C100" s="11" t="inlineStr">
        <is>
          <t>Data &amp; Analytics</t>
        </is>
      </c>
      <c r="D100" s="7" t="inlineStr">
        <is>
          <t>Databricks Architect</t>
        </is>
      </c>
      <c r="E100" s="11" t="inlineStr">
        <is>
          <t>Databricks</t>
        </is>
      </c>
      <c r="F100" s="11" t="inlineStr">
        <is>
          <t>Director</t>
        </is>
      </c>
      <c r="G100" s="21" t="inlineStr">
        <is>
          <t>High</t>
        </is>
      </c>
      <c r="H100" s="23">
        <f>VLOOKUP(F100,'Internal Cost Model'!$B$6:$F$15,5,FALSE)</f>
        <v/>
      </c>
      <c r="I100" s="24">
        <f>H100*VLOOKUP(G100,Assumptions!$B$43:$C$45,2,FALSE)</f>
        <v/>
      </c>
      <c r="J100" s="25">
        <f>VLOOKUP(F100,Assumptions!$B$50:$D$59,2,FALSE)*VLOOKUP("SI-T1",Assumptions!$B$27:$C$31,2,FALSE)*VLOOKUP(G100,Assumptions!$B$43:$C$45,2,FALSE)</f>
        <v/>
      </c>
    </row>
    <row r="101">
      <c r="B101" s="7" t="inlineStr">
        <is>
          <t>RC-0096</t>
        </is>
      </c>
      <c r="C101" s="11" t="inlineStr">
        <is>
          <t>Data &amp; Analytics</t>
        </is>
      </c>
      <c r="D101" s="7" t="inlineStr">
        <is>
          <t>Databricks Architect</t>
        </is>
      </c>
      <c r="E101" s="11" t="inlineStr">
        <is>
          <t>Databricks</t>
        </is>
      </c>
      <c r="F101" s="11" t="inlineStr">
        <is>
          <t>Senior Manager</t>
        </is>
      </c>
      <c r="G101" s="21" t="inlineStr">
        <is>
          <t>High</t>
        </is>
      </c>
      <c r="H101" s="23">
        <f>VLOOKUP(F101,'Internal Cost Model'!$B$6:$F$15,5,FALSE)</f>
        <v/>
      </c>
      <c r="I101" s="24">
        <f>H101*VLOOKUP(G101,Assumptions!$B$43:$C$45,2,FALSE)</f>
        <v/>
      </c>
      <c r="J101" s="25">
        <f>VLOOKUP(F101,Assumptions!$B$50:$D$59,2,FALSE)*VLOOKUP("SI-T1",Assumptions!$B$27:$C$31,2,FALSE)*VLOOKUP(G101,Assumptions!$B$43:$C$45,2,FALSE)</f>
        <v/>
      </c>
    </row>
    <row r="102">
      <c r="B102" s="7" t="inlineStr">
        <is>
          <t>RC-0097</t>
        </is>
      </c>
      <c r="C102" s="11" t="inlineStr">
        <is>
          <t>Data &amp; Analytics</t>
        </is>
      </c>
      <c r="D102" s="7" t="inlineStr">
        <is>
          <t>Databricks Architect</t>
        </is>
      </c>
      <c r="E102" s="11" t="inlineStr">
        <is>
          <t>Databricks</t>
        </is>
      </c>
      <c r="F102" s="11" t="inlineStr">
        <is>
          <t>Manager</t>
        </is>
      </c>
      <c r="G102" s="21" t="inlineStr">
        <is>
          <t>High</t>
        </is>
      </c>
      <c r="H102" s="23">
        <f>VLOOKUP(F102,'Internal Cost Model'!$B$6:$F$15,5,FALSE)</f>
        <v/>
      </c>
      <c r="I102" s="24">
        <f>H102*VLOOKUP(G102,Assumptions!$B$43:$C$45,2,FALSE)</f>
        <v/>
      </c>
      <c r="J102" s="25">
        <f>VLOOKUP(F102,Assumptions!$B$50:$D$59,2,FALSE)*VLOOKUP("SI-T1",Assumptions!$B$27:$C$31,2,FALSE)*VLOOKUP(G102,Assumptions!$B$43:$C$45,2,FALSE)</f>
        <v/>
      </c>
    </row>
    <row r="103">
      <c r="B103" s="7" t="inlineStr">
        <is>
          <t>RC-0098</t>
        </is>
      </c>
      <c r="C103" s="11" t="inlineStr">
        <is>
          <t>Data &amp; Analytics</t>
        </is>
      </c>
      <c r="D103" s="7" t="inlineStr">
        <is>
          <t>Databricks Architect</t>
        </is>
      </c>
      <c r="E103" s="11" t="inlineStr">
        <is>
          <t>Databricks</t>
        </is>
      </c>
      <c r="F103" s="11" t="inlineStr">
        <is>
          <t>Lead</t>
        </is>
      </c>
      <c r="G103" s="21" t="inlineStr">
        <is>
          <t>High</t>
        </is>
      </c>
      <c r="H103" s="23">
        <f>VLOOKUP(F103,'Internal Cost Model'!$B$6:$F$15,5,FALSE)</f>
        <v/>
      </c>
      <c r="I103" s="24">
        <f>H103*VLOOKUP(G103,Assumptions!$B$43:$C$45,2,FALSE)</f>
        <v/>
      </c>
      <c r="J103" s="25">
        <f>VLOOKUP(F103,Assumptions!$B$50:$D$59,2,FALSE)*VLOOKUP("SI-T1",Assumptions!$B$27:$C$31,2,FALSE)*VLOOKUP(G103,Assumptions!$B$43:$C$45,2,FALSE)</f>
        <v/>
      </c>
    </row>
    <row r="104">
      <c r="B104" s="7" t="inlineStr">
        <is>
          <t>RC-0099</t>
        </is>
      </c>
      <c r="C104" s="11" t="inlineStr">
        <is>
          <t>Data &amp; Analytics</t>
        </is>
      </c>
      <c r="D104" s="7" t="inlineStr">
        <is>
          <t>Databricks Engineer</t>
        </is>
      </c>
      <c r="E104" s="11" t="inlineStr">
        <is>
          <t>Databricks</t>
        </is>
      </c>
      <c r="F104" s="11" t="inlineStr">
        <is>
          <t>Senior</t>
        </is>
      </c>
      <c r="G104" s="21" t="inlineStr">
        <is>
          <t>High</t>
        </is>
      </c>
      <c r="H104" s="23">
        <f>VLOOKUP(F104,'Internal Cost Model'!$B$6:$F$15,5,FALSE)</f>
        <v/>
      </c>
      <c r="I104" s="24">
        <f>H104*VLOOKUP(G104,Assumptions!$B$43:$C$45,2,FALSE)</f>
        <v/>
      </c>
      <c r="J104" s="25">
        <f>VLOOKUP(F104,Assumptions!$B$50:$D$59,2,FALSE)*VLOOKUP("SI-T1",Assumptions!$B$27:$C$31,2,FALSE)*VLOOKUP(G104,Assumptions!$B$43:$C$45,2,FALSE)</f>
        <v/>
      </c>
    </row>
    <row r="105">
      <c r="B105" s="7" t="inlineStr">
        <is>
          <t>RC-0100</t>
        </is>
      </c>
      <c r="C105" s="11" t="inlineStr">
        <is>
          <t>Data &amp; Analytics</t>
        </is>
      </c>
      <c r="D105" s="7" t="inlineStr">
        <is>
          <t>Databricks Engineer</t>
        </is>
      </c>
      <c r="E105" s="11" t="inlineStr">
        <is>
          <t>Databricks</t>
        </is>
      </c>
      <c r="F105" s="11" t="inlineStr">
        <is>
          <t>Intermediate</t>
        </is>
      </c>
      <c r="G105" s="21" t="inlineStr">
        <is>
          <t>High</t>
        </is>
      </c>
      <c r="H105" s="23">
        <f>VLOOKUP(F105,'Internal Cost Model'!$B$6:$F$15,5,FALSE)</f>
        <v/>
      </c>
      <c r="I105" s="24">
        <f>H105*VLOOKUP(G105,Assumptions!$B$43:$C$45,2,FALSE)</f>
        <v/>
      </c>
      <c r="J105" s="25">
        <f>VLOOKUP(F105,Assumptions!$B$50:$D$59,2,FALSE)*VLOOKUP("SI-T1",Assumptions!$B$27:$C$31,2,FALSE)*VLOOKUP(G105,Assumptions!$B$43:$C$45,2,FALSE)</f>
        <v/>
      </c>
    </row>
    <row r="106">
      <c r="B106" s="7" t="inlineStr">
        <is>
          <t>RC-0101</t>
        </is>
      </c>
      <c r="C106" s="11" t="inlineStr">
        <is>
          <t>Data &amp; Analytics</t>
        </is>
      </c>
      <c r="D106" s="7" t="inlineStr">
        <is>
          <t>Lead Data Engineer</t>
        </is>
      </c>
      <c r="E106" s="11" t="inlineStr">
        <is>
          <t>Data Engineering</t>
        </is>
      </c>
      <c r="F106" s="11" t="inlineStr">
        <is>
          <t>Senior Manager</t>
        </is>
      </c>
      <c r="G106" s="21" t="inlineStr">
        <is>
          <t>High</t>
        </is>
      </c>
      <c r="H106" s="23">
        <f>VLOOKUP(F106,'Internal Cost Model'!$B$6:$F$15,5,FALSE)</f>
        <v/>
      </c>
      <c r="I106" s="24">
        <f>H106*VLOOKUP(G106,Assumptions!$B$43:$C$45,2,FALSE)</f>
        <v/>
      </c>
      <c r="J106" s="25">
        <f>VLOOKUP(F106,Assumptions!$B$50:$D$59,2,FALSE)*VLOOKUP("SI-T1",Assumptions!$B$27:$C$31,2,FALSE)*VLOOKUP(G106,Assumptions!$B$43:$C$45,2,FALSE)</f>
        <v/>
      </c>
    </row>
    <row r="107">
      <c r="B107" s="7" t="inlineStr">
        <is>
          <t>RC-0102</t>
        </is>
      </c>
      <c r="C107" s="11" t="inlineStr">
        <is>
          <t>Data &amp; Analytics</t>
        </is>
      </c>
      <c r="D107" s="7" t="inlineStr">
        <is>
          <t>Lead Data Engineer</t>
        </is>
      </c>
      <c r="E107" s="11" t="inlineStr">
        <is>
          <t>Data Engineering</t>
        </is>
      </c>
      <c r="F107" s="11" t="inlineStr">
        <is>
          <t>Manager</t>
        </is>
      </c>
      <c r="G107" s="21" t="inlineStr">
        <is>
          <t>High</t>
        </is>
      </c>
      <c r="H107" s="23">
        <f>VLOOKUP(F107,'Internal Cost Model'!$B$6:$F$15,5,FALSE)</f>
        <v/>
      </c>
      <c r="I107" s="24">
        <f>H107*VLOOKUP(G107,Assumptions!$B$43:$C$45,2,FALSE)</f>
        <v/>
      </c>
      <c r="J107" s="25">
        <f>VLOOKUP(F107,Assumptions!$B$50:$D$59,2,FALSE)*VLOOKUP("SI-T1",Assumptions!$B$27:$C$31,2,FALSE)*VLOOKUP(G107,Assumptions!$B$43:$C$45,2,FALSE)</f>
        <v/>
      </c>
    </row>
    <row r="108">
      <c r="B108" s="7" t="inlineStr">
        <is>
          <t>RC-0103</t>
        </is>
      </c>
      <c r="C108" s="11" t="inlineStr">
        <is>
          <t>Data &amp; Analytics</t>
        </is>
      </c>
      <c r="D108" s="7" t="inlineStr">
        <is>
          <t>Lead Data Engineer</t>
        </is>
      </c>
      <c r="E108" s="11" t="inlineStr">
        <is>
          <t>Data Engineering</t>
        </is>
      </c>
      <c r="F108" s="11" t="inlineStr">
        <is>
          <t>Lead</t>
        </is>
      </c>
      <c r="G108" s="21" t="inlineStr">
        <is>
          <t>High</t>
        </is>
      </c>
      <c r="H108" s="23">
        <f>VLOOKUP(F108,'Internal Cost Model'!$B$6:$F$15,5,FALSE)</f>
        <v/>
      </c>
      <c r="I108" s="24">
        <f>H108*VLOOKUP(G108,Assumptions!$B$43:$C$45,2,FALSE)</f>
        <v/>
      </c>
      <c r="J108" s="25">
        <f>VLOOKUP(F108,Assumptions!$B$50:$D$59,2,FALSE)*VLOOKUP("SI-T1",Assumptions!$B$27:$C$31,2,FALSE)*VLOOKUP(G108,Assumptions!$B$43:$C$45,2,FALSE)</f>
        <v/>
      </c>
    </row>
    <row r="109">
      <c r="B109" s="7" t="inlineStr">
        <is>
          <t>RC-0104</t>
        </is>
      </c>
      <c r="C109" s="11" t="inlineStr">
        <is>
          <t>Data &amp; Analytics</t>
        </is>
      </c>
      <c r="D109" s="7" t="inlineStr">
        <is>
          <t>Senior Data Engineer</t>
        </is>
      </c>
      <c r="E109" s="11" t="inlineStr">
        <is>
          <t>Data Engineering</t>
        </is>
      </c>
      <c r="F109" s="11" t="inlineStr">
        <is>
          <t>Senior</t>
        </is>
      </c>
      <c r="G109" s="21" t="inlineStr">
        <is>
          <t>High</t>
        </is>
      </c>
      <c r="H109" s="23">
        <f>VLOOKUP(F109,'Internal Cost Model'!$B$6:$F$15,5,FALSE)</f>
        <v/>
      </c>
      <c r="I109" s="24">
        <f>H109*VLOOKUP(G109,Assumptions!$B$43:$C$45,2,FALSE)</f>
        <v/>
      </c>
      <c r="J109" s="25">
        <f>VLOOKUP(F109,Assumptions!$B$50:$D$59,2,FALSE)*VLOOKUP("SI-T1",Assumptions!$B$27:$C$31,2,FALSE)*VLOOKUP(G109,Assumptions!$B$43:$C$45,2,FALSE)</f>
        <v/>
      </c>
    </row>
    <row r="110">
      <c r="B110" s="7" t="inlineStr">
        <is>
          <t>RC-0105</t>
        </is>
      </c>
      <c r="C110" s="11" t="inlineStr">
        <is>
          <t>Data &amp; Analytics</t>
        </is>
      </c>
      <c r="D110" s="7" t="inlineStr">
        <is>
          <t>Data Engineer</t>
        </is>
      </c>
      <c r="E110" s="11" t="inlineStr">
        <is>
          <t>Data Engineering</t>
        </is>
      </c>
      <c r="F110" s="11" t="inlineStr">
        <is>
          <t>Senior</t>
        </is>
      </c>
      <c r="G110" s="21" t="inlineStr">
        <is>
          <t>High</t>
        </is>
      </c>
      <c r="H110" s="23">
        <f>VLOOKUP(F110,'Internal Cost Model'!$B$6:$F$15,5,FALSE)</f>
        <v/>
      </c>
      <c r="I110" s="24">
        <f>H110*VLOOKUP(G110,Assumptions!$B$43:$C$45,2,FALSE)</f>
        <v/>
      </c>
      <c r="J110" s="25">
        <f>VLOOKUP(F110,Assumptions!$B$50:$D$59,2,FALSE)*VLOOKUP("SI-T1",Assumptions!$B$27:$C$31,2,FALSE)*VLOOKUP(G110,Assumptions!$B$43:$C$45,2,FALSE)</f>
        <v/>
      </c>
    </row>
    <row r="111">
      <c r="B111" s="7" t="inlineStr">
        <is>
          <t>RC-0106</t>
        </is>
      </c>
      <c r="C111" s="11" t="inlineStr">
        <is>
          <t>Data &amp; Analytics</t>
        </is>
      </c>
      <c r="D111" s="7" t="inlineStr">
        <is>
          <t>Data Engineer</t>
        </is>
      </c>
      <c r="E111" s="11" t="inlineStr">
        <is>
          <t>Data Engineering</t>
        </is>
      </c>
      <c r="F111" s="11" t="inlineStr">
        <is>
          <t>Intermediate</t>
        </is>
      </c>
      <c r="G111" s="21" t="inlineStr">
        <is>
          <t>High</t>
        </is>
      </c>
      <c r="H111" s="23">
        <f>VLOOKUP(F111,'Internal Cost Model'!$B$6:$F$15,5,FALSE)</f>
        <v/>
      </c>
      <c r="I111" s="24">
        <f>H111*VLOOKUP(G111,Assumptions!$B$43:$C$45,2,FALSE)</f>
        <v/>
      </c>
      <c r="J111" s="25">
        <f>VLOOKUP(F111,Assumptions!$B$50:$D$59,2,FALSE)*VLOOKUP("SI-T1",Assumptions!$B$27:$C$31,2,FALSE)*VLOOKUP(G111,Assumptions!$B$43:$C$45,2,FALSE)</f>
        <v/>
      </c>
    </row>
    <row r="112">
      <c r="B112" s="7" t="inlineStr">
        <is>
          <t>RC-0107</t>
        </is>
      </c>
      <c r="C112" s="11" t="inlineStr">
        <is>
          <t>Data &amp; Analytics</t>
        </is>
      </c>
      <c r="D112" s="7" t="inlineStr">
        <is>
          <t>Informatica Developer</t>
        </is>
      </c>
      <c r="E112" s="11" t="inlineStr">
        <is>
          <t>Informatica</t>
        </is>
      </c>
      <c r="F112" s="11" t="inlineStr">
        <is>
          <t>Senior</t>
        </is>
      </c>
      <c r="G112" s="21" t="inlineStr">
        <is>
          <t>Medium</t>
        </is>
      </c>
      <c r="H112" s="23">
        <f>VLOOKUP(F112,'Internal Cost Model'!$B$6:$F$15,5,FALSE)</f>
        <v/>
      </c>
      <c r="I112" s="24">
        <f>H112*VLOOKUP(G112,Assumptions!$B$43:$C$45,2,FALSE)</f>
        <v/>
      </c>
      <c r="J112" s="25">
        <f>VLOOKUP(F112,Assumptions!$B$50:$D$59,2,FALSE)*VLOOKUP("SI-T1",Assumptions!$B$27:$C$31,2,FALSE)*VLOOKUP(G112,Assumptions!$B$43:$C$45,2,FALSE)</f>
        <v/>
      </c>
    </row>
    <row r="113">
      <c r="B113" s="7" t="inlineStr">
        <is>
          <t>RC-0108</t>
        </is>
      </c>
      <c r="C113" s="11" t="inlineStr">
        <is>
          <t>Data &amp; Analytics</t>
        </is>
      </c>
      <c r="D113" s="7" t="inlineStr">
        <is>
          <t>Informatica Developer</t>
        </is>
      </c>
      <c r="E113" s="11" t="inlineStr">
        <is>
          <t>Informatica</t>
        </is>
      </c>
      <c r="F113" s="11" t="inlineStr">
        <is>
          <t>Intermediate</t>
        </is>
      </c>
      <c r="G113" s="21" t="inlineStr">
        <is>
          <t>Medium</t>
        </is>
      </c>
      <c r="H113" s="23">
        <f>VLOOKUP(F113,'Internal Cost Model'!$B$6:$F$15,5,FALSE)</f>
        <v/>
      </c>
      <c r="I113" s="24">
        <f>H113*VLOOKUP(G113,Assumptions!$B$43:$C$45,2,FALSE)</f>
        <v/>
      </c>
      <c r="J113" s="25">
        <f>VLOOKUP(F113,Assumptions!$B$50:$D$59,2,FALSE)*VLOOKUP("SI-T1",Assumptions!$B$27:$C$31,2,FALSE)*VLOOKUP(G113,Assumptions!$B$43:$C$45,2,FALSE)</f>
        <v/>
      </c>
    </row>
    <row r="114">
      <c r="B114" s="7" t="inlineStr">
        <is>
          <t>RC-0109</t>
        </is>
      </c>
      <c r="C114" s="11" t="inlineStr">
        <is>
          <t>Data &amp; Analytics</t>
        </is>
      </c>
      <c r="D114" s="7" t="inlineStr">
        <is>
          <t>Collibra Consultant</t>
        </is>
      </c>
      <c r="E114" s="11" t="inlineStr">
        <is>
          <t>Collibra</t>
        </is>
      </c>
      <c r="F114" s="11" t="inlineStr">
        <is>
          <t>Manager</t>
        </is>
      </c>
      <c r="G114" s="21" t="inlineStr">
        <is>
          <t>Medium</t>
        </is>
      </c>
      <c r="H114" s="23">
        <f>VLOOKUP(F114,'Internal Cost Model'!$B$6:$F$15,5,FALSE)</f>
        <v/>
      </c>
      <c r="I114" s="24">
        <f>H114*VLOOKUP(G114,Assumptions!$B$43:$C$45,2,FALSE)</f>
        <v/>
      </c>
      <c r="J114" s="25">
        <f>VLOOKUP(F114,Assumptions!$B$50:$D$59,2,FALSE)*VLOOKUP("SI-T1",Assumptions!$B$27:$C$31,2,FALSE)*VLOOKUP(G114,Assumptions!$B$43:$C$45,2,FALSE)</f>
        <v/>
      </c>
    </row>
    <row r="115">
      <c r="B115" s="7" t="inlineStr">
        <is>
          <t>RC-0110</t>
        </is>
      </c>
      <c r="C115" s="11" t="inlineStr">
        <is>
          <t>Data &amp; Analytics</t>
        </is>
      </c>
      <c r="D115" s="7" t="inlineStr">
        <is>
          <t>Collibra Consultant</t>
        </is>
      </c>
      <c r="E115" s="11" t="inlineStr">
        <is>
          <t>Collibra</t>
        </is>
      </c>
      <c r="F115" s="11" t="inlineStr">
        <is>
          <t>Lead</t>
        </is>
      </c>
      <c r="G115" s="21" t="inlineStr">
        <is>
          <t>Medium</t>
        </is>
      </c>
      <c r="H115" s="23">
        <f>VLOOKUP(F115,'Internal Cost Model'!$B$6:$F$15,5,FALSE)</f>
        <v/>
      </c>
      <c r="I115" s="24">
        <f>H115*VLOOKUP(G115,Assumptions!$B$43:$C$45,2,FALSE)</f>
        <v/>
      </c>
      <c r="J115" s="25">
        <f>VLOOKUP(F115,Assumptions!$B$50:$D$59,2,FALSE)*VLOOKUP("SI-T1",Assumptions!$B$27:$C$31,2,FALSE)*VLOOKUP(G115,Assumptions!$B$43:$C$45,2,FALSE)</f>
        <v/>
      </c>
    </row>
    <row r="116">
      <c r="B116" s="7" t="inlineStr">
        <is>
          <t>RC-0111</t>
        </is>
      </c>
      <c r="C116" s="11" t="inlineStr">
        <is>
          <t>Data &amp; Analytics</t>
        </is>
      </c>
      <c r="D116" s="7" t="inlineStr">
        <is>
          <t>Collibra Consultant</t>
        </is>
      </c>
      <c r="E116" s="11" t="inlineStr">
        <is>
          <t>Collibra</t>
        </is>
      </c>
      <c r="F116" s="11" t="inlineStr">
        <is>
          <t>Senior</t>
        </is>
      </c>
      <c r="G116" s="21" t="inlineStr">
        <is>
          <t>Medium</t>
        </is>
      </c>
      <c r="H116" s="23">
        <f>VLOOKUP(F116,'Internal Cost Model'!$B$6:$F$15,5,FALSE)</f>
        <v/>
      </c>
      <c r="I116" s="24">
        <f>H116*VLOOKUP(G116,Assumptions!$B$43:$C$45,2,FALSE)</f>
        <v/>
      </c>
      <c r="J116" s="25">
        <f>VLOOKUP(F116,Assumptions!$B$50:$D$59,2,FALSE)*VLOOKUP("SI-T1",Assumptions!$B$27:$C$31,2,FALSE)*VLOOKUP(G116,Assumptions!$B$43:$C$45,2,FALSE)</f>
        <v/>
      </c>
    </row>
    <row r="117">
      <c r="B117" s="7" t="inlineStr">
        <is>
          <t>RC-0112</t>
        </is>
      </c>
      <c r="C117" s="11" t="inlineStr">
        <is>
          <t>Data &amp; Analytics</t>
        </is>
      </c>
      <c r="D117" s="7" t="inlineStr">
        <is>
          <t>BI Architect</t>
        </is>
      </c>
      <c r="E117" s="11" t="inlineStr">
        <is>
          <t>Business Intelligence</t>
        </is>
      </c>
      <c r="F117" s="11" t="inlineStr">
        <is>
          <t>Director</t>
        </is>
      </c>
      <c r="G117" s="21" t="inlineStr">
        <is>
          <t>Medium</t>
        </is>
      </c>
      <c r="H117" s="23">
        <f>VLOOKUP(F117,'Internal Cost Model'!$B$6:$F$15,5,FALSE)</f>
        <v/>
      </c>
      <c r="I117" s="24">
        <f>H117*VLOOKUP(G117,Assumptions!$B$43:$C$45,2,FALSE)</f>
        <v/>
      </c>
      <c r="J117" s="25">
        <f>VLOOKUP(F117,Assumptions!$B$50:$D$59,2,FALSE)*VLOOKUP("SI-T1",Assumptions!$B$27:$C$31,2,FALSE)*VLOOKUP(G117,Assumptions!$B$43:$C$45,2,FALSE)</f>
        <v/>
      </c>
    </row>
    <row r="118">
      <c r="B118" s="7" t="inlineStr">
        <is>
          <t>RC-0113</t>
        </is>
      </c>
      <c r="C118" s="11" t="inlineStr">
        <is>
          <t>Data &amp; Analytics</t>
        </is>
      </c>
      <c r="D118" s="7" t="inlineStr">
        <is>
          <t>BI Architect</t>
        </is>
      </c>
      <c r="E118" s="11" t="inlineStr">
        <is>
          <t>Business Intelligence</t>
        </is>
      </c>
      <c r="F118" s="11" t="inlineStr">
        <is>
          <t>Senior Manager</t>
        </is>
      </c>
      <c r="G118" s="21" t="inlineStr">
        <is>
          <t>Medium</t>
        </is>
      </c>
      <c r="H118" s="23">
        <f>VLOOKUP(F118,'Internal Cost Model'!$B$6:$F$15,5,FALSE)</f>
        <v/>
      </c>
      <c r="I118" s="24">
        <f>H118*VLOOKUP(G118,Assumptions!$B$43:$C$45,2,FALSE)</f>
        <v/>
      </c>
      <c r="J118" s="25">
        <f>VLOOKUP(F118,Assumptions!$B$50:$D$59,2,FALSE)*VLOOKUP("SI-T1",Assumptions!$B$27:$C$31,2,FALSE)*VLOOKUP(G118,Assumptions!$B$43:$C$45,2,FALSE)</f>
        <v/>
      </c>
    </row>
    <row r="119">
      <c r="B119" s="7" t="inlineStr">
        <is>
          <t>RC-0114</t>
        </is>
      </c>
      <c r="C119" s="11" t="inlineStr">
        <is>
          <t>Data &amp; Analytics</t>
        </is>
      </c>
      <c r="D119" s="7" t="inlineStr">
        <is>
          <t>BI Architect</t>
        </is>
      </c>
      <c r="E119" s="11" t="inlineStr">
        <is>
          <t>Business Intelligence</t>
        </is>
      </c>
      <c r="F119" s="11" t="inlineStr">
        <is>
          <t>Manager</t>
        </is>
      </c>
      <c r="G119" s="21" t="inlineStr">
        <is>
          <t>Medium</t>
        </is>
      </c>
      <c r="H119" s="23">
        <f>VLOOKUP(F119,'Internal Cost Model'!$B$6:$F$15,5,FALSE)</f>
        <v/>
      </c>
      <c r="I119" s="24">
        <f>H119*VLOOKUP(G119,Assumptions!$B$43:$C$45,2,FALSE)</f>
        <v/>
      </c>
      <c r="J119" s="25">
        <f>VLOOKUP(F119,Assumptions!$B$50:$D$59,2,FALSE)*VLOOKUP("SI-T1",Assumptions!$B$27:$C$31,2,FALSE)*VLOOKUP(G119,Assumptions!$B$43:$C$45,2,FALSE)</f>
        <v/>
      </c>
    </row>
    <row r="120">
      <c r="B120" s="7" t="inlineStr">
        <is>
          <t>RC-0115</t>
        </is>
      </c>
      <c r="C120" s="11" t="inlineStr">
        <is>
          <t>Data &amp; Analytics</t>
        </is>
      </c>
      <c r="D120" s="7" t="inlineStr">
        <is>
          <t>BI Architect</t>
        </is>
      </c>
      <c r="E120" s="11" t="inlineStr">
        <is>
          <t>Business Intelligence</t>
        </is>
      </c>
      <c r="F120" s="11" t="inlineStr">
        <is>
          <t>Lead</t>
        </is>
      </c>
      <c r="G120" s="21" t="inlineStr">
        <is>
          <t>Medium</t>
        </is>
      </c>
      <c r="H120" s="23">
        <f>VLOOKUP(F120,'Internal Cost Model'!$B$6:$F$15,5,FALSE)</f>
        <v/>
      </c>
      <c r="I120" s="24">
        <f>H120*VLOOKUP(G120,Assumptions!$B$43:$C$45,2,FALSE)</f>
        <v/>
      </c>
      <c r="J120" s="25">
        <f>VLOOKUP(F120,Assumptions!$B$50:$D$59,2,FALSE)*VLOOKUP("SI-T1",Assumptions!$B$27:$C$31,2,FALSE)*VLOOKUP(G120,Assumptions!$B$43:$C$45,2,FALSE)</f>
        <v/>
      </c>
    </row>
    <row r="121">
      <c r="B121" s="7" t="inlineStr">
        <is>
          <t>RC-0116</t>
        </is>
      </c>
      <c r="C121" s="11" t="inlineStr">
        <is>
          <t>Data &amp; Analytics</t>
        </is>
      </c>
      <c r="D121" s="7" t="inlineStr">
        <is>
          <t>BI Developer</t>
        </is>
      </c>
      <c r="E121" s="11" t="inlineStr">
        <is>
          <t>Business Intelligence</t>
        </is>
      </c>
      <c r="F121" s="11" t="inlineStr">
        <is>
          <t>Senior</t>
        </is>
      </c>
      <c r="G121" s="21" t="inlineStr">
        <is>
          <t>Medium</t>
        </is>
      </c>
      <c r="H121" s="23">
        <f>VLOOKUP(F121,'Internal Cost Model'!$B$6:$F$15,5,FALSE)</f>
        <v/>
      </c>
      <c r="I121" s="24">
        <f>H121*VLOOKUP(G121,Assumptions!$B$43:$C$45,2,FALSE)</f>
        <v/>
      </c>
      <c r="J121" s="25">
        <f>VLOOKUP(F121,Assumptions!$B$50:$D$59,2,FALSE)*VLOOKUP("SI-T1",Assumptions!$B$27:$C$31,2,FALSE)*VLOOKUP(G121,Assumptions!$B$43:$C$45,2,FALSE)</f>
        <v/>
      </c>
    </row>
    <row r="122">
      <c r="B122" s="7" t="inlineStr">
        <is>
          <t>RC-0117</t>
        </is>
      </c>
      <c r="C122" s="11" t="inlineStr">
        <is>
          <t>Data &amp; Analytics</t>
        </is>
      </c>
      <c r="D122" s="7" t="inlineStr">
        <is>
          <t>BI Developer</t>
        </is>
      </c>
      <c r="E122" s="11" t="inlineStr">
        <is>
          <t>Business Intelligence</t>
        </is>
      </c>
      <c r="F122" s="11" t="inlineStr">
        <is>
          <t>Intermediate</t>
        </is>
      </c>
      <c r="G122" s="21" t="inlineStr">
        <is>
          <t>Medium</t>
        </is>
      </c>
      <c r="H122" s="23">
        <f>VLOOKUP(F122,'Internal Cost Model'!$B$6:$F$15,5,FALSE)</f>
        <v/>
      </c>
      <c r="I122" s="24">
        <f>H122*VLOOKUP(G122,Assumptions!$B$43:$C$45,2,FALSE)</f>
        <v/>
      </c>
      <c r="J122" s="25">
        <f>VLOOKUP(F122,Assumptions!$B$50:$D$59,2,FALSE)*VLOOKUP("SI-T1",Assumptions!$B$27:$C$31,2,FALSE)*VLOOKUP(G122,Assumptions!$B$43:$C$45,2,FALSE)</f>
        <v/>
      </c>
    </row>
    <row r="123">
      <c r="B123" s="7" t="inlineStr">
        <is>
          <t>RC-0118</t>
        </is>
      </c>
      <c r="C123" s="11" t="inlineStr">
        <is>
          <t>Data &amp; Analytics</t>
        </is>
      </c>
      <c r="D123" s="7" t="inlineStr">
        <is>
          <t>Analytics Lead</t>
        </is>
      </c>
      <c r="E123" s="11" t="inlineStr">
        <is>
          <t>Advanced Analytics</t>
        </is>
      </c>
      <c r="F123" s="11" t="inlineStr">
        <is>
          <t>Senior Manager</t>
        </is>
      </c>
      <c r="G123" s="21" t="inlineStr">
        <is>
          <t>High</t>
        </is>
      </c>
      <c r="H123" s="23">
        <f>VLOOKUP(F123,'Internal Cost Model'!$B$6:$F$15,5,FALSE)</f>
        <v/>
      </c>
      <c r="I123" s="24">
        <f>H123*VLOOKUP(G123,Assumptions!$B$43:$C$45,2,FALSE)</f>
        <v/>
      </c>
      <c r="J123" s="25">
        <f>VLOOKUP(F123,Assumptions!$B$50:$D$59,2,FALSE)*VLOOKUP("SI-T1",Assumptions!$B$27:$C$31,2,FALSE)*VLOOKUP(G123,Assumptions!$B$43:$C$45,2,FALSE)</f>
        <v/>
      </c>
    </row>
    <row r="124">
      <c r="B124" s="7" t="inlineStr">
        <is>
          <t>RC-0119</t>
        </is>
      </c>
      <c r="C124" s="11" t="inlineStr">
        <is>
          <t>Data &amp; Analytics</t>
        </is>
      </c>
      <c r="D124" s="7" t="inlineStr">
        <is>
          <t>Analytics Lead</t>
        </is>
      </c>
      <c r="E124" s="11" t="inlineStr">
        <is>
          <t>Advanced Analytics</t>
        </is>
      </c>
      <c r="F124" s="11" t="inlineStr">
        <is>
          <t>Manager</t>
        </is>
      </c>
      <c r="G124" s="21" t="inlineStr">
        <is>
          <t>High</t>
        </is>
      </c>
      <c r="H124" s="23">
        <f>VLOOKUP(F124,'Internal Cost Model'!$B$6:$F$15,5,FALSE)</f>
        <v/>
      </c>
      <c r="I124" s="24">
        <f>H124*VLOOKUP(G124,Assumptions!$B$43:$C$45,2,FALSE)</f>
        <v/>
      </c>
      <c r="J124" s="25">
        <f>VLOOKUP(F124,Assumptions!$B$50:$D$59,2,FALSE)*VLOOKUP("SI-T1",Assumptions!$B$27:$C$31,2,FALSE)*VLOOKUP(G124,Assumptions!$B$43:$C$45,2,FALSE)</f>
        <v/>
      </c>
    </row>
    <row r="125">
      <c r="B125" s="7" t="inlineStr">
        <is>
          <t>RC-0120</t>
        </is>
      </c>
      <c r="C125" s="11" t="inlineStr">
        <is>
          <t>Data &amp; Analytics</t>
        </is>
      </c>
      <c r="D125" s="7" t="inlineStr">
        <is>
          <t>Analytics Lead</t>
        </is>
      </c>
      <c r="E125" s="11" t="inlineStr">
        <is>
          <t>Advanced Analytics</t>
        </is>
      </c>
      <c r="F125" s="11" t="inlineStr">
        <is>
          <t>Lead</t>
        </is>
      </c>
      <c r="G125" s="21" t="inlineStr">
        <is>
          <t>High</t>
        </is>
      </c>
      <c r="H125" s="23">
        <f>VLOOKUP(F125,'Internal Cost Model'!$B$6:$F$15,5,FALSE)</f>
        <v/>
      </c>
      <c r="I125" s="24">
        <f>H125*VLOOKUP(G125,Assumptions!$B$43:$C$45,2,FALSE)</f>
        <v/>
      </c>
      <c r="J125" s="25">
        <f>VLOOKUP(F125,Assumptions!$B$50:$D$59,2,FALSE)*VLOOKUP("SI-T1",Assumptions!$B$27:$C$31,2,FALSE)*VLOOKUP(G125,Assumptions!$B$43:$C$45,2,FALSE)</f>
        <v/>
      </c>
    </row>
    <row r="126">
      <c r="B126" s="7" t="inlineStr">
        <is>
          <t>RC-0121</t>
        </is>
      </c>
      <c r="C126" s="11" t="inlineStr">
        <is>
          <t>Data &amp; Analytics</t>
        </is>
      </c>
      <c r="D126" s="7" t="inlineStr">
        <is>
          <t>Analytics Consultant</t>
        </is>
      </c>
      <c r="E126" s="11" t="inlineStr">
        <is>
          <t>Advanced Analytics</t>
        </is>
      </c>
      <c r="F126" s="11" t="inlineStr">
        <is>
          <t>Senior</t>
        </is>
      </c>
      <c r="G126" s="21" t="inlineStr">
        <is>
          <t>Medium</t>
        </is>
      </c>
      <c r="H126" s="23">
        <f>VLOOKUP(F126,'Internal Cost Model'!$B$6:$F$15,5,FALSE)</f>
        <v/>
      </c>
      <c r="I126" s="24">
        <f>H126*VLOOKUP(G126,Assumptions!$B$43:$C$45,2,FALSE)</f>
        <v/>
      </c>
      <c r="J126" s="25">
        <f>VLOOKUP(F126,Assumptions!$B$50:$D$59,2,FALSE)*VLOOKUP("SI-T1",Assumptions!$B$27:$C$31,2,FALSE)*VLOOKUP(G126,Assumptions!$B$43:$C$45,2,FALSE)</f>
        <v/>
      </c>
    </row>
    <row r="127">
      <c r="B127" s="7" t="inlineStr">
        <is>
          <t>RC-0122</t>
        </is>
      </c>
      <c r="C127" s="11" t="inlineStr">
        <is>
          <t>Data &amp; Analytics</t>
        </is>
      </c>
      <c r="D127" s="7" t="inlineStr">
        <is>
          <t>Analytics Consultant</t>
        </is>
      </c>
      <c r="E127" s="11" t="inlineStr">
        <is>
          <t>Advanced Analytics</t>
        </is>
      </c>
      <c r="F127" s="11" t="inlineStr">
        <is>
          <t>Intermediate</t>
        </is>
      </c>
      <c r="G127" s="21" t="inlineStr">
        <is>
          <t>Medium</t>
        </is>
      </c>
      <c r="H127" s="23">
        <f>VLOOKUP(F127,'Internal Cost Model'!$B$6:$F$15,5,FALSE)</f>
        <v/>
      </c>
      <c r="I127" s="24">
        <f>H127*VLOOKUP(G127,Assumptions!$B$43:$C$45,2,FALSE)</f>
        <v/>
      </c>
      <c r="J127" s="25">
        <f>VLOOKUP(F127,Assumptions!$B$50:$D$59,2,FALSE)*VLOOKUP("SI-T1",Assumptions!$B$27:$C$31,2,FALSE)*VLOOKUP(G127,Assumptions!$B$43:$C$45,2,FALSE)</f>
        <v/>
      </c>
    </row>
    <row r="128">
      <c r="B128" s="7" t="inlineStr">
        <is>
          <t>RC-0123</t>
        </is>
      </c>
      <c r="C128" s="11" t="inlineStr">
        <is>
          <t>Data &amp; Analytics</t>
        </is>
      </c>
      <c r="D128" s="7" t="inlineStr">
        <is>
          <t>Reporting Analyst</t>
        </is>
      </c>
      <c r="E128" s="11" t="inlineStr">
        <is>
          <t>Reporting</t>
        </is>
      </c>
      <c r="F128" s="11" t="inlineStr">
        <is>
          <t>Intermediate</t>
        </is>
      </c>
      <c r="G128" s="21" t="inlineStr">
        <is>
          <t>Low</t>
        </is>
      </c>
      <c r="H128" s="23">
        <f>VLOOKUP(F128,'Internal Cost Model'!$B$6:$F$15,5,FALSE)</f>
        <v/>
      </c>
      <c r="I128" s="24">
        <f>H128*VLOOKUP(G128,Assumptions!$B$43:$C$45,2,FALSE)</f>
        <v/>
      </c>
      <c r="J128" s="25">
        <f>VLOOKUP(F128,Assumptions!$B$50:$D$59,2,FALSE)*VLOOKUP("SI-T1",Assumptions!$B$27:$C$31,2,FALSE)*VLOOKUP(G128,Assumptions!$B$43:$C$45,2,FALSE)</f>
        <v/>
      </c>
    </row>
    <row r="129">
      <c r="B129" s="7" t="inlineStr">
        <is>
          <t>RC-0124</t>
        </is>
      </c>
      <c r="C129" s="11" t="inlineStr">
        <is>
          <t>Data &amp; Analytics</t>
        </is>
      </c>
      <c r="D129" s="7" t="inlineStr">
        <is>
          <t>Reporting Analyst</t>
        </is>
      </c>
      <c r="E129" s="11" t="inlineStr">
        <is>
          <t>Reporting</t>
        </is>
      </c>
      <c r="F129" s="11" t="inlineStr">
        <is>
          <t>Junior</t>
        </is>
      </c>
      <c r="G129" s="21" t="inlineStr">
        <is>
          <t>Low</t>
        </is>
      </c>
      <c r="H129" s="23">
        <f>VLOOKUP(F129,'Internal Cost Model'!$B$6:$F$15,5,FALSE)</f>
        <v/>
      </c>
      <c r="I129" s="24">
        <f>H129*VLOOKUP(G129,Assumptions!$B$43:$C$45,2,FALSE)</f>
        <v/>
      </c>
      <c r="J129" s="25">
        <f>VLOOKUP(F129,Assumptions!$B$50:$D$59,2,FALSE)*VLOOKUP("SI-T1",Assumptions!$B$27:$C$31,2,FALSE)*VLOOKUP(G129,Assumptions!$B$43:$C$45,2,FALSE)</f>
        <v/>
      </c>
    </row>
    <row r="130">
      <c r="B130" s="7" t="inlineStr">
        <is>
          <t>RC-0125</t>
        </is>
      </c>
      <c r="C130" s="11" t="inlineStr">
        <is>
          <t>AI &amp; GenAI</t>
        </is>
      </c>
      <c r="D130" s="7" t="inlineStr">
        <is>
          <t>Chief AI Officer (Advisory)</t>
        </is>
      </c>
      <c r="E130" s="11" t="inlineStr">
        <is>
          <t>AI Governance</t>
        </is>
      </c>
      <c r="F130" s="11" t="inlineStr">
        <is>
          <t>Partner</t>
        </is>
      </c>
      <c r="G130" s="21" t="inlineStr">
        <is>
          <t>High</t>
        </is>
      </c>
      <c r="H130" s="23">
        <f>VLOOKUP(F130,'Internal Cost Model'!$B$6:$F$15,5,FALSE)</f>
        <v/>
      </c>
      <c r="I130" s="24">
        <f>H130*VLOOKUP(G130,Assumptions!$B$43:$C$45,2,FALSE)</f>
        <v/>
      </c>
      <c r="J130" s="25">
        <f>VLOOKUP(F130,Assumptions!$B$50:$D$59,2,FALSE)*VLOOKUP("SI-T1",Assumptions!$B$27:$C$31,2,FALSE)*VLOOKUP(G130,Assumptions!$B$43:$C$45,2,FALSE)</f>
        <v/>
      </c>
    </row>
    <row r="131">
      <c r="B131" s="7" t="inlineStr">
        <is>
          <t>RC-0126</t>
        </is>
      </c>
      <c r="C131" s="11" t="inlineStr">
        <is>
          <t>AI &amp; GenAI</t>
        </is>
      </c>
      <c r="D131" s="7" t="inlineStr">
        <is>
          <t>Chief AI Officer (Advisory)</t>
        </is>
      </c>
      <c r="E131" s="11" t="inlineStr">
        <is>
          <t>AI Governance</t>
        </is>
      </c>
      <c r="F131" s="11" t="inlineStr">
        <is>
          <t>Managing Director</t>
        </is>
      </c>
      <c r="G131" s="21" t="inlineStr">
        <is>
          <t>High</t>
        </is>
      </c>
      <c r="H131" s="23">
        <f>VLOOKUP(F131,'Internal Cost Model'!$B$6:$F$15,5,FALSE)</f>
        <v/>
      </c>
      <c r="I131" s="24">
        <f>H131*VLOOKUP(G131,Assumptions!$B$43:$C$45,2,FALSE)</f>
        <v/>
      </c>
      <c r="J131" s="25">
        <f>VLOOKUP(F131,Assumptions!$B$50:$D$59,2,FALSE)*VLOOKUP("SI-T1",Assumptions!$B$27:$C$31,2,FALSE)*VLOOKUP(G131,Assumptions!$B$43:$C$45,2,FALSE)</f>
        <v/>
      </c>
    </row>
    <row r="132">
      <c r="B132" s="7" t="inlineStr">
        <is>
          <t>RC-0127</t>
        </is>
      </c>
      <c r="C132" s="11" t="inlineStr">
        <is>
          <t>AI &amp; GenAI</t>
        </is>
      </c>
      <c r="D132" s="7" t="inlineStr">
        <is>
          <t>Chief AI Architect</t>
        </is>
      </c>
      <c r="E132" s="11" t="inlineStr">
        <is>
          <t>Agentic AI</t>
        </is>
      </c>
      <c r="F132" s="11" t="inlineStr">
        <is>
          <t>Principal</t>
        </is>
      </c>
      <c r="G132" s="21" t="inlineStr">
        <is>
          <t>High</t>
        </is>
      </c>
      <c r="H132" s="23">
        <f>VLOOKUP(F132,'Internal Cost Model'!$B$6:$F$15,5,FALSE)</f>
        <v/>
      </c>
      <c r="I132" s="24">
        <f>H132*VLOOKUP(G132,Assumptions!$B$43:$C$45,2,FALSE)</f>
        <v/>
      </c>
      <c r="J132" s="25">
        <f>VLOOKUP(F132,Assumptions!$B$50:$D$59,2,FALSE)*VLOOKUP("SI-T1",Assumptions!$B$27:$C$31,2,FALSE)*VLOOKUP(G132,Assumptions!$B$43:$C$45,2,FALSE)</f>
        <v/>
      </c>
    </row>
    <row r="133">
      <c r="B133" s="7" t="inlineStr">
        <is>
          <t>RC-0128</t>
        </is>
      </c>
      <c r="C133" s="11" t="inlineStr">
        <is>
          <t>AI &amp; GenAI</t>
        </is>
      </c>
      <c r="D133" s="7" t="inlineStr">
        <is>
          <t>Chief AI Architect</t>
        </is>
      </c>
      <c r="E133" s="11" t="inlineStr">
        <is>
          <t>Agentic AI</t>
        </is>
      </c>
      <c r="F133" s="11" t="inlineStr">
        <is>
          <t>Director</t>
        </is>
      </c>
      <c r="G133" s="21" t="inlineStr">
        <is>
          <t>High</t>
        </is>
      </c>
      <c r="H133" s="23">
        <f>VLOOKUP(F133,'Internal Cost Model'!$B$6:$F$15,5,FALSE)</f>
        <v/>
      </c>
      <c r="I133" s="24">
        <f>H133*VLOOKUP(G133,Assumptions!$B$43:$C$45,2,FALSE)</f>
        <v/>
      </c>
      <c r="J133" s="25">
        <f>VLOOKUP(F133,Assumptions!$B$50:$D$59,2,FALSE)*VLOOKUP("SI-T1",Assumptions!$B$27:$C$31,2,FALSE)*VLOOKUP(G133,Assumptions!$B$43:$C$45,2,FALSE)</f>
        <v/>
      </c>
    </row>
    <row r="134">
      <c r="B134" s="7" t="inlineStr">
        <is>
          <t>RC-0129</t>
        </is>
      </c>
      <c r="C134" s="11" t="inlineStr">
        <is>
          <t>AI &amp; GenAI</t>
        </is>
      </c>
      <c r="D134" s="7" t="inlineStr">
        <is>
          <t>AI Strategist</t>
        </is>
      </c>
      <c r="E134" s="11" t="inlineStr">
        <is>
          <t>Generative AI</t>
        </is>
      </c>
      <c r="F134" s="11" t="inlineStr">
        <is>
          <t>Director</t>
        </is>
      </c>
      <c r="G134" s="21" t="inlineStr">
        <is>
          <t>High</t>
        </is>
      </c>
      <c r="H134" s="23">
        <f>VLOOKUP(F134,'Internal Cost Model'!$B$6:$F$15,5,FALSE)</f>
        <v/>
      </c>
      <c r="I134" s="24">
        <f>H134*VLOOKUP(G134,Assumptions!$B$43:$C$45,2,FALSE)</f>
        <v/>
      </c>
      <c r="J134" s="25">
        <f>VLOOKUP(F134,Assumptions!$B$50:$D$59,2,FALSE)*VLOOKUP("SI-T1",Assumptions!$B$27:$C$31,2,FALSE)*VLOOKUP(G134,Assumptions!$B$43:$C$45,2,FALSE)</f>
        <v/>
      </c>
    </row>
    <row r="135">
      <c r="B135" s="7" t="inlineStr">
        <is>
          <t>RC-0130</t>
        </is>
      </c>
      <c r="C135" s="11" t="inlineStr">
        <is>
          <t>AI &amp; GenAI</t>
        </is>
      </c>
      <c r="D135" s="7" t="inlineStr">
        <is>
          <t>AI Strategist</t>
        </is>
      </c>
      <c r="E135" s="11" t="inlineStr">
        <is>
          <t>Generative AI</t>
        </is>
      </c>
      <c r="F135" s="11" t="inlineStr">
        <is>
          <t>Senior Manager</t>
        </is>
      </c>
      <c r="G135" s="21" t="inlineStr">
        <is>
          <t>High</t>
        </is>
      </c>
      <c r="H135" s="23">
        <f>VLOOKUP(F135,'Internal Cost Model'!$B$6:$F$15,5,FALSE)</f>
        <v/>
      </c>
      <c r="I135" s="24">
        <f>H135*VLOOKUP(G135,Assumptions!$B$43:$C$45,2,FALSE)</f>
        <v/>
      </c>
      <c r="J135" s="25">
        <f>VLOOKUP(F135,Assumptions!$B$50:$D$59,2,FALSE)*VLOOKUP("SI-T1",Assumptions!$B$27:$C$31,2,FALSE)*VLOOKUP(G135,Assumptions!$B$43:$C$45,2,FALSE)</f>
        <v/>
      </c>
    </row>
    <row r="136">
      <c r="B136" s="7" t="inlineStr">
        <is>
          <t>RC-0131</t>
        </is>
      </c>
      <c r="C136" s="11" t="inlineStr">
        <is>
          <t>AI &amp; GenAI</t>
        </is>
      </c>
      <c r="D136" s="7" t="inlineStr">
        <is>
          <t>AI Strategist</t>
        </is>
      </c>
      <c r="E136" s="11" t="inlineStr">
        <is>
          <t>Generative AI</t>
        </is>
      </c>
      <c r="F136" s="11" t="inlineStr">
        <is>
          <t>Manager</t>
        </is>
      </c>
      <c r="G136" s="21" t="inlineStr">
        <is>
          <t>High</t>
        </is>
      </c>
      <c r="H136" s="23">
        <f>VLOOKUP(F136,'Internal Cost Model'!$B$6:$F$15,5,FALSE)</f>
        <v/>
      </c>
      <c r="I136" s="24">
        <f>H136*VLOOKUP(G136,Assumptions!$B$43:$C$45,2,FALSE)</f>
        <v/>
      </c>
      <c r="J136" s="25">
        <f>VLOOKUP(F136,Assumptions!$B$50:$D$59,2,FALSE)*VLOOKUP("SI-T1",Assumptions!$B$27:$C$31,2,FALSE)*VLOOKUP(G136,Assumptions!$B$43:$C$45,2,FALSE)</f>
        <v/>
      </c>
    </row>
    <row r="137">
      <c r="B137" s="7" t="inlineStr">
        <is>
          <t>RC-0132</t>
        </is>
      </c>
      <c r="C137" s="11" t="inlineStr">
        <is>
          <t>AI &amp; GenAI</t>
        </is>
      </c>
      <c r="D137" s="7" t="inlineStr">
        <is>
          <t>AI Product Manager</t>
        </is>
      </c>
      <c r="E137" s="11" t="inlineStr">
        <is>
          <t>Generative AI</t>
        </is>
      </c>
      <c r="F137" s="11" t="inlineStr">
        <is>
          <t>Director</t>
        </is>
      </c>
      <c r="G137" s="21" t="inlineStr">
        <is>
          <t>High</t>
        </is>
      </c>
      <c r="H137" s="23">
        <f>VLOOKUP(F137,'Internal Cost Model'!$B$6:$F$15,5,FALSE)</f>
        <v/>
      </c>
      <c r="I137" s="24">
        <f>H137*VLOOKUP(G137,Assumptions!$B$43:$C$45,2,FALSE)</f>
        <v/>
      </c>
      <c r="J137" s="25">
        <f>VLOOKUP(F137,Assumptions!$B$50:$D$59,2,FALSE)*VLOOKUP("SI-T1",Assumptions!$B$27:$C$31,2,FALSE)*VLOOKUP(G137,Assumptions!$B$43:$C$45,2,FALSE)</f>
        <v/>
      </c>
    </row>
    <row r="138">
      <c r="B138" s="7" t="inlineStr">
        <is>
          <t>RC-0133</t>
        </is>
      </c>
      <c r="C138" s="11" t="inlineStr">
        <is>
          <t>AI &amp; GenAI</t>
        </is>
      </c>
      <c r="D138" s="7" t="inlineStr">
        <is>
          <t>AI Product Manager</t>
        </is>
      </c>
      <c r="E138" s="11" t="inlineStr">
        <is>
          <t>Generative AI</t>
        </is>
      </c>
      <c r="F138" s="11" t="inlineStr">
        <is>
          <t>Senior Manager</t>
        </is>
      </c>
      <c r="G138" s="21" t="inlineStr">
        <is>
          <t>High</t>
        </is>
      </c>
      <c r="H138" s="23">
        <f>VLOOKUP(F138,'Internal Cost Model'!$B$6:$F$15,5,FALSE)</f>
        <v/>
      </c>
      <c r="I138" s="24">
        <f>H138*VLOOKUP(G138,Assumptions!$B$43:$C$45,2,FALSE)</f>
        <v/>
      </c>
      <c r="J138" s="25">
        <f>VLOOKUP(F138,Assumptions!$B$50:$D$59,2,FALSE)*VLOOKUP("SI-T1",Assumptions!$B$27:$C$31,2,FALSE)*VLOOKUP(G138,Assumptions!$B$43:$C$45,2,FALSE)</f>
        <v/>
      </c>
    </row>
    <row r="139">
      <c r="B139" s="7" t="inlineStr">
        <is>
          <t>RC-0134</t>
        </is>
      </c>
      <c r="C139" s="11" t="inlineStr">
        <is>
          <t>AI &amp; GenAI</t>
        </is>
      </c>
      <c r="D139" s="7" t="inlineStr">
        <is>
          <t>AI Product Manager</t>
        </is>
      </c>
      <c r="E139" s="11" t="inlineStr">
        <is>
          <t>Generative AI</t>
        </is>
      </c>
      <c r="F139" s="11" t="inlineStr">
        <is>
          <t>Manager</t>
        </is>
      </c>
      <c r="G139" s="21" t="inlineStr">
        <is>
          <t>High</t>
        </is>
      </c>
      <c r="H139" s="23">
        <f>VLOOKUP(F139,'Internal Cost Model'!$B$6:$F$15,5,FALSE)</f>
        <v/>
      </c>
      <c r="I139" s="24">
        <f>H139*VLOOKUP(G139,Assumptions!$B$43:$C$45,2,FALSE)</f>
        <v/>
      </c>
      <c r="J139" s="25">
        <f>VLOOKUP(F139,Assumptions!$B$50:$D$59,2,FALSE)*VLOOKUP("SI-T1",Assumptions!$B$27:$C$31,2,FALSE)*VLOOKUP(G139,Assumptions!$B$43:$C$45,2,FALSE)</f>
        <v/>
      </c>
    </row>
    <row r="140">
      <c r="B140" s="7" t="inlineStr">
        <is>
          <t>RC-0135</t>
        </is>
      </c>
      <c r="C140" s="11" t="inlineStr">
        <is>
          <t>AI &amp; GenAI</t>
        </is>
      </c>
      <c r="D140" s="7" t="inlineStr">
        <is>
          <t>Agent Architect</t>
        </is>
      </c>
      <c r="E140" s="11" t="inlineStr">
        <is>
          <t>Agentic AI</t>
        </is>
      </c>
      <c r="F140" s="11" t="inlineStr">
        <is>
          <t>Director</t>
        </is>
      </c>
      <c r="G140" s="21" t="inlineStr">
        <is>
          <t>High</t>
        </is>
      </c>
      <c r="H140" s="23">
        <f>VLOOKUP(F140,'Internal Cost Model'!$B$6:$F$15,5,FALSE)</f>
        <v/>
      </c>
      <c r="I140" s="24">
        <f>H140*VLOOKUP(G140,Assumptions!$B$43:$C$45,2,FALSE)</f>
        <v/>
      </c>
      <c r="J140" s="25">
        <f>VLOOKUP(F140,Assumptions!$B$50:$D$59,2,FALSE)*VLOOKUP("SI-T1",Assumptions!$B$27:$C$31,2,FALSE)*VLOOKUP(G140,Assumptions!$B$43:$C$45,2,FALSE)</f>
        <v/>
      </c>
    </row>
    <row r="141">
      <c r="B141" s="7" t="inlineStr">
        <is>
          <t>RC-0136</t>
        </is>
      </c>
      <c r="C141" s="11" t="inlineStr">
        <is>
          <t>AI &amp; GenAI</t>
        </is>
      </c>
      <c r="D141" s="7" t="inlineStr">
        <is>
          <t>Agent Architect</t>
        </is>
      </c>
      <c r="E141" s="11" t="inlineStr">
        <is>
          <t>Agentic AI</t>
        </is>
      </c>
      <c r="F141" s="11" t="inlineStr">
        <is>
          <t>Senior Manager</t>
        </is>
      </c>
      <c r="G141" s="21" t="inlineStr">
        <is>
          <t>High</t>
        </is>
      </c>
      <c r="H141" s="23">
        <f>VLOOKUP(F141,'Internal Cost Model'!$B$6:$F$15,5,FALSE)</f>
        <v/>
      </c>
      <c r="I141" s="24">
        <f>H141*VLOOKUP(G141,Assumptions!$B$43:$C$45,2,FALSE)</f>
        <v/>
      </c>
      <c r="J141" s="25">
        <f>VLOOKUP(F141,Assumptions!$B$50:$D$59,2,FALSE)*VLOOKUP("SI-T1",Assumptions!$B$27:$C$31,2,FALSE)*VLOOKUP(G141,Assumptions!$B$43:$C$45,2,FALSE)</f>
        <v/>
      </c>
    </row>
    <row r="142">
      <c r="B142" s="7" t="inlineStr">
        <is>
          <t>RC-0137</t>
        </is>
      </c>
      <c r="C142" s="11" t="inlineStr">
        <is>
          <t>AI &amp; GenAI</t>
        </is>
      </c>
      <c r="D142" s="7" t="inlineStr">
        <is>
          <t>Agent Architect</t>
        </is>
      </c>
      <c r="E142" s="11" t="inlineStr">
        <is>
          <t>Agentic AI</t>
        </is>
      </c>
      <c r="F142" s="11" t="inlineStr">
        <is>
          <t>Manager</t>
        </is>
      </c>
      <c r="G142" s="21" t="inlineStr">
        <is>
          <t>High</t>
        </is>
      </c>
      <c r="H142" s="23">
        <f>VLOOKUP(F142,'Internal Cost Model'!$B$6:$F$15,5,FALSE)</f>
        <v/>
      </c>
      <c r="I142" s="24">
        <f>H142*VLOOKUP(G142,Assumptions!$B$43:$C$45,2,FALSE)</f>
        <v/>
      </c>
      <c r="J142" s="25">
        <f>VLOOKUP(F142,Assumptions!$B$50:$D$59,2,FALSE)*VLOOKUP("SI-T1",Assumptions!$B$27:$C$31,2,FALSE)*VLOOKUP(G142,Assumptions!$B$43:$C$45,2,FALSE)</f>
        <v/>
      </c>
    </row>
    <row r="143">
      <c r="B143" s="7" t="inlineStr">
        <is>
          <t>RC-0138</t>
        </is>
      </c>
      <c r="C143" s="11" t="inlineStr">
        <is>
          <t>AI &amp; GenAI</t>
        </is>
      </c>
      <c r="D143" s="7" t="inlineStr">
        <is>
          <t>Agent Architect</t>
        </is>
      </c>
      <c r="E143" s="11" t="inlineStr">
        <is>
          <t>Agentic AI</t>
        </is>
      </c>
      <c r="F143" s="11" t="inlineStr">
        <is>
          <t>Lead</t>
        </is>
      </c>
      <c r="G143" s="21" t="inlineStr">
        <is>
          <t>High</t>
        </is>
      </c>
      <c r="H143" s="23">
        <f>VLOOKUP(F143,'Internal Cost Model'!$B$6:$F$15,5,FALSE)</f>
        <v/>
      </c>
      <c r="I143" s="24">
        <f>H143*VLOOKUP(G143,Assumptions!$B$43:$C$45,2,FALSE)</f>
        <v/>
      </c>
      <c r="J143" s="25">
        <f>VLOOKUP(F143,Assumptions!$B$50:$D$59,2,FALSE)*VLOOKUP("SI-T1",Assumptions!$B$27:$C$31,2,FALSE)*VLOOKUP(G143,Assumptions!$B$43:$C$45,2,FALSE)</f>
        <v/>
      </c>
    </row>
    <row r="144">
      <c r="B144" s="7" t="inlineStr">
        <is>
          <t>RC-0139</t>
        </is>
      </c>
      <c r="C144" s="11" t="inlineStr">
        <is>
          <t>AI &amp; GenAI</t>
        </is>
      </c>
      <c r="D144" s="7" t="inlineStr">
        <is>
          <t>Forward Deployed Engineer</t>
        </is>
      </c>
      <c r="E144" s="11" t="inlineStr">
        <is>
          <t>Agentic AI</t>
        </is>
      </c>
      <c r="F144" s="11" t="inlineStr">
        <is>
          <t>Senior Manager</t>
        </is>
      </c>
      <c r="G144" s="21" t="inlineStr">
        <is>
          <t>High</t>
        </is>
      </c>
      <c r="H144" s="23">
        <f>VLOOKUP(F144,'Internal Cost Model'!$B$6:$F$15,5,FALSE)</f>
        <v/>
      </c>
      <c r="I144" s="24">
        <f>H144*VLOOKUP(G144,Assumptions!$B$43:$C$45,2,FALSE)</f>
        <v/>
      </c>
      <c r="J144" s="25">
        <f>VLOOKUP(F144,Assumptions!$B$50:$D$59,2,FALSE)*VLOOKUP("SI-T1",Assumptions!$B$27:$C$31,2,FALSE)*VLOOKUP(G144,Assumptions!$B$43:$C$45,2,FALSE)</f>
        <v/>
      </c>
    </row>
    <row r="145">
      <c r="B145" s="7" t="inlineStr">
        <is>
          <t>RC-0140</t>
        </is>
      </c>
      <c r="C145" s="11" t="inlineStr">
        <is>
          <t>AI &amp; GenAI</t>
        </is>
      </c>
      <c r="D145" s="7" t="inlineStr">
        <is>
          <t>Forward Deployed Engineer</t>
        </is>
      </c>
      <c r="E145" s="11" t="inlineStr">
        <is>
          <t>Agentic AI</t>
        </is>
      </c>
      <c r="F145" s="11" t="inlineStr">
        <is>
          <t>Manager</t>
        </is>
      </c>
      <c r="G145" s="21" t="inlineStr">
        <is>
          <t>High</t>
        </is>
      </c>
      <c r="H145" s="23">
        <f>VLOOKUP(F145,'Internal Cost Model'!$B$6:$F$15,5,FALSE)</f>
        <v/>
      </c>
      <c r="I145" s="24">
        <f>H145*VLOOKUP(G145,Assumptions!$B$43:$C$45,2,FALSE)</f>
        <v/>
      </c>
      <c r="J145" s="25">
        <f>VLOOKUP(F145,Assumptions!$B$50:$D$59,2,FALSE)*VLOOKUP("SI-T1",Assumptions!$B$27:$C$31,2,FALSE)*VLOOKUP(G145,Assumptions!$B$43:$C$45,2,FALSE)</f>
        <v/>
      </c>
    </row>
    <row r="146">
      <c r="B146" s="7" t="inlineStr">
        <is>
          <t>RC-0141</t>
        </is>
      </c>
      <c r="C146" s="11" t="inlineStr">
        <is>
          <t>AI &amp; GenAI</t>
        </is>
      </c>
      <c r="D146" s="7" t="inlineStr">
        <is>
          <t>Forward Deployed Engineer</t>
        </is>
      </c>
      <c r="E146" s="11" t="inlineStr">
        <is>
          <t>Agentic AI</t>
        </is>
      </c>
      <c r="F146" s="11" t="inlineStr">
        <is>
          <t>Lead</t>
        </is>
      </c>
      <c r="G146" s="21" t="inlineStr">
        <is>
          <t>High</t>
        </is>
      </c>
      <c r="H146" s="23">
        <f>VLOOKUP(F146,'Internal Cost Model'!$B$6:$F$15,5,FALSE)</f>
        <v/>
      </c>
      <c r="I146" s="24">
        <f>H146*VLOOKUP(G146,Assumptions!$B$43:$C$45,2,FALSE)</f>
        <v/>
      </c>
      <c r="J146" s="25">
        <f>VLOOKUP(F146,Assumptions!$B$50:$D$59,2,FALSE)*VLOOKUP("SI-T1",Assumptions!$B$27:$C$31,2,FALSE)*VLOOKUP(G146,Assumptions!$B$43:$C$45,2,FALSE)</f>
        <v/>
      </c>
    </row>
    <row r="147">
      <c r="B147" s="7" t="inlineStr">
        <is>
          <t>RC-0142</t>
        </is>
      </c>
      <c r="C147" s="11" t="inlineStr">
        <is>
          <t>AI &amp; GenAI</t>
        </is>
      </c>
      <c r="D147" s="7" t="inlineStr">
        <is>
          <t>Forward Deployed Engineer</t>
        </is>
      </c>
      <c r="E147" s="11" t="inlineStr">
        <is>
          <t>Agentic AI</t>
        </is>
      </c>
      <c r="F147" s="11" t="inlineStr">
        <is>
          <t>Senior</t>
        </is>
      </c>
      <c r="G147" s="21" t="inlineStr">
        <is>
          <t>High</t>
        </is>
      </c>
      <c r="H147" s="23">
        <f>VLOOKUP(F147,'Internal Cost Model'!$B$6:$F$15,5,FALSE)</f>
        <v/>
      </c>
      <c r="I147" s="24">
        <f>H147*VLOOKUP(G147,Assumptions!$B$43:$C$45,2,FALSE)</f>
        <v/>
      </c>
      <c r="J147" s="25">
        <f>VLOOKUP(F147,Assumptions!$B$50:$D$59,2,FALSE)*VLOOKUP("SI-T1",Assumptions!$B$27:$C$31,2,FALSE)*VLOOKUP(G147,Assumptions!$B$43:$C$45,2,FALSE)</f>
        <v/>
      </c>
    </row>
    <row r="148">
      <c r="B148" s="7" t="inlineStr">
        <is>
          <t>RC-0143</t>
        </is>
      </c>
      <c r="C148" s="11" t="inlineStr">
        <is>
          <t>AI &amp; GenAI</t>
        </is>
      </c>
      <c r="D148" s="7" t="inlineStr">
        <is>
          <t>Principal AI Engineer</t>
        </is>
      </c>
      <c r="E148" s="11" t="inlineStr">
        <is>
          <t>Machine Learning</t>
        </is>
      </c>
      <c r="F148" s="11" t="inlineStr">
        <is>
          <t>Principal</t>
        </is>
      </c>
      <c r="G148" s="21" t="inlineStr">
        <is>
          <t>High</t>
        </is>
      </c>
      <c r="H148" s="23">
        <f>VLOOKUP(F148,'Internal Cost Model'!$B$6:$F$15,5,FALSE)</f>
        <v/>
      </c>
      <c r="I148" s="24">
        <f>H148*VLOOKUP(G148,Assumptions!$B$43:$C$45,2,FALSE)</f>
        <v/>
      </c>
      <c r="J148" s="25">
        <f>VLOOKUP(F148,Assumptions!$B$50:$D$59,2,FALSE)*VLOOKUP("SI-T1",Assumptions!$B$27:$C$31,2,FALSE)*VLOOKUP(G148,Assumptions!$B$43:$C$45,2,FALSE)</f>
        <v/>
      </c>
    </row>
    <row r="149">
      <c r="B149" s="7" t="inlineStr">
        <is>
          <t>RC-0144</t>
        </is>
      </c>
      <c r="C149" s="11" t="inlineStr">
        <is>
          <t>AI &amp; GenAI</t>
        </is>
      </c>
      <c r="D149" s="7" t="inlineStr">
        <is>
          <t>Lead AI Engineer</t>
        </is>
      </c>
      <c r="E149" s="11" t="inlineStr">
        <is>
          <t>Machine Learning</t>
        </is>
      </c>
      <c r="F149" s="11" t="inlineStr">
        <is>
          <t>Senior Manager</t>
        </is>
      </c>
      <c r="G149" s="21" t="inlineStr">
        <is>
          <t>High</t>
        </is>
      </c>
      <c r="H149" s="23">
        <f>VLOOKUP(F149,'Internal Cost Model'!$B$6:$F$15,5,FALSE)</f>
        <v/>
      </c>
      <c r="I149" s="24">
        <f>H149*VLOOKUP(G149,Assumptions!$B$43:$C$45,2,FALSE)</f>
        <v/>
      </c>
      <c r="J149" s="25">
        <f>VLOOKUP(F149,Assumptions!$B$50:$D$59,2,FALSE)*VLOOKUP("SI-T1",Assumptions!$B$27:$C$31,2,FALSE)*VLOOKUP(G149,Assumptions!$B$43:$C$45,2,FALSE)</f>
        <v/>
      </c>
    </row>
    <row r="150">
      <c r="B150" s="7" t="inlineStr">
        <is>
          <t>RC-0145</t>
        </is>
      </c>
      <c r="C150" s="11" t="inlineStr">
        <is>
          <t>AI &amp; GenAI</t>
        </is>
      </c>
      <c r="D150" s="7" t="inlineStr">
        <is>
          <t>Lead AI Engineer</t>
        </is>
      </c>
      <c r="E150" s="11" t="inlineStr">
        <is>
          <t>Machine Learning</t>
        </is>
      </c>
      <c r="F150" s="11" t="inlineStr">
        <is>
          <t>Manager</t>
        </is>
      </c>
      <c r="G150" s="21" t="inlineStr">
        <is>
          <t>High</t>
        </is>
      </c>
      <c r="H150" s="23">
        <f>VLOOKUP(F150,'Internal Cost Model'!$B$6:$F$15,5,FALSE)</f>
        <v/>
      </c>
      <c r="I150" s="24">
        <f>H150*VLOOKUP(G150,Assumptions!$B$43:$C$45,2,FALSE)</f>
        <v/>
      </c>
      <c r="J150" s="25">
        <f>VLOOKUP(F150,Assumptions!$B$50:$D$59,2,FALSE)*VLOOKUP("SI-T1",Assumptions!$B$27:$C$31,2,FALSE)*VLOOKUP(G150,Assumptions!$B$43:$C$45,2,FALSE)</f>
        <v/>
      </c>
    </row>
    <row r="151">
      <c r="B151" s="7" t="inlineStr">
        <is>
          <t>RC-0146</t>
        </is>
      </c>
      <c r="C151" s="11" t="inlineStr">
        <is>
          <t>AI &amp; GenAI</t>
        </is>
      </c>
      <c r="D151" s="7" t="inlineStr">
        <is>
          <t>Lead AI Engineer</t>
        </is>
      </c>
      <c r="E151" s="11" t="inlineStr">
        <is>
          <t>Machine Learning</t>
        </is>
      </c>
      <c r="F151" s="11" t="inlineStr">
        <is>
          <t>Lead</t>
        </is>
      </c>
      <c r="G151" s="21" t="inlineStr">
        <is>
          <t>High</t>
        </is>
      </c>
      <c r="H151" s="23">
        <f>VLOOKUP(F151,'Internal Cost Model'!$B$6:$F$15,5,FALSE)</f>
        <v/>
      </c>
      <c r="I151" s="24">
        <f>H151*VLOOKUP(G151,Assumptions!$B$43:$C$45,2,FALSE)</f>
        <v/>
      </c>
      <c r="J151" s="25">
        <f>VLOOKUP(F151,Assumptions!$B$50:$D$59,2,FALSE)*VLOOKUP("SI-T1",Assumptions!$B$27:$C$31,2,FALSE)*VLOOKUP(G151,Assumptions!$B$43:$C$45,2,FALSE)</f>
        <v/>
      </c>
    </row>
    <row r="152">
      <c r="B152" s="7" t="inlineStr">
        <is>
          <t>RC-0147</t>
        </is>
      </c>
      <c r="C152" s="11" t="inlineStr">
        <is>
          <t>AI &amp; GenAI</t>
        </is>
      </c>
      <c r="D152" s="7" t="inlineStr">
        <is>
          <t>AI Engineer</t>
        </is>
      </c>
      <c r="E152" s="11" t="inlineStr">
        <is>
          <t>Generative AI</t>
        </is>
      </c>
      <c r="F152" s="11" t="inlineStr">
        <is>
          <t>Senior</t>
        </is>
      </c>
      <c r="G152" s="21" t="inlineStr">
        <is>
          <t>High</t>
        </is>
      </c>
      <c r="H152" s="23">
        <f>VLOOKUP(F152,'Internal Cost Model'!$B$6:$F$15,5,FALSE)</f>
        <v/>
      </c>
      <c r="I152" s="24">
        <f>H152*VLOOKUP(G152,Assumptions!$B$43:$C$45,2,FALSE)</f>
        <v/>
      </c>
      <c r="J152" s="25">
        <f>VLOOKUP(F152,Assumptions!$B$50:$D$59,2,FALSE)*VLOOKUP("SI-T1",Assumptions!$B$27:$C$31,2,FALSE)*VLOOKUP(G152,Assumptions!$B$43:$C$45,2,FALSE)</f>
        <v/>
      </c>
    </row>
    <row r="153">
      <c r="B153" s="7" t="inlineStr">
        <is>
          <t>RC-0148</t>
        </is>
      </c>
      <c r="C153" s="11" t="inlineStr">
        <is>
          <t>AI &amp; GenAI</t>
        </is>
      </c>
      <c r="D153" s="7" t="inlineStr">
        <is>
          <t>AI Engineer</t>
        </is>
      </c>
      <c r="E153" s="11" t="inlineStr">
        <is>
          <t>Generative AI</t>
        </is>
      </c>
      <c r="F153" s="11" t="inlineStr">
        <is>
          <t>Intermediate</t>
        </is>
      </c>
      <c r="G153" s="21" t="inlineStr">
        <is>
          <t>High</t>
        </is>
      </c>
      <c r="H153" s="23">
        <f>VLOOKUP(F153,'Internal Cost Model'!$B$6:$F$15,5,FALSE)</f>
        <v/>
      </c>
      <c r="I153" s="24">
        <f>H153*VLOOKUP(G153,Assumptions!$B$43:$C$45,2,FALSE)</f>
        <v/>
      </c>
      <c r="J153" s="25">
        <f>VLOOKUP(F153,Assumptions!$B$50:$D$59,2,FALSE)*VLOOKUP("SI-T1",Assumptions!$B$27:$C$31,2,FALSE)*VLOOKUP(G153,Assumptions!$B$43:$C$45,2,FALSE)</f>
        <v/>
      </c>
    </row>
    <row r="154">
      <c r="B154" s="7" t="inlineStr">
        <is>
          <t>RC-0149</t>
        </is>
      </c>
      <c r="C154" s="11" t="inlineStr">
        <is>
          <t>AI &amp; GenAI</t>
        </is>
      </c>
      <c r="D154" s="7" t="inlineStr">
        <is>
          <t>ML Engineer</t>
        </is>
      </c>
      <c r="E154" s="11" t="inlineStr">
        <is>
          <t>Machine Learning</t>
        </is>
      </c>
      <c r="F154" s="11" t="inlineStr">
        <is>
          <t>Senior</t>
        </is>
      </c>
      <c r="G154" s="21" t="inlineStr">
        <is>
          <t>High</t>
        </is>
      </c>
      <c r="H154" s="23">
        <f>VLOOKUP(F154,'Internal Cost Model'!$B$6:$F$15,5,FALSE)</f>
        <v/>
      </c>
      <c r="I154" s="24">
        <f>H154*VLOOKUP(G154,Assumptions!$B$43:$C$45,2,FALSE)</f>
        <v/>
      </c>
      <c r="J154" s="25">
        <f>VLOOKUP(F154,Assumptions!$B$50:$D$59,2,FALSE)*VLOOKUP("SI-T1",Assumptions!$B$27:$C$31,2,FALSE)*VLOOKUP(G154,Assumptions!$B$43:$C$45,2,FALSE)</f>
        <v/>
      </c>
    </row>
    <row r="155">
      <c r="B155" s="7" t="inlineStr">
        <is>
          <t>RC-0150</t>
        </is>
      </c>
      <c r="C155" s="11" t="inlineStr">
        <is>
          <t>AI &amp; GenAI</t>
        </is>
      </c>
      <c r="D155" s="7" t="inlineStr">
        <is>
          <t>ML Engineer</t>
        </is>
      </c>
      <c r="E155" s="11" t="inlineStr">
        <is>
          <t>Machine Learning</t>
        </is>
      </c>
      <c r="F155" s="11" t="inlineStr">
        <is>
          <t>Intermediate</t>
        </is>
      </c>
      <c r="G155" s="21" t="inlineStr">
        <is>
          <t>High</t>
        </is>
      </c>
      <c r="H155" s="23">
        <f>VLOOKUP(F155,'Internal Cost Model'!$B$6:$F$15,5,FALSE)</f>
        <v/>
      </c>
      <c r="I155" s="24">
        <f>H155*VLOOKUP(G155,Assumptions!$B$43:$C$45,2,FALSE)</f>
        <v/>
      </c>
      <c r="J155" s="25">
        <f>VLOOKUP(F155,Assumptions!$B$50:$D$59,2,FALSE)*VLOOKUP("SI-T1",Assumptions!$B$27:$C$31,2,FALSE)*VLOOKUP(G155,Assumptions!$B$43:$C$45,2,FALSE)</f>
        <v/>
      </c>
    </row>
    <row r="156">
      <c r="B156" s="7" t="inlineStr">
        <is>
          <t>RC-0151</t>
        </is>
      </c>
      <c r="C156" s="11" t="inlineStr">
        <is>
          <t>AI &amp; GenAI</t>
        </is>
      </c>
      <c r="D156" s="7" t="inlineStr">
        <is>
          <t>MLOps Engineer</t>
        </is>
      </c>
      <c r="E156" s="11" t="inlineStr">
        <is>
          <t>MLOps</t>
        </is>
      </c>
      <c r="F156" s="11" t="inlineStr">
        <is>
          <t>Lead</t>
        </is>
      </c>
      <c r="G156" s="21" t="inlineStr">
        <is>
          <t>High</t>
        </is>
      </c>
      <c r="H156" s="23">
        <f>VLOOKUP(F156,'Internal Cost Model'!$B$6:$F$15,5,FALSE)</f>
        <v/>
      </c>
      <c r="I156" s="24">
        <f>H156*VLOOKUP(G156,Assumptions!$B$43:$C$45,2,FALSE)</f>
        <v/>
      </c>
      <c r="J156" s="25">
        <f>VLOOKUP(F156,Assumptions!$B$50:$D$59,2,FALSE)*VLOOKUP("SI-T1",Assumptions!$B$27:$C$31,2,FALSE)*VLOOKUP(G156,Assumptions!$B$43:$C$45,2,FALSE)</f>
        <v/>
      </c>
    </row>
    <row r="157">
      <c r="B157" s="7" t="inlineStr">
        <is>
          <t>RC-0152</t>
        </is>
      </c>
      <c r="C157" s="11" t="inlineStr">
        <is>
          <t>AI &amp; GenAI</t>
        </is>
      </c>
      <c r="D157" s="7" t="inlineStr">
        <is>
          <t>MLOps Engineer</t>
        </is>
      </c>
      <c r="E157" s="11" t="inlineStr">
        <is>
          <t>MLOps</t>
        </is>
      </c>
      <c r="F157" s="11" t="inlineStr">
        <is>
          <t>Senior</t>
        </is>
      </c>
      <c r="G157" s="21" t="inlineStr">
        <is>
          <t>High</t>
        </is>
      </c>
      <c r="H157" s="23">
        <f>VLOOKUP(F157,'Internal Cost Model'!$B$6:$F$15,5,FALSE)</f>
        <v/>
      </c>
      <c r="I157" s="24">
        <f>H157*VLOOKUP(G157,Assumptions!$B$43:$C$45,2,FALSE)</f>
        <v/>
      </c>
      <c r="J157" s="25">
        <f>VLOOKUP(F157,Assumptions!$B$50:$D$59,2,FALSE)*VLOOKUP("SI-T1",Assumptions!$B$27:$C$31,2,FALSE)*VLOOKUP(G157,Assumptions!$B$43:$C$45,2,FALSE)</f>
        <v/>
      </c>
    </row>
    <row r="158">
      <c r="B158" s="7" t="inlineStr">
        <is>
          <t>RC-0153</t>
        </is>
      </c>
      <c r="C158" s="11" t="inlineStr">
        <is>
          <t>AI &amp; GenAI</t>
        </is>
      </c>
      <c r="D158" s="7" t="inlineStr">
        <is>
          <t>LLMOps Engineer</t>
        </is>
      </c>
      <c r="E158" s="11" t="inlineStr">
        <is>
          <t>LLMOps</t>
        </is>
      </c>
      <c r="F158" s="11" t="inlineStr">
        <is>
          <t>Lead</t>
        </is>
      </c>
      <c r="G158" s="21" t="inlineStr">
        <is>
          <t>High</t>
        </is>
      </c>
      <c r="H158" s="23">
        <f>VLOOKUP(F158,'Internal Cost Model'!$B$6:$F$15,5,FALSE)</f>
        <v/>
      </c>
      <c r="I158" s="24">
        <f>H158*VLOOKUP(G158,Assumptions!$B$43:$C$45,2,FALSE)</f>
        <v/>
      </c>
      <c r="J158" s="25">
        <f>VLOOKUP(F158,Assumptions!$B$50:$D$59,2,FALSE)*VLOOKUP("SI-T1",Assumptions!$B$27:$C$31,2,FALSE)*VLOOKUP(G158,Assumptions!$B$43:$C$45,2,FALSE)</f>
        <v/>
      </c>
    </row>
    <row r="159">
      <c r="B159" s="7" t="inlineStr">
        <is>
          <t>RC-0154</t>
        </is>
      </c>
      <c r="C159" s="11" t="inlineStr">
        <is>
          <t>AI &amp; GenAI</t>
        </is>
      </c>
      <c r="D159" s="7" t="inlineStr">
        <is>
          <t>LLMOps Engineer</t>
        </is>
      </c>
      <c r="E159" s="11" t="inlineStr">
        <is>
          <t>LLMOps</t>
        </is>
      </c>
      <c r="F159" s="11" t="inlineStr">
        <is>
          <t>Senior</t>
        </is>
      </c>
      <c r="G159" s="21" t="inlineStr">
        <is>
          <t>High</t>
        </is>
      </c>
      <c r="H159" s="23">
        <f>VLOOKUP(F159,'Internal Cost Model'!$B$6:$F$15,5,FALSE)</f>
        <v/>
      </c>
      <c r="I159" s="24">
        <f>H159*VLOOKUP(G159,Assumptions!$B$43:$C$45,2,FALSE)</f>
        <v/>
      </c>
      <c r="J159" s="25">
        <f>VLOOKUP(F159,Assumptions!$B$50:$D$59,2,FALSE)*VLOOKUP("SI-T1",Assumptions!$B$27:$C$31,2,FALSE)*VLOOKUP(G159,Assumptions!$B$43:$C$45,2,FALSE)</f>
        <v/>
      </c>
    </row>
    <row r="160">
      <c r="B160" s="7" t="inlineStr">
        <is>
          <t>RC-0155</t>
        </is>
      </c>
      <c r="C160" s="11" t="inlineStr">
        <is>
          <t>AI &amp; GenAI</t>
        </is>
      </c>
      <c r="D160" s="7" t="inlineStr">
        <is>
          <t>Prompt Engineer</t>
        </is>
      </c>
      <c r="E160" s="11" t="inlineStr">
        <is>
          <t>Prompt Engineering</t>
        </is>
      </c>
      <c r="F160" s="11" t="inlineStr">
        <is>
          <t>Senior</t>
        </is>
      </c>
      <c r="G160" s="21" t="inlineStr">
        <is>
          <t>High</t>
        </is>
      </c>
      <c r="H160" s="23">
        <f>VLOOKUP(F160,'Internal Cost Model'!$B$6:$F$15,5,FALSE)</f>
        <v/>
      </c>
      <c r="I160" s="24">
        <f>H160*VLOOKUP(G160,Assumptions!$B$43:$C$45,2,FALSE)</f>
        <v/>
      </c>
      <c r="J160" s="25">
        <f>VLOOKUP(F160,Assumptions!$B$50:$D$59,2,FALSE)*VLOOKUP("SI-T1",Assumptions!$B$27:$C$31,2,FALSE)*VLOOKUP(G160,Assumptions!$B$43:$C$45,2,FALSE)</f>
        <v/>
      </c>
    </row>
    <row r="161">
      <c r="B161" s="7" t="inlineStr">
        <is>
          <t>RC-0156</t>
        </is>
      </c>
      <c r="C161" s="11" t="inlineStr">
        <is>
          <t>AI &amp; GenAI</t>
        </is>
      </c>
      <c r="D161" s="7" t="inlineStr">
        <is>
          <t>Prompt Engineer</t>
        </is>
      </c>
      <c r="E161" s="11" t="inlineStr">
        <is>
          <t>Prompt Engineering</t>
        </is>
      </c>
      <c r="F161" s="11" t="inlineStr">
        <is>
          <t>Intermediate</t>
        </is>
      </c>
      <c r="G161" s="21" t="inlineStr">
        <is>
          <t>High</t>
        </is>
      </c>
      <c r="H161" s="23">
        <f>VLOOKUP(F161,'Internal Cost Model'!$B$6:$F$15,5,FALSE)</f>
        <v/>
      </c>
      <c r="I161" s="24">
        <f>H161*VLOOKUP(G161,Assumptions!$B$43:$C$45,2,FALSE)</f>
        <v/>
      </c>
      <c r="J161" s="25">
        <f>VLOOKUP(F161,Assumptions!$B$50:$D$59,2,FALSE)*VLOOKUP("SI-T1",Assumptions!$B$27:$C$31,2,FALSE)*VLOOKUP(G161,Assumptions!$B$43:$C$45,2,FALSE)</f>
        <v/>
      </c>
    </row>
    <row r="162">
      <c r="B162" s="7" t="inlineStr">
        <is>
          <t>RC-0157</t>
        </is>
      </c>
      <c r="C162" s="11" t="inlineStr">
        <is>
          <t>AI &amp; GenAI</t>
        </is>
      </c>
      <c r="D162" s="7" t="inlineStr">
        <is>
          <t>Responsible AI Lead</t>
        </is>
      </c>
      <c r="E162" s="11" t="inlineStr">
        <is>
          <t>Responsible AI</t>
        </is>
      </c>
      <c r="F162" s="11" t="inlineStr">
        <is>
          <t>Director</t>
        </is>
      </c>
      <c r="G162" s="21" t="inlineStr">
        <is>
          <t>High</t>
        </is>
      </c>
      <c r="H162" s="23">
        <f>VLOOKUP(F162,'Internal Cost Model'!$B$6:$F$15,5,FALSE)</f>
        <v/>
      </c>
      <c r="I162" s="24">
        <f>H162*VLOOKUP(G162,Assumptions!$B$43:$C$45,2,FALSE)</f>
        <v/>
      </c>
      <c r="J162" s="25">
        <f>VLOOKUP(F162,Assumptions!$B$50:$D$59,2,FALSE)*VLOOKUP("SI-T1",Assumptions!$B$27:$C$31,2,FALSE)*VLOOKUP(G162,Assumptions!$B$43:$C$45,2,FALSE)</f>
        <v/>
      </c>
    </row>
    <row r="163">
      <c r="B163" s="7" t="inlineStr">
        <is>
          <t>RC-0158</t>
        </is>
      </c>
      <c r="C163" s="11" t="inlineStr">
        <is>
          <t>AI &amp; GenAI</t>
        </is>
      </c>
      <c r="D163" s="7" t="inlineStr">
        <is>
          <t>Responsible AI Lead</t>
        </is>
      </c>
      <c r="E163" s="11" t="inlineStr">
        <is>
          <t>Responsible AI</t>
        </is>
      </c>
      <c r="F163" s="11" t="inlineStr">
        <is>
          <t>Senior Manager</t>
        </is>
      </c>
      <c r="G163" s="21" t="inlineStr">
        <is>
          <t>High</t>
        </is>
      </c>
      <c r="H163" s="23">
        <f>VLOOKUP(F163,'Internal Cost Model'!$B$6:$F$15,5,FALSE)</f>
        <v/>
      </c>
      <c r="I163" s="24">
        <f>H163*VLOOKUP(G163,Assumptions!$B$43:$C$45,2,FALSE)</f>
        <v/>
      </c>
      <c r="J163" s="25">
        <f>VLOOKUP(F163,Assumptions!$B$50:$D$59,2,FALSE)*VLOOKUP("SI-T1",Assumptions!$B$27:$C$31,2,FALSE)*VLOOKUP(G163,Assumptions!$B$43:$C$45,2,FALSE)</f>
        <v/>
      </c>
    </row>
    <row r="164">
      <c r="B164" s="7" t="inlineStr">
        <is>
          <t>RC-0159</t>
        </is>
      </c>
      <c r="C164" s="11" t="inlineStr">
        <is>
          <t>AI &amp; GenAI</t>
        </is>
      </c>
      <c r="D164" s="7" t="inlineStr">
        <is>
          <t>Responsible AI Lead</t>
        </is>
      </c>
      <c r="E164" s="11" t="inlineStr">
        <is>
          <t>Responsible AI</t>
        </is>
      </c>
      <c r="F164" s="11" t="inlineStr">
        <is>
          <t>Manager</t>
        </is>
      </c>
      <c r="G164" s="21" t="inlineStr">
        <is>
          <t>High</t>
        </is>
      </c>
      <c r="H164" s="23">
        <f>VLOOKUP(F164,'Internal Cost Model'!$B$6:$F$15,5,FALSE)</f>
        <v/>
      </c>
      <c r="I164" s="24">
        <f>H164*VLOOKUP(G164,Assumptions!$B$43:$C$45,2,FALSE)</f>
        <v/>
      </c>
      <c r="J164" s="25">
        <f>VLOOKUP(F164,Assumptions!$B$50:$D$59,2,FALSE)*VLOOKUP("SI-T1",Assumptions!$B$27:$C$31,2,FALSE)*VLOOKUP(G164,Assumptions!$B$43:$C$45,2,FALSE)</f>
        <v/>
      </c>
    </row>
    <row r="165">
      <c r="B165" s="7" t="inlineStr">
        <is>
          <t>RC-0160</t>
        </is>
      </c>
      <c r="C165" s="11" t="inlineStr">
        <is>
          <t>AI &amp; GenAI</t>
        </is>
      </c>
      <c r="D165" s="7" t="inlineStr">
        <is>
          <t>AI Governance Lead</t>
        </is>
      </c>
      <c r="E165" s="11" t="inlineStr">
        <is>
          <t>AI Governance</t>
        </is>
      </c>
      <c r="F165" s="11" t="inlineStr">
        <is>
          <t>Director</t>
        </is>
      </c>
      <c r="G165" s="21" t="inlineStr">
        <is>
          <t>High</t>
        </is>
      </c>
      <c r="H165" s="23">
        <f>VLOOKUP(F165,'Internal Cost Model'!$B$6:$F$15,5,FALSE)</f>
        <v/>
      </c>
      <c r="I165" s="24">
        <f>H165*VLOOKUP(G165,Assumptions!$B$43:$C$45,2,FALSE)</f>
        <v/>
      </c>
      <c r="J165" s="25">
        <f>VLOOKUP(F165,Assumptions!$B$50:$D$59,2,FALSE)*VLOOKUP("SI-T1",Assumptions!$B$27:$C$31,2,FALSE)*VLOOKUP(G165,Assumptions!$B$43:$C$45,2,FALSE)</f>
        <v/>
      </c>
    </row>
    <row r="166">
      <c r="B166" s="7" t="inlineStr">
        <is>
          <t>RC-0161</t>
        </is>
      </c>
      <c r="C166" s="11" t="inlineStr">
        <is>
          <t>AI &amp; GenAI</t>
        </is>
      </c>
      <c r="D166" s="7" t="inlineStr">
        <is>
          <t>AI Governance Lead</t>
        </is>
      </c>
      <c r="E166" s="11" t="inlineStr">
        <is>
          <t>AI Governance</t>
        </is>
      </c>
      <c r="F166" s="11" t="inlineStr">
        <is>
          <t>Senior Manager</t>
        </is>
      </c>
      <c r="G166" s="21" t="inlineStr">
        <is>
          <t>High</t>
        </is>
      </c>
      <c r="H166" s="23">
        <f>VLOOKUP(F166,'Internal Cost Model'!$B$6:$F$15,5,FALSE)</f>
        <v/>
      </c>
      <c r="I166" s="24">
        <f>H166*VLOOKUP(G166,Assumptions!$B$43:$C$45,2,FALSE)</f>
        <v/>
      </c>
      <c r="J166" s="25">
        <f>VLOOKUP(F166,Assumptions!$B$50:$D$59,2,FALSE)*VLOOKUP("SI-T1",Assumptions!$B$27:$C$31,2,FALSE)*VLOOKUP(G166,Assumptions!$B$43:$C$45,2,FALSE)</f>
        <v/>
      </c>
    </row>
    <row r="167">
      <c r="B167" s="7" t="inlineStr">
        <is>
          <t>RC-0162</t>
        </is>
      </c>
      <c r="C167" s="11" t="inlineStr">
        <is>
          <t>AI &amp; GenAI</t>
        </is>
      </c>
      <c r="D167" s="7" t="inlineStr">
        <is>
          <t>AI Governance Lead</t>
        </is>
      </c>
      <c r="E167" s="11" t="inlineStr">
        <is>
          <t>AI Governance</t>
        </is>
      </c>
      <c r="F167" s="11" t="inlineStr">
        <is>
          <t>Manager</t>
        </is>
      </c>
      <c r="G167" s="21" t="inlineStr">
        <is>
          <t>High</t>
        </is>
      </c>
      <c r="H167" s="23">
        <f>VLOOKUP(F167,'Internal Cost Model'!$B$6:$F$15,5,FALSE)</f>
        <v/>
      </c>
      <c r="I167" s="24">
        <f>H167*VLOOKUP(G167,Assumptions!$B$43:$C$45,2,FALSE)</f>
        <v/>
      </c>
      <c r="J167" s="25">
        <f>VLOOKUP(F167,Assumptions!$B$50:$D$59,2,FALSE)*VLOOKUP("SI-T1",Assumptions!$B$27:$C$31,2,FALSE)*VLOOKUP(G167,Assumptions!$B$43:$C$45,2,FALSE)</f>
        <v/>
      </c>
    </row>
    <row r="168">
      <c r="B168" s="7" t="inlineStr">
        <is>
          <t>RC-0163</t>
        </is>
      </c>
      <c r="C168" s="11" t="inlineStr">
        <is>
          <t>AI &amp; GenAI</t>
        </is>
      </c>
      <c r="D168" s="7" t="inlineStr">
        <is>
          <t>Model Validation Lead</t>
        </is>
      </c>
      <c r="E168" s="11" t="inlineStr">
        <is>
          <t>Model Validation</t>
        </is>
      </c>
      <c r="F168" s="11" t="inlineStr">
        <is>
          <t>Senior Manager</t>
        </is>
      </c>
      <c r="G168" s="21" t="inlineStr">
        <is>
          <t>High</t>
        </is>
      </c>
      <c r="H168" s="23">
        <f>VLOOKUP(F168,'Internal Cost Model'!$B$6:$F$15,5,FALSE)</f>
        <v/>
      </c>
      <c r="I168" s="24">
        <f>H168*VLOOKUP(G168,Assumptions!$B$43:$C$45,2,FALSE)</f>
        <v/>
      </c>
      <c r="J168" s="25">
        <f>VLOOKUP(F168,Assumptions!$B$50:$D$59,2,FALSE)*VLOOKUP("SI-T1",Assumptions!$B$27:$C$31,2,FALSE)*VLOOKUP(G168,Assumptions!$B$43:$C$45,2,FALSE)</f>
        <v/>
      </c>
    </row>
    <row r="169">
      <c r="B169" s="7" t="inlineStr">
        <is>
          <t>RC-0164</t>
        </is>
      </c>
      <c r="C169" s="11" t="inlineStr">
        <is>
          <t>AI &amp; GenAI</t>
        </is>
      </c>
      <c r="D169" s="7" t="inlineStr">
        <is>
          <t>Model Validation Lead</t>
        </is>
      </c>
      <c r="E169" s="11" t="inlineStr">
        <is>
          <t>Model Validation</t>
        </is>
      </c>
      <c r="F169" s="11" t="inlineStr">
        <is>
          <t>Manager</t>
        </is>
      </c>
      <c r="G169" s="21" t="inlineStr">
        <is>
          <t>High</t>
        </is>
      </c>
      <c r="H169" s="23">
        <f>VLOOKUP(F169,'Internal Cost Model'!$B$6:$F$15,5,FALSE)</f>
        <v/>
      </c>
      <c r="I169" s="24">
        <f>H169*VLOOKUP(G169,Assumptions!$B$43:$C$45,2,FALSE)</f>
        <v/>
      </c>
      <c r="J169" s="25">
        <f>VLOOKUP(F169,Assumptions!$B$50:$D$59,2,FALSE)*VLOOKUP("SI-T1",Assumptions!$B$27:$C$31,2,FALSE)*VLOOKUP(G169,Assumptions!$B$43:$C$45,2,FALSE)</f>
        <v/>
      </c>
    </row>
    <row r="170">
      <c r="B170" s="7" t="inlineStr">
        <is>
          <t>RC-0165</t>
        </is>
      </c>
      <c r="C170" s="11" t="inlineStr">
        <is>
          <t>AI &amp; GenAI</t>
        </is>
      </c>
      <c r="D170" s="7" t="inlineStr">
        <is>
          <t>Model Validation Lead</t>
        </is>
      </c>
      <c r="E170" s="11" t="inlineStr">
        <is>
          <t>Model Validation</t>
        </is>
      </c>
      <c r="F170" s="11" t="inlineStr">
        <is>
          <t>Lead</t>
        </is>
      </c>
      <c r="G170" s="21" t="inlineStr">
        <is>
          <t>High</t>
        </is>
      </c>
      <c r="H170" s="23">
        <f>VLOOKUP(F170,'Internal Cost Model'!$B$6:$F$15,5,FALSE)</f>
        <v/>
      </c>
      <c r="I170" s="24">
        <f>H170*VLOOKUP(G170,Assumptions!$B$43:$C$45,2,FALSE)</f>
        <v/>
      </c>
      <c r="J170" s="25">
        <f>VLOOKUP(F170,Assumptions!$B$50:$D$59,2,FALSE)*VLOOKUP("SI-T1",Assumptions!$B$27:$C$31,2,FALSE)*VLOOKUP(G170,Assumptions!$B$43:$C$45,2,FALSE)</f>
        <v/>
      </c>
    </row>
    <row r="171">
      <c r="B171" s="7" t="inlineStr">
        <is>
          <t>RC-0166</t>
        </is>
      </c>
      <c r="C171" s="11" t="inlineStr">
        <is>
          <t>Digital Experience</t>
        </is>
      </c>
      <c r="D171" s="7" t="inlineStr">
        <is>
          <t>Experience Director</t>
        </is>
      </c>
      <c r="E171" s="11" t="inlineStr">
        <is>
          <t>UX Design</t>
        </is>
      </c>
      <c r="F171" s="11" t="inlineStr">
        <is>
          <t>Principal</t>
        </is>
      </c>
      <c r="G171" s="21" t="inlineStr">
        <is>
          <t>Medium</t>
        </is>
      </c>
      <c r="H171" s="23">
        <f>VLOOKUP(F171,'Internal Cost Model'!$B$6:$F$15,5,FALSE)</f>
        <v/>
      </c>
      <c r="I171" s="24">
        <f>H171*VLOOKUP(G171,Assumptions!$B$43:$C$45,2,FALSE)</f>
        <v/>
      </c>
      <c r="J171" s="25">
        <f>VLOOKUP(F171,Assumptions!$B$50:$D$59,2,FALSE)*VLOOKUP("SI-T1",Assumptions!$B$27:$C$31,2,FALSE)*VLOOKUP(G171,Assumptions!$B$43:$C$45,2,FALSE)</f>
        <v/>
      </c>
    </row>
    <row r="172">
      <c r="B172" s="7" t="inlineStr">
        <is>
          <t>RC-0167</t>
        </is>
      </c>
      <c r="C172" s="11" t="inlineStr">
        <is>
          <t>Digital Experience</t>
        </is>
      </c>
      <c r="D172" s="7" t="inlineStr">
        <is>
          <t>Experience Director</t>
        </is>
      </c>
      <c r="E172" s="11" t="inlineStr">
        <is>
          <t>UX Design</t>
        </is>
      </c>
      <c r="F172" s="11" t="inlineStr">
        <is>
          <t>Director</t>
        </is>
      </c>
      <c r="G172" s="21" t="inlineStr">
        <is>
          <t>Medium</t>
        </is>
      </c>
      <c r="H172" s="23">
        <f>VLOOKUP(F172,'Internal Cost Model'!$B$6:$F$15,5,FALSE)</f>
        <v/>
      </c>
      <c r="I172" s="24">
        <f>H172*VLOOKUP(G172,Assumptions!$B$43:$C$45,2,FALSE)</f>
        <v/>
      </c>
      <c r="J172" s="25">
        <f>VLOOKUP(F172,Assumptions!$B$50:$D$59,2,FALSE)*VLOOKUP("SI-T1",Assumptions!$B$27:$C$31,2,FALSE)*VLOOKUP(G172,Assumptions!$B$43:$C$45,2,FALSE)</f>
        <v/>
      </c>
    </row>
    <row r="173">
      <c r="B173" s="7" t="inlineStr">
        <is>
          <t>RC-0168</t>
        </is>
      </c>
      <c r="C173" s="11" t="inlineStr">
        <is>
          <t>Digital Experience</t>
        </is>
      </c>
      <c r="D173" s="7" t="inlineStr">
        <is>
          <t>UX Lead</t>
        </is>
      </c>
      <c r="E173" s="11" t="inlineStr">
        <is>
          <t>UX Design</t>
        </is>
      </c>
      <c r="F173" s="11" t="inlineStr">
        <is>
          <t>Senior Manager</t>
        </is>
      </c>
      <c r="G173" s="21" t="inlineStr">
        <is>
          <t>Medium</t>
        </is>
      </c>
      <c r="H173" s="23">
        <f>VLOOKUP(F173,'Internal Cost Model'!$B$6:$F$15,5,FALSE)</f>
        <v/>
      </c>
      <c r="I173" s="24">
        <f>H173*VLOOKUP(G173,Assumptions!$B$43:$C$45,2,FALSE)</f>
        <v/>
      </c>
      <c r="J173" s="25">
        <f>VLOOKUP(F173,Assumptions!$B$50:$D$59,2,FALSE)*VLOOKUP("SI-T1",Assumptions!$B$27:$C$31,2,FALSE)*VLOOKUP(G173,Assumptions!$B$43:$C$45,2,FALSE)</f>
        <v/>
      </c>
    </row>
    <row r="174">
      <c r="B174" s="7" t="inlineStr">
        <is>
          <t>RC-0169</t>
        </is>
      </c>
      <c r="C174" s="11" t="inlineStr">
        <is>
          <t>Digital Experience</t>
        </is>
      </c>
      <c r="D174" s="7" t="inlineStr">
        <is>
          <t>UX Lead</t>
        </is>
      </c>
      <c r="E174" s="11" t="inlineStr">
        <is>
          <t>UX Design</t>
        </is>
      </c>
      <c r="F174" s="11" t="inlineStr">
        <is>
          <t>Manager</t>
        </is>
      </c>
      <c r="G174" s="21" t="inlineStr">
        <is>
          <t>Medium</t>
        </is>
      </c>
      <c r="H174" s="23">
        <f>VLOOKUP(F174,'Internal Cost Model'!$B$6:$F$15,5,FALSE)</f>
        <v/>
      </c>
      <c r="I174" s="24">
        <f>H174*VLOOKUP(G174,Assumptions!$B$43:$C$45,2,FALSE)</f>
        <v/>
      </c>
      <c r="J174" s="25">
        <f>VLOOKUP(F174,Assumptions!$B$50:$D$59,2,FALSE)*VLOOKUP("SI-T1",Assumptions!$B$27:$C$31,2,FALSE)*VLOOKUP(G174,Assumptions!$B$43:$C$45,2,FALSE)</f>
        <v/>
      </c>
    </row>
    <row r="175">
      <c r="B175" s="7" t="inlineStr">
        <is>
          <t>RC-0170</t>
        </is>
      </c>
      <c r="C175" s="11" t="inlineStr">
        <is>
          <t>Digital Experience</t>
        </is>
      </c>
      <c r="D175" s="7" t="inlineStr">
        <is>
          <t>UX Lead</t>
        </is>
      </c>
      <c r="E175" s="11" t="inlineStr">
        <is>
          <t>UX Design</t>
        </is>
      </c>
      <c r="F175" s="11" t="inlineStr">
        <is>
          <t>Lead</t>
        </is>
      </c>
      <c r="G175" s="21" t="inlineStr">
        <is>
          <t>Medium</t>
        </is>
      </c>
      <c r="H175" s="23">
        <f>VLOOKUP(F175,'Internal Cost Model'!$B$6:$F$15,5,FALSE)</f>
        <v/>
      </c>
      <c r="I175" s="24">
        <f>H175*VLOOKUP(G175,Assumptions!$B$43:$C$45,2,FALSE)</f>
        <v/>
      </c>
      <c r="J175" s="25">
        <f>VLOOKUP(F175,Assumptions!$B$50:$D$59,2,FALSE)*VLOOKUP("SI-T1",Assumptions!$B$27:$C$31,2,FALSE)*VLOOKUP(G175,Assumptions!$B$43:$C$45,2,FALSE)</f>
        <v/>
      </c>
    </row>
    <row r="176">
      <c r="B176" s="7" t="inlineStr">
        <is>
          <t>RC-0171</t>
        </is>
      </c>
      <c r="C176" s="11" t="inlineStr">
        <is>
          <t>Digital Experience</t>
        </is>
      </c>
      <c r="D176" s="7" t="inlineStr">
        <is>
          <t>UX Designer</t>
        </is>
      </c>
      <c r="E176" s="11" t="inlineStr">
        <is>
          <t>UX Design</t>
        </is>
      </c>
      <c r="F176" s="11" t="inlineStr">
        <is>
          <t>Senior</t>
        </is>
      </c>
      <c r="G176" s="21" t="inlineStr">
        <is>
          <t>Medium</t>
        </is>
      </c>
      <c r="H176" s="23">
        <f>VLOOKUP(F176,'Internal Cost Model'!$B$6:$F$15,5,FALSE)</f>
        <v/>
      </c>
      <c r="I176" s="24">
        <f>H176*VLOOKUP(G176,Assumptions!$B$43:$C$45,2,FALSE)</f>
        <v/>
      </c>
      <c r="J176" s="25">
        <f>VLOOKUP(F176,Assumptions!$B$50:$D$59,2,FALSE)*VLOOKUP("SI-T1",Assumptions!$B$27:$C$31,2,FALSE)*VLOOKUP(G176,Assumptions!$B$43:$C$45,2,FALSE)</f>
        <v/>
      </c>
    </row>
    <row r="177">
      <c r="B177" s="7" t="inlineStr">
        <is>
          <t>RC-0172</t>
        </is>
      </c>
      <c r="C177" s="11" t="inlineStr">
        <is>
          <t>Digital Experience</t>
        </is>
      </c>
      <c r="D177" s="7" t="inlineStr">
        <is>
          <t>UX Designer</t>
        </is>
      </c>
      <c r="E177" s="11" t="inlineStr">
        <is>
          <t>UX Design</t>
        </is>
      </c>
      <c r="F177" s="11" t="inlineStr">
        <is>
          <t>Intermediate</t>
        </is>
      </c>
      <c r="G177" s="21" t="inlineStr">
        <is>
          <t>Medium</t>
        </is>
      </c>
      <c r="H177" s="23">
        <f>VLOOKUP(F177,'Internal Cost Model'!$B$6:$F$15,5,FALSE)</f>
        <v/>
      </c>
      <c r="I177" s="24">
        <f>H177*VLOOKUP(G177,Assumptions!$B$43:$C$45,2,FALSE)</f>
        <v/>
      </c>
      <c r="J177" s="25">
        <f>VLOOKUP(F177,Assumptions!$B$50:$D$59,2,FALSE)*VLOOKUP("SI-T1",Assumptions!$B$27:$C$31,2,FALSE)*VLOOKUP(G177,Assumptions!$B$43:$C$45,2,FALSE)</f>
        <v/>
      </c>
    </row>
    <row r="178">
      <c r="B178" s="7" t="inlineStr">
        <is>
          <t>RC-0173</t>
        </is>
      </c>
      <c r="C178" s="11" t="inlineStr">
        <is>
          <t>Digital Experience</t>
        </is>
      </c>
      <c r="D178" s="7" t="inlineStr">
        <is>
          <t>UI Designer</t>
        </is>
      </c>
      <c r="E178" s="11" t="inlineStr">
        <is>
          <t>UI Design</t>
        </is>
      </c>
      <c r="F178" s="11" t="inlineStr">
        <is>
          <t>Senior</t>
        </is>
      </c>
      <c r="G178" s="21" t="inlineStr">
        <is>
          <t>Medium</t>
        </is>
      </c>
      <c r="H178" s="23">
        <f>VLOOKUP(F178,'Internal Cost Model'!$B$6:$F$15,5,FALSE)</f>
        <v/>
      </c>
      <c r="I178" s="24">
        <f>H178*VLOOKUP(G178,Assumptions!$B$43:$C$45,2,FALSE)</f>
        <v/>
      </c>
      <c r="J178" s="25">
        <f>VLOOKUP(F178,Assumptions!$B$50:$D$59,2,FALSE)*VLOOKUP("SI-T1",Assumptions!$B$27:$C$31,2,FALSE)*VLOOKUP(G178,Assumptions!$B$43:$C$45,2,FALSE)</f>
        <v/>
      </c>
    </row>
    <row r="179">
      <c r="B179" s="7" t="inlineStr">
        <is>
          <t>RC-0174</t>
        </is>
      </c>
      <c r="C179" s="11" t="inlineStr">
        <is>
          <t>Digital Experience</t>
        </is>
      </c>
      <c r="D179" s="7" t="inlineStr">
        <is>
          <t>UI Designer</t>
        </is>
      </c>
      <c r="E179" s="11" t="inlineStr">
        <is>
          <t>UI Design</t>
        </is>
      </c>
      <c r="F179" s="11" t="inlineStr">
        <is>
          <t>Intermediate</t>
        </is>
      </c>
      <c r="G179" s="21" t="inlineStr">
        <is>
          <t>Medium</t>
        </is>
      </c>
      <c r="H179" s="23">
        <f>VLOOKUP(F179,'Internal Cost Model'!$B$6:$F$15,5,FALSE)</f>
        <v/>
      </c>
      <c r="I179" s="24">
        <f>H179*VLOOKUP(G179,Assumptions!$B$43:$C$45,2,FALSE)</f>
        <v/>
      </c>
      <c r="J179" s="25">
        <f>VLOOKUP(F179,Assumptions!$B$50:$D$59,2,FALSE)*VLOOKUP("SI-T1",Assumptions!$B$27:$C$31,2,FALSE)*VLOOKUP(G179,Assumptions!$B$43:$C$45,2,FALSE)</f>
        <v/>
      </c>
    </row>
    <row r="180">
      <c r="B180" s="7" t="inlineStr">
        <is>
          <t>RC-0175</t>
        </is>
      </c>
      <c r="C180" s="11" t="inlineStr">
        <is>
          <t>Digital Experience</t>
        </is>
      </c>
      <c r="D180" s="7" t="inlineStr">
        <is>
          <t>Journey Architect</t>
        </is>
      </c>
      <c r="E180" s="11" t="inlineStr">
        <is>
          <t>Customer Journey</t>
        </is>
      </c>
      <c r="F180" s="11" t="inlineStr">
        <is>
          <t>Director</t>
        </is>
      </c>
      <c r="G180" s="21" t="inlineStr">
        <is>
          <t>Medium</t>
        </is>
      </c>
      <c r="H180" s="23">
        <f>VLOOKUP(F180,'Internal Cost Model'!$B$6:$F$15,5,FALSE)</f>
        <v/>
      </c>
      <c r="I180" s="24">
        <f>H180*VLOOKUP(G180,Assumptions!$B$43:$C$45,2,FALSE)</f>
        <v/>
      </c>
      <c r="J180" s="25">
        <f>VLOOKUP(F180,Assumptions!$B$50:$D$59,2,FALSE)*VLOOKUP("SI-T1",Assumptions!$B$27:$C$31,2,FALSE)*VLOOKUP(G180,Assumptions!$B$43:$C$45,2,FALSE)</f>
        <v/>
      </c>
    </row>
    <row r="181">
      <c r="B181" s="7" t="inlineStr">
        <is>
          <t>RC-0176</t>
        </is>
      </c>
      <c r="C181" s="11" t="inlineStr">
        <is>
          <t>Digital Experience</t>
        </is>
      </c>
      <c r="D181" s="7" t="inlineStr">
        <is>
          <t>Journey Architect</t>
        </is>
      </c>
      <c r="E181" s="11" t="inlineStr">
        <is>
          <t>Customer Journey</t>
        </is>
      </c>
      <c r="F181" s="11" t="inlineStr">
        <is>
          <t>Senior Manager</t>
        </is>
      </c>
      <c r="G181" s="21" t="inlineStr">
        <is>
          <t>Medium</t>
        </is>
      </c>
      <c r="H181" s="23">
        <f>VLOOKUP(F181,'Internal Cost Model'!$B$6:$F$15,5,FALSE)</f>
        <v/>
      </c>
      <c r="I181" s="24">
        <f>H181*VLOOKUP(G181,Assumptions!$B$43:$C$45,2,FALSE)</f>
        <v/>
      </c>
      <c r="J181" s="25">
        <f>VLOOKUP(F181,Assumptions!$B$50:$D$59,2,FALSE)*VLOOKUP("SI-T1",Assumptions!$B$27:$C$31,2,FALSE)*VLOOKUP(G181,Assumptions!$B$43:$C$45,2,FALSE)</f>
        <v/>
      </c>
    </row>
    <row r="182">
      <c r="B182" s="7" t="inlineStr">
        <is>
          <t>RC-0177</t>
        </is>
      </c>
      <c r="C182" s="11" t="inlineStr">
        <is>
          <t>Digital Experience</t>
        </is>
      </c>
      <c r="D182" s="7" t="inlineStr">
        <is>
          <t>Journey Architect</t>
        </is>
      </c>
      <c r="E182" s="11" t="inlineStr">
        <is>
          <t>Customer Journey</t>
        </is>
      </c>
      <c r="F182" s="11" t="inlineStr">
        <is>
          <t>Manager</t>
        </is>
      </c>
      <c r="G182" s="21" t="inlineStr">
        <is>
          <t>Medium</t>
        </is>
      </c>
      <c r="H182" s="23">
        <f>VLOOKUP(F182,'Internal Cost Model'!$B$6:$F$15,5,FALSE)</f>
        <v/>
      </c>
      <c r="I182" s="24">
        <f>H182*VLOOKUP(G182,Assumptions!$B$43:$C$45,2,FALSE)</f>
        <v/>
      </c>
      <c r="J182" s="25">
        <f>VLOOKUP(F182,Assumptions!$B$50:$D$59,2,FALSE)*VLOOKUP("SI-T1",Assumptions!$B$27:$C$31,2,FALSE)*VLOOKUP(G182,Assumptions!$B$43:$C$45,2,FALSE)</f>
        <v/>
      </c>
    </row>
    <row r="183">
      <c r="B183" s="7" t="inlineStr">
        <is>
          <t>RC-0178</t>
        </is>
      </c>
      <c r="C183" s="11" t="inlineStr">
        <is>
          <t>Digital Experience</t>
        </is>
      </c>
      <c r="D183" s="7" t="inlineStr">
        <is>
          <t>Journey Architect</t>
        </is>
      </c>
      <c r="E183" s="11" t="inlineStr">
        <is>
          <t>Customer Journey</t>
        </is>
      </c>
      <c r="F183" s="11" t="inlineStr">
        <is>
          <t>Lead</t>
        </is>
      </c>
      <c r="G183" s="21" t="inlineStr">
        <is>
          <t>Medium</t>
        </is>
      </c>
      <c r="H183" s="23">
        <f>VLOOKUP(F183,'Internal Cost Model'!$B$6:$F$15,5,FALSE)</f>
        <v/>
      </c>
      <c r="I183" s="24">
        <f>H183*VLOOKUP(G183,Assumptions!$B$43:$C$45,2,FALSE)</f>
        <v/>
      </c>
      <c r="J183" s="25">
        <f>VLOOKUP(F183,Assumptions!$B$50:$D$59,2,FALSE)*VLOOKUP("SI-T1",Assumptions!$B$27:$C$31,2,FALSE)*VLOOKUP(G183,Assumptions!$B$43:$C$45,2,FALSE)</f>
        <v/>
      </c>
    </row>
    <row r="184">
      <c r="B184" s="7" t="inlineStr">
        <is>
          <t>RC-0179</t>
        </is>
      </c>
      <c r="C184" s="11" t="inlineStr">
        <is>
          <t>Digital Experience</t>
        </is>
      </c>
      <c r="D184" s="7" t="inlineStr">
        <is>
          <t>Commerce Architect</t>
        </is>
      </c>
      <c r="E184" s="11" t="inlineStr">
        <is>
          <t>Commerce</t>
        </is>
      </c>
      <c r="F184" s="11" t="inlineStr">
        <is>
          <t>Director</t>
        </is>
      </c>
      <c r="G184" s="21" t="inlineStr">
        <is>
          <t>Medium</t>
        </is>
      </c>
      <c r="H184" s="23">
        <f>VLOOKUP(F184,'Internal Cost Model'!$B$6:$F$15,5,FALSE)</f>
        <v/>
      </c>
      <c r="I184" s="24">
        <f>H184*VLOOKUP(G184,Assumptions!$B$43:$C$45,2,FALSE)</f>
        <v/>
      </c>
      <c r="J184" s="25">
        <f>VLOOKUP(F184,Assumptions!$B$50:$D$59,2,FALSE)*VLOOKUP("SI-T1",Assumptions!$B$27:$C$31,2,FALSE)*VLOOKUP(G184,Assumptions!$B$43:$C$45,2,FALSE)</f>
        <v/>
      </c>
    </row>
    <row r="185">
      <c r="B185" s="7" t="inlineStr">
        <is>
          <t>RC-0180</t>
        </is>
      </c>
      <c r="C185" s="11" t="inlineStr">
        <is>
          <t>Digital Experience</t>
        </is>
      </c>
      <c r="D185" s="7" t="inlineStr">
        <is>
          <t>Commerce Architect</t>
        </is>
      </c>
      <c r="E185" s="11" t="inlineStr">
        <is>
          <t>Commerce</t>
        </is>
      </c>
      <c r="F185" s="11" t="inlineStr">
        <is>
          <t>Senior Manager</t>
        </is>
      </c>
      <c r="G185" s="21" t="inlineStr">
        <is>
          <t>Medium</t>
        </is>
      </c>
      <c r="H185" s="23">
        <f>VLOOKUP(F185,'Internal Cost Model'!$B$6:$F$15,5,FALSE)</f>
        <v/>
      </c>
      <c r="I185" s="24">
        <f>H185*VLOOKUP(G185,Assumptions!$B$43:$C$45,2,FALSE)</f>
        <v/>
      </c>
      <c r="J185" s="25">
        <f>VLOOKUP(F185,Assumptions!$B$50:$D$59,2,FALSE)*VLOOKUP("SI-T1",Assumptions!$B$27:$C$31,2,FALSE)*VLOOKUP(G185,Assumptions!$B$43:$C$45,2,FALSE)</f>
        <v/>
      </c>
    </row>
    <row r="186">
      <c r="B186" s="7" t="inlineStr">
        <is>
          <t>RC-0181</t>
        </is>
      </c>
      <c r="C186" s="11" t="inlineStr">
        <is>
          <t>Digital Experience</t>
        </is>
      </c>
      <c r="D186" s="7" t="inlineStr">
        <is>
          <t>Commerce Architect</t>
        </is>
      </c>
      <c r="E186" s="11" t="inlineStr">
        <is>
          <t>Commerce</t>
        </is>
      </c>
      <c r="F186" s="11" t="inlineStr">
        <is>
          <t>Manager</t>
        </is>
      </c>
      <c r="G186" s="21" t="inlineStr">
        <is>
          <t>Medium</t>
        </is>
      </c>
      <c r="H186" s="23">
        <f>VLOOKUP(F186,'Internal Cost Model'!$B$6:$F$15,5,FALSE)</f>
        <v/>
      </c>
      <c r="I186" s="24">
        <f>H186*VLOOKUP(G186,Assumptions!$B$43:$C$45,2,FALSE)</f>
        <v/>
      </c>
      <c r="J186" s="25">
        <f>VLOOKUP(F186,Assumptions!$B$50:$D$59,2,FALSE)*VLOOKUP("SI-T1",Assumptions!$B$27:$C$31,2,FALSE)*VLOOKUP(G186,Assumptions!$B$43:$C$45,2,FALSE)</f>
        <v/>
      </c>
    </row>
    <row r="187">
      <c r="B187" s="7" t="inlineStr">
        <is>
          <t>RC-0182</t>
        </is>
      </c>
      <c r="C187" s="11" t="inlineStr">
        <is>
          <t>Digital Experience</t>
        </is>
      </c>
      <c r="D187" s="7" t="inlineStr">
        <is>
          <t>Commerce Architect</t>
        </is>
      </c>
      <c r="E187" s="11" t="inlineStr">
        <is>
          <t>Commerce</t>
        </is>
      </c>
      <c r="F187" s="11" t="inlineStr">
        <is>
          <t>Lead</t>
        </is>
      </c>
      <c r="G187" s="21" t="inlineStr">
        <is>
          <t>Medium</t>
        </is>
      </c>
      <c r="H187" s="23">
        <f>VLOOKUP(F187,'Internal Cost Model'!$B$6:$F$15,5,FALSE)</f>
        <v/>
      </c>
      <c r="I187" s="24">
        <f>H187*VLOOKUP(G187,Assumptions!$B$43:$C$45,2,FALSE)</f>
        <v/>
      </c>
      <c r="J187" s="25">
        <f>VLOOKUP(F187,Assumptions!$B$50:$D$59,2,FALSE)*VLOOKUP("SI-T1",Assumptions!$B$27:$C$31,2,FALSE)*VLOOKUP(G187,Assumptions!$B$43:$C$45,2,FALSE)</f>
        <v/>
      </c>
    </row>
    <row r="188">
      <c r="B188" s="7" t="inlineStr">
        <is>
          <t>RC-0183</t>
        </is>
      </c>
      <c r="C188" s="11" t="inlineStr">
        <is>
          <t>Marketing Technology</t>
        </is>
      </c>
      <c r="D188" s="7" t="inlineStr">
        <is>
          <t>Adobe Architect</t>
        </is>
      </c>
      <c r="E188" s="11" t="inlineStr">
        <is>
          <t>Adobe AEM</t>
        </is>
      </c>
      <c r="F188" s="11" t="inlineStr">
        <is>
          <t>Director</t>
        </is>
      </c>
      <c r="G188" s="21" t="inlineStr">
        <is>
          <t>High</t>
        </is>
      </c>
      <c r="H188" s="23">
        <f>VLOOKUP(F188,'Internal Cost Model'!$B$6:$F$15,5,FALSE)</f>
        <v/>
      </c>
      <c r="I188" s="24">
        <f>H188*VLOOKUP(G188,Assumptions!$B$43:$C$45,2,FALSE)</f>
        <v/>
      </c>
      <c r="J188" s="25">
        <f>VLOOKUP(F188,Assumptions!$B$50:$D$59,2,FALSE)*VLOOKUP("SI-T1",Assumptions!$B$27:$C$31,2,FALSE)*VLOOKUP(G188,Assumptions!$B$43:$C$45,2,FALSE)</f>
        <v/>
      </c>
    </row>
    <row r="189">
      <c r="B189" s="7" t="inlineStr">
        <is>
          <t>RC-0184</t>
        </is>
      </c>
      <c r="C189" s="11" t="inlineStr">
        <is>
          <t>Marketing Technology</t>
        </is>
      </c>
      <c r="D189" s="7" t="inlineStr">
        <is>
          <t>Adobe Architect</t>
        </is>
      </c>
      <c r="E189" s="11" t="inlineStr">
        <is>
          <t>Adobe AEM</t>
        </is>
      </c>
      <c r="F189" s="11" t="inlineStr">
        <is>
          <t>Senior Manager</t>
        </is>
      </c>
      <c r="G189" s="21" t="inlineStr">
        <is>
          <t>High</t>
        </is>
      </c>
      <c r="H189" s="23">
        <f>VLOOKUP(F189,'Internal Cost Model'!$B$6:$F$15,5,FALSE)</f>
        <v/>
      </c>
      <c r="I189" s="24">
        <f>H189*VLOOKUP(G189,Assumptions!$B$43:$C$45,2,FALSE)</f>
        <v/>
      </c>
      <c r="J189" s="25">
        <f>VLOOKUP(F189,Assumptions!$B$50:$D$59,2,FALSE)*VLOOKUP("SI-T1",Assumptions!$B$27:$C$31,2,FALSE)*VLOOKUP(G189,Assumptions!$B$43:$C$45,2,FALSE)</f>
        <v/>
      </c>
    </row>
    <row r="190">
      <c r="B190" s="7" t="inlineStr">
        <is>
          <t>RC-0185</t>
        </is>
      </c>
      <c r="C190" s="11" t="inlineStr">
        <is>
          <t>Marketing Technology</t>
        </is>
      </c>
      <c r="D190" s="7" t="inlineStr">
        <is>
          <t>Adobe Architect</t>
        </is>
      </c>
      <c r="E190" s="11" t="inlineStr">
        <is>
          <t>Adobe AEM</t>
        </is>
      </c>
      <c r="F190" s="11" t="inlineStr">
        <is>
          <t>Manager</t>
        </is>
      </c>
      <c r="G190" s="21" t="inlineStr">
        <is>
          <t>High</t>
        </is>
      </c>
      <c r="H190" s="23">
        <f>VLOOKUP(F190,'Internal Cost Model'!$B$6:$F$15,5,FALSE)</f>
        <v/>
      </c>
      <c r="I190" s="24">
        <f>H190*VLOOKUP(G190,Assumptions!$B$43:$C$45,2,FALSE)</f>
        <v/>
      </c>
      <c r="J190" s="25">
        <f>VLOOKUP(F190,Assumptions!$B$50:$D$59,2,FALSE)*VLOOKUP("SI-T1",Assumptions!$B$27:$C$31,2,FALSE)*VLOOKUP(G190,Assumptions!$B$43:$C$45,2,FALSE)</f>
        <v/>
      </c>
    </row>
    <row r="191">
      <c r="B191" s="7" t="inlineStr">
        <is>
          <t>RC-0186</t>
        </is>
      </c>
      <c r="C191" s="11" t="inlineStr">
        <is>
          <t>Marketing Technology</t>
        </is>
      </c>
      <c r="D191" s="7" t="inlineStr">
        <is>
          <t>Adobe Architect</t>
        </is>
      </c>
      <c r="E191" s="11" t="inlineStr">
        <is>
          <t>Adobe AEM</t>
        </is>
      </c>
      <c r="F191" s="11" t="inlineStr">
        <is>
          <t>Lead</t>
        </is>
      </c>
      <c r="G191" s="21" t="inlineStr">
        <is>
          <t>High</t>
        </is>
      </c>
      <c r="H191" s="23">
        <f>VLOOKUP(F191,'Internal Cost Model'!$B$6:$F$15,5,FALSE)</f>
        <v/>
      </c>
      <c r="I191" s="24">
        <f>H191*VLOOKUP(G191,Assumptions!$B$43:$C$45,2,FALSE)</f>
        <v/>
      </c>
      <c r="J191" s="25">
        <f>VLOOKUP(F191,Assumptions!$B$50:$D$59,2,FALSE)*VLOOKUP("SI-T1",Assumptions!$B$27:$C$31,2,FALSE)*VLOOKUP(G191,Assumptions!$B$43:$C$45,2,FALSE)</f>
        <v/>
      </c>
    </row>
    <row r="192">
      <c r="B192" s="7" t="inlineStr">
        <is>
          <t>RC-0187</t>
        </is>
      </c>
      <c r="C192" s="11" t="inlineStr">
        <is>
          <t>Marketing Technology</t>
        </is>
      </c>
      <c r="D192" s="7" t="inlineStr">
        <is>
          <t>AEM Architect</t>
        </is>
      </c>
      <c r="E192" s="11" t="inlineStr">
        <is>
          <t>Adobe AEM</t>
        </is>
      </c>
      <c r="F192" s="11" t="inlineStr">
        <is>
          <t>Director</t>
        </is>
      </c>
      <c r="G192" s="21" t="inlineStr">
        <is>
          <t>High</t>
        </is>
      </c>
      <c r="H192" s="23">
        <f>VLOOKUP(F192,'Internal Cost Model'!$B$6:$F$15,5,FALSE)</f>
        <v/>
      </c>
      <c r="I192" s="24">
        <f>H192*VLOOKUP(G192,Assumptions!$B$43:$C$45,2,FALSE)</f>
        <v/>
      </c>
      <c r="J192" s="25">
        <f>VLOOKUP(F192,Assumptions!$B$50:$D$59,2,FALSE)*VLOOKUP("SI-T1",Assumptions!$B$27:$C$31,2,FALSE)*VLOOKUP(G192,Assumptions!$B$43:$C$45,2,FALSE)</f>
        <v/>
      </c>
    </row>
    <row r="193">
      <c r="B193" s="7" t="inlineStr">
        <is>
          <t>RC-0188</t>
        </is>
      </c>
      <c r="C193" s="11" t="inlineStr">
        <is>
          <t>Marketing Technology</t>
        </is>
      </c>
      <c r="D193" s="7" t="inlineStr">
        <is>
          <t>AEM Architect</t>
        </is>
      </c>
      <c r="E193" s="11" t="inlineStr">
        <is>
          <t>Adobe AEM</t>
        </is>
      </c>
      <c r="F193" s="11" t="inlineStr">
        <is>
          <t>Senior Manager</t>
        </is>
      </c>
      <c r="G193" s="21" t="inlineStr">
        <is>
          <t>High</t>
        </is>
      </c>
      <c r="H193" s="23">
        <f>VLOOKUP(F193,'Internal Cost Model'!$B$6:$F$15,5,FALSE)</f>
        <v/>
      </c>
      <c r="I193" s="24">
        <f>H193*VLOOKUP(G193,Assumptions!$B$43:$C$45,2,FALSE)</f>
        <v/>
      </c>
      <c r="J193" s="25">
        <f>VLOOKUP(F193,Assumptions!$B$50:$D$59,2,FALSE)*VLOOKUP("SI-T1",Assumptions!$B$27:$C$31,2,FALSE)*VLOOKUP(G193,Assumptions!$B$43:$C$45,2,FALSE)</f>
        <v/>
      </c>
    </row>
    <row r="194">
      <c r="B194" s="7" t="inlineStr">
        <is>
          <t>RC-0189</t>
        </is>
      </c>
      <c r="C194" s="11" t="inlineStr">
        <is>
          <t>Marketing Technology</t>
        </is>
      </c>
      <c r="D194" s="7" t="inlineStr">
        <is>
          <t>AEM Architect</t>
        </is>
      </c>
      <c r="E194" s="11" t="inlineStr">
        <is>
          <t>Adobe AEM</t>
        </is>
      </c>
      <c r="F194" s="11" t="inlineStr">
        <is>
          <t>Manager</t>
        </is>
      </c>
      <c r="G194" s="21" t="inlineStr">
        <is>
          <t>High</t>
        </is>
      </c>
      <c r="H194" s="23">
        <f>VLOOKUP(F194,'Internal Cost Model'!$B$6:$F$15,5,FALSE)</f>
        <v/>
      </c>
      <c r="I194" s="24">
        <f>H194*VLOOKUP(G194,Assumptions!$B$43:$C$45,2,FALSE)</f>
        <v/>
      </c>
      <c r="J194" s="25">
        <f>VLOOKUP(F194,Assumptions!$B$50:$D$59,2,FALSE)*VLOOKUP("SI-T1",Assumptions!$B$27:$C$31,2,FALSE)*VLOOKUP(G194,Assumptions!$B$43:$C$45,2,FALSE)</f>
        <v/>
      </c>
    </row>
    <row r="195">
      <c r="B195" s="7" t="inlineStr">
        <is>
          <t>RC-0190</t>
        </is>
      </c>
      <c r="C195" s="11" t="inlineStr">
        <is>
          <t>Marketing Technology</t>
        </is>
      </c>
      <c r="D195" s="7" t="inlineStr">
        <is>
          <t>AEM Architect</t>
        </is>
      </c>
      <c r="E195" s="11" t="inlineStr">
        <is>
          <t>Adobe AEM</t>
        </is>
      </c>
      <c r="F195" s="11" t="inlineStr">
        <is>
          <t>Lead</t>
        </is>
      </c>
      <c r="G195" s="21" t="inlineStr">
        <is>
          <t>High</t>
        </is>
      </c>
      <c r="H195" s="23">
        <f>VLOOKUP(F195,'Internal Cost Model'!$B$6:$F$15,5,FALSE)</f>
        <v/>
      </c>
      <c r="I195" s="24">
        <f>H195*VLOOKUP(G195,Assumptions!$B$43:$C$45,2,FALSE)</f>
        <v/>
      </c>
      <c r="J195" s="25">
        <f>VLOOKUP(F195,Assumptions!$B$50:$D$59,2,FALSE)*VLOOKUP("SI-T1",Assumptions!$B$27:$C$31,2,FALSE)*VLOOKUP(G195,Assumptions!$B$43:$C$45,2,FALSE)</f>
        <v/>
      </c>
    </row>
    <row r="196">
      <c r="B196" s="7" t="inlineStr">
        <is>
          <t>RC-0191</t>
        </is>
      </c>
      <c r="C196" s="11" t="inlineStr">
        <is>
          <t>Marketing Technology</t>
        </is>
      </c>
      <c r="D196" s="7" t="inlineStr">
        <is>
          <t>Adobe Developer</t>
        </is>
      </c>
      <c r="E196" s="11" t="inlineStr">
        <is>
          <t>Adobe AEM</t>
        </is>
      </c>
      <c r="F196" s="11" t="inlineStr">
        <is>
          <t>Senior</t>
        </is>
      </c>
      <c r="G196" s="21" t="inlineStr">
        <is>
          <t>Medium</t>
        </is>
      </c>
      <c r="H196" s="23">
        <f>VLOOKUP(F196,'Internal Cost Model'!$B$6:$F$15,5,FALSE)</f>
        <v/>
      </c>
      <c r="I196" s="24">
        <f>H196*VLOOKUP(G196,Assumptions!$B$43:$C$45,2,FALSE)</f>
        <v/>
      </c>
      <c r="J196" s="25">
        <f>VLOOKUP(F196,Assumptions!$B$50:$D$59,2,FALSE)*VLOOKUP("SI-T1",Assumptions!$B$27:$C$31,2,FALSE)*VLOOKUP(G196,Assumptions!$B$43:$C$45,2,FALSE)</f>
        <v/>
      </c>
    </row>
    <row r="197">
      <c r="B197" s="7" t="inlineStr">
        <is>
          <t>RC-0192</t>
        </is>
      </c>
      <c r="C197" s="11" t="inlineStr">
        <is>
          <t>Marketing Technology</t>
        </is>
      </c>
      <c r="D197" s="7" t="inlineStr">
        <is>
          <t>Adobe Developer</t>
        </is>
      </c>
      <c r="E197" s="11" t="inlineStr">
        <is>
          <t>Adobe AEM</t>
        </is>
      </c>
      <c r="F197" s="11" t="inlineStr">
        <is>
          <t>Intermediate</t>
        </is>
      </c>
      <c r="G197" s="21" t="inlineStr">
        <is>
          <t>Medium</t>
        </is>
      </c>
      <c r="H197" s="23">
        <f>VLOOKUP(F197,'Internal Cost Model'!$B$6:$F$15,5,FALSE)</f>
        <v/>
      </c>
      <c r="I197" s="24">
        <f>H197*VLOOKUP(G197,Assumptions!$B$43:$C$45,2,FALSE)</f>
        <v/>
      </c>
      <c r="J197" s="25">
        <f>VLOOKUP(F197,Assumptions!$B$50:$D$59,2,FALSE)*VLOOKUP("SI-T1",Assumptions!$B$27:$C$31,2,FALSE)*VLOOKUP(G197,Assumptions!$B$43:$C$45,2,FALSE)</f>
        <v/>
      </c>
    </row>
    <row r="198">
      <c r="B198" s="7" t="inlineStr">
        <is>
          <t>RC-0193</t>
        </is>
      </c>
      <c r="C198" s="11" t="inlineStr">
        <is>
          <t>Marketing Technology</t>
        </is>
      </c>
      <c r="D198" s="7" t="inlineStr">
        <is>
          <t>Adobe Analytics Consultant</t>
        </is>
      </c>
      <c r="E198" s="11" t="inlineStr">
        <is>
          <t>Adobe Analytics</t>
        </is>
      </c>
      <c r="F198" s="11" t="inlineStr">
        <is>
          <t>Manager</t>
        </is>
      </c>
      <c r="G198" s="21" t="inlineStr">
        <is>
          <t>Medium</t>
        </is>
      </c>
      <c r="H198" s="23">
        <f>VLOOKUP(F198,'Internal Cost Model'!$B$6:$F$15,5,FALSE)</f>
        <v/>
      </c>
      <c r="I198" s="24">
        <f>H198*VLOOKUP(G198,Assumptions!$B$43:$C$45,2,FALSE)</f>
        <v/>
      </c>
      <c r="J198" s="25">
        <f>VLOOKUP(F198,Assumptions!$B$50:$D$59,2,FALSE)*VLOOKUP("SI-T1",Assumptions!$B$27:$C$31,2,FALSE)*VLOOKUP(G198,Assumptions!$B$43:$C$45,2,FALSE)</f>
        <v/>
      </c>
    </row>
    <row r="199">
      <c r="B199" s="7" t="inlineStr">
        <is>
          <t>RC-0194</t>
        </is>
      </c>
      <c r="C199" s="11" t="inlineStr">
        <is>
          <t>Marketing Technology</t>
        </is>
      </c>
      <c r="D199" s="7" t="inlineStr">
        <is>
          <t>Adobe Analytics Consultant</t>
        </is>
      </c>
      <c r="E199" s="11" t="inlineStr">
        <is>
          <t>Adobe Analytics</t>
        </is>
      </c>
      <c r="F199" s="11" t="inlineStr">
        <is>
          <t>Lead</t>
        </is>
      </c>
      <c r="G199" s="21" t="inlineStr">
        <is>
          <t>Medium</t>
        </is>
      </c>
      <c r="H199" s="23">
        <f>VLOOKUP(F199,'Internal Cost Model'!$B$6:$F$15,5,FALSE)</f>
        <v/>
      </c>
      <c r="I199" s="24">
        <f>H199*VLOOKUP(G199,Assumptions!$B$43:$C$45,2,FALSE)</f>
        <v/>
      </c>
      <c r="J199" s="25">
        <f>VLOOKUP(F199,Assumptions!$B$50:$D$59,2,FALSE)*VLOOKUP("SI-T1",Assumptions!$B$27:$C$31,2,FALSE)*VLOOKUP(G199,Assumptions!$B$43:$C$45,2,FALSE)</f>
        <v/>
      </c>
    </row>
    <row r="200">
      <c r="B200" s="7" t="inlineStr">
        <is>
          <t>RC-0195</t>
        </is>
      </c>
      <c r="C200" s="11" t="inlineStr">
        <is>
          <t>Marketing Technology</t>
        </is>
      </c>
      <c r="D200" s="7" t="inlineStr">
        <is>
          <t>Adobe Analytics Consultant</t>
        </is>
      </c>
      <c r="E200" s="11" t="inlineStr">
        <is>
          <t>Adobe Analytics</t>
        </is>
      </c>
      <c r="F200" s="11" t="inlineStr">
        <is>
          <t>Senior</t>
        </is>
      </c>
      <c r="G200" s="21" t="inlineStr">
        <is>
          <t>Medium</t>
        </is>
      </c>
      <c r="H200" s="23">
        <f>VLOOKUP(F200,'Internal Cost Model'!$B$6:$F$15,5,FALSE)</f>
        <v/>
      </c>
      <c r="I200" s="24">
        <f>H200*VLOOKUP(G200,Assumptions!$B$43:$C$45,2,FALSE)</f>
        <v/>
      </c>
      <c r="J200" s="25">
        <f>VLOOKUP(F200,Assumptions!$B$50:$D$59,2,FALSE)*VLOOKUP("SI-T1",Assumptions!$B$27:$C$31,2,FALSE)*VLOOKUP(G200,Assumptions!$B$43:$C$45,2,FALSE)</f>
        <v/>
      </c>
    </row>
    <row r="201">
      <c r="B201" s="7" t="inlineStr">
        <is>
          <t>RC-0196</t>
        </is>
      </c>
      <c r="C201" s="11" t="inlineStr">
        <is>
          <t>Marketing Technology</t>
        </is>
      </c>
      <c r="D201" s="7" t="inlineStr">
        <is>
          <t>CDP Architect</t>
        </is>
      </c>
      <c r="E201" s="11" t="inlineStr">
        <is>
          <t>Customer Data Platform</t>
        </is>
      </c>
      <c r="F201" s="11" t="inlineStr">
        <is>
          <t>Director</t>
        </is>
      </c>
      <c r="G201" s="21" t="inlineStr">
        <is>
          <t>High</t>
        </is>
      </c>
      <c r="H201" s="23">
        <f>VLOOKUP(F201,'Internal Cost Model'!$B$6:$F$15,5,FALSE)</f>
        <v/>
      </c>
      <c r="I201" s="24">
        <f>H201*VLOOKUP(G201,Assumptions!$B$43:$C$45,2,FALSE)</f>
        <v/>
      </c>
      <c r="J201" s="25">
        <f>VLOOKUP(F201,Assumptions!$B$50:$D$59,2,FALSE)*VLOOKUP("SI-T1",Assumptions!$B$27:$C$31,2,FALSE)*VLOOKUP(G201,Assumptions!$B$43:$C$45,2,FALSE)</f>
        <v/>
      </c>
    </row>
    <row r="202">
      <c r="B202" s="7" t="inlineStr">
        <is>
          <t>RC-0197</t>
        </is>
      </c>
      <c r="C202" s="11" t="inlineStr">
        <is>
          <t>Marketing Technology</t>
        </is>
      </c>
      <c r="D202" s="7" t="inlineStr">
        <is>
          <t>CDP Architect</t>
        </is>
      </c>
      <c r="E202" s="11" t="inlineStr">
        <is>
          <t>Customer Data Platform</t>
        </is>
      </c>
      <c r="F202" s="11" t="inlineStr">
        <is>
          <t>Senior Manager</t>
        </is>
      </c>
      <c r="G202" s="21" t="inlineStr">
        <is>
          <t>High</t>
        </is>
      </c>
      <c r="H202" s="23">
        <f>VLOOKUP(F202,'Internal Cost Model'!$B$6:$F$15,5,FALSE)</f>
        <v/>
      </c>
      <c r="I202" s="24">
        <f>H202*VLOOKUP(G202,Assumptions!$B$43:$C$45,2,FALSE)</f>
        <v/>
      </c>
      <c r="J202" s="25">
        <f>VLOOKUP(F202,Assumptions!$B$50:$D$59,2,FALSE)*VLOOKUP("SI-T1",Assumptions!$B$27:$C$31,2,FALSE)*VLOOKUP(G202,Assumptions!$B$43:$C$45,2,FALSE)</f>
        <v/>
      </c>
    </row>
    <row r="203">
      <c r="B203" s="7" t="inlineStr">
        <is>
          <t>RC-0198</t>
        </is>
      </c>
      <c r="C203" s="11" t="inlineStr">
        <is>
          <t>Marketing Technology</t>
        </is>
      </c>
      <c r="D203" s="7" t="inlineStr">
        <is>
          <t>CDP Architect</t>
        </is>
      </c>
      <c r="E203" s="11" t="inlineStr">
        <is>
          <t>Customer Data Platform</t>
        </is>
      </c>
      <c r="F203" s="11" t="inlineStr">
        <is>
          <t>Manager</t>
        </is>
      </c>
      <c r="G203" s="21" t="inlineStr">
        <is>
          <t>High</t>
        </is>
      </c>
      <c r="H203" s="23">
        <f>VLOOKUP(F203,'Internal Cost Model'!$B$6:$F$15,5,FALSE)</f>
        <v/>
      </c>
      <c r="I203" s="24">
        <f>H203*VLOOKUP(G203,Assumptions!$B$43:$C$45,2,FALSE)</f>
        <v/>
      </c>
      <c r="J203" s="25">
        <f>VLOOKUP(F203,Assumptions!$B$50:$D$59,2,FALSE)*VLOOKUP("SI-T1",Assumptions!$B$27:$C$31,2,FALSE)*VLOOKUP(G203,Assumptions!$B$43:$C$45,2,FALSE)</f>
        <v/>
      </c>
    </row>
    <row r="204">
      <c r="B204" s="7" t="inlineStr">
        <is>
          <t>RC-0199</t>
        </is>
      </c>
      <c r="C204" s="11" t="inlineStr">
        <is>
          <t>Marketing Technology</t>
        </is>
      </c>
      <c r="D204" s="7" t="inlineStr">
        <is>
          <t>CDP Architect</t>
        </is>
      </c>
      <c r="E204" s="11" t="inlineStr">
        <is>
          <t>Customer Data Platform</t>
        </is>
      </c>
      <c r="F204" s="11" t="inlineStr">
        <is>
          <t>Lead</t>
        </is>
      </c>
      <c r="G204" s="21" t="inlineStr">
        <is>
          <t>High</t>
        </is>
      </c>
      <c r="H204" s="23">
        <f>VLOOKUP(F204,'Internal Cost Model'!$B$6:$F$15,5,FALSE)</f>
        <v/>
      </c>
      <c r="I204" s="24">
        <f>H204*VLOOKUP(G204,Assumptions!$B$43:$C$45,2,FALSE)</f>
        <v/>
      </c>
      <c r="J204" s="25">
        <f>VLOOKUP(F204,Assumptions!$B$50:$D$59,2,FALSE)*VLOOKUP("SI-T1",Assumptions!$B$27:$C$31,2,FALSE)*VLOOKUP(G204,Assumptions!$B$43:$C$45,2,FALSE)</f>
        <v/>
      </c>
    </row>
    <row r="205">
      <c r="B205" s="7" t="inlineStr">
        <is>
          <t>RC-0200</t>
        </is>
      </c>
      <c r="C205" s="11" t="inlineStr">
        <is>
          <t>Marketing Technology</t>
        </is>
      </c>
      <c r="D205" s="7" t="inlineStr">
        <is>
          <t>MarTech Strategist</t>
        </is>
      </c>
      <c r="E205" s="11" t="inlineStr">
        <is>
          <t>MarTech Strategy</t>
        </is>
      </c>
      <c r="F205" s="11" t="inlineStr">
        <is>
          <t>Director</t>
        </is>
      </c>
      <c r="G205" s="21" t="inlineStr">
        <is>
          <t>Medium</t>
        </is>
      </c>
      <c r="H205" s="23">
        <f>VLOOKUP(F205,'Internal Cost Model'!$B$6:$F$15,5,FALSE)</f>
        <v/>
      </c>
      <c r="I205" s="24">
        <f>H205*VLOOKUP(G205,Assumptions!$B$43:$C$45,2,FALSE)</f>
        <v/>
      </c>
      <c r="J205" s="25">
        <f>VLOOKUP(F205,Assumptions!$B$50:$D$59,2,FALSE)*VLOOKUP("SI-T1",Assumptions!$B$27:$C$31,2,FALSE)*VLOOKUP(G205,Assumptions!$B$43:$C$45,2,FALSE)</f>
        <v/>
      </c>
    </row>
    <row r="206">
      <c r="B206" s="7" t="inlineStr">
        <is>
          <t>RC-0201</t>
        </is>
      </c>
      <c r="C206" s="11" t="inlineStr">
        <is>
          <t>Marketing Technology</t>
        </is>
      </c>
      <c r="D206" s="7" t="inlineStr">
        <is>
          <t>MarTech Strategist</t>
        </is>
      </c>
      <c r="E206" s="11" t="inlineStr">
        <is>
          <t>MarTech Strategy</t>
        </is>
      </c>
      <c r="F206" s="11" t="inlineStr">
        <is>
          <t>Senior Manager</t>
        </is>
      </c>
      <c r="G206" s="21" t="inlineStr">
        <is>
          <t>Medium</t>
        </is>
      </c>
      <c r="H206" s="23">
        <f>VLOOKUP(F206,'Internal Cost Model'!$B$6:$F$15,5,FALSE)</f>
        <v/>
      </c>
      <c r="I206" s="24">
        <f>H206*VLOOKUP(G206,Assumptions!$B$43:$C$45,2,FALSE)</f>
        <v/>
      </c>
      <c r="J206" s="25">
        <f>VLOOKUP(F206,Assumptions!$B$50:$D$59,2,FALSE)*VLOOKUP("SI-T1",Assumptions!$B$27:$C$31,2,FALSE)*VLOOKUP(G206,Assumptions!$B$43:$C$45,2,FALSE)</f>
        <v/>
      </c>
    </row>
    <row r="207">
      <c r="B207" s="7" t="inlineStr">
        <is>
          <t>RC-0202</t>
        </is>
      </c>
      <c r="C207" s="11" t="inlineStr">
        <is>
          <t>Marketing Technology</t>
        </is>
      </c>
      <c r="D207" s="7" t="inlineStr">
        <is>
          <t>MarTech Strategist</t>
        </is>
      </c>
      <c r="E207" s="11" t="inlineStr">
        <is>
          <t>MarTech Strategy</t>
        </is>
      </c>
      <c r="F207" s="11" t="inlineStr">
        <is>
          <t>Manager</t>
        </is>
      </c>
      <c r="G207" s="21" t="inlineStr">
        <is>
          <t>Medium</t>
        </is>
      </c>
      <c r="H207" s="23">
        <f>VLOOKUP(F207,'Internal Cost Model'!$B$6:$F$15,5,FALSE)</f>
        <v/>
      </c>
      <c r="I207" s="24">
        <f>H207*VLOOKUP(G207,Assumptions!$B$43:$C$45,2,FALSE)</f>
        <v/>
      </c>
      <c r="J207" s="25">
        <f>VLOOKUP(F207,Assumptions!$B$50:$D$59,2,FALSE)*VLOOKUP("SI-T1",Assumptions!$B$27:$C$31,2,FALSE)*VLOOKUP(G207,Assumptions!$B$43:$C$45,2,FALSE)</f>
        <v/>
      </c>
    </row>
    <row r="208">
      <c r="B208" s="7" t="inlineStr">
        <is>
          <t>RC-0203</t>
        </is>
      </c>
      <c r="C208" s="11" t="inlineStr">
        <is>
          <t>Product Management</t>
        </is>
      </c>
      <c r="D208" s="7" t="inlineStr">
        <is>
          <t>Head of Product (Advisory)</t>
        </is>
      </c>
      <c r="E208" s="11" t="inlineStr">
        <is>
          <t>Product Strategy</t>
        </is>
      </c>
      <c r="F208" s="11" t="inlineStr">
        <is>
          <t>Managing Director</t>
        </is>
      </c>
      <c r="G208" s="21" t="inlineStr">
        <is>
          <t>High</t>
        </is>
      </c>
      <c r="H208" s="23">
        <f>VLOOKUP(F208,'Internal Cost Model'!$B$6:$F$15,5,FALSE)</f>
        <v/>
      </c>
      <c r="I208" s="24">
        <f>H208*VLOOKUP(G208,Assumptions!$B$43:$C$45,2,FALSE)</f>
        <v/>
      </c>
      <c r="J208" s="25">
        <f>VLOOKUP(F208,Assumptions!$B$50:$D$59,2,FALSE)*VLOOKUP("SI-T1",Assumptions!$B$27:$C$31,2,FALSE)*VLOOKUP(G208,Assumptions!$B$43:$C$45,2,FALSE)</f>
        <v/>
      </c>
    </row>
    <row r="209">
      <c r="B209" s="7" t="inlineStr">
        <is>
          <t>RC-0204</t>
        </is>
      </c>
      <c r="C209" s="11" t="inlineStr">
        <is>
          <t>Product Management</t>
        </is>
      </c>
      <c r="D209" s="7" t="inlineStr">
        <is>
          <t>Head of Product (Advisory)</t>
        </is>
      </c>
      <c r="E209" s="11" t="inlineStr">
        <is>
          <t>Product Strategy</t>
        </is>
      </c>
      <c r="F209" s="11" t="inlineStr">
        <is>
          <t>Principal</t>
        </is>
      </c>
      <c r="G209" s="21" t="inlineStr">
        <is>
          <t>High</t>
        </is>
      </c>
      <c r="H209" s="23">
        <f>VLOOKUP(F209,'Internal Cost Model'!$B$6:$F$15,5,FALSE)</f>
        <v/>
      </c>
      <c r="I209" s="24">
        <f>H209*VLOOKUP(G209,Assumptions!$B$43:$C$45,2,FALSE)</f>
        <v/>
      </c>
      <c r="J209" s="25">
        <f>VLOOKUP(F209,Assumptions!$B$50:$D$59,2,FALSE)*VLOOKUP("SI-T1",Assumptions!$B$27:$C$31,2,FALSE)*VLOOKUP(G209,Assumptions!$B$43:$C$45,2,FALSE)</f>
        <v/>
      </c>
    </row>
    <row r="210">
      <c r="B210" s="7" t="inlineStr">
        <is>
          <t>RC-0205</t>
        </is>
      </c>
      <c r="C210" s="11" t="inlineStr">
        <is>
          <t>Product Management</t>
        </is>
      </c>
      <c r="D210" s="7" t="inlineStr">
        <is>
          <t>Head of Product (Advisory)</t>
        </is>
      </c>
      <c r="E210" s="11" t="inlineStr">
        <is>
          <t>Product Strategy</t>
        </is>
      </c>
      <c r="F210" s="11" t="inlineStr">
        <is>
          <t>Director</t>
        </is>
      </c>
      <c r="G210" s="21" t="inlineStr">
        <is>
          <t>High</t>
        </is>
      </c>
      <c r="H210" s="23">
        <f>VLOOKUP(F210,'Internal Cost Model'!$B$6:$F$15,5,FALSE)</f>
        <v/>
      </c>
      <c r="I210" s="24">
        <f>H210*VLOOKUP(G210,Assumptions!$B$43:$C$45,2,FALSE)</f>
        <v/>
      </c>
      <c r="J210" s="25">
        <f>VLOOKUP(F210,Assumptions!$B$50:$D$59,2,FALSE)*VLOOKUP("SI-T1",Assumptions!$B$27:$C$31,2,FALSE)*VLOOKUP(G210,Assumptions!$B$43:$C$45,2,FALSE)</f>
        <v/>
      </c>
    </row>
    <row r="211">
      <c r="B211" s="7" t="inlineStr">
        <is>
          <t>RC-0206</t>
        </is>
      </c>
      <c r="C211" s="11" t="inlineStr">
        <is>
          <t>Product Management</t>
        </is>
      </c>
      <c r="D211" s="7" t="inlineStr">
        <is>
          <t>Principal Product Manager</t>
        </is>
      </c>
      <c r="E211" s="11" t="inlineStr">
        <is>
          <t>Product Strategy</t>
        </is>
      </c>
      <c r="F211" s="11" t="inlineStr">
        <is>
          <t>Principal</t>
        </is>
      </c>
      <c r="G211" s="21" t="inlineStr">
        <is>
          <t>High</t>
        </is>
      </c>
      <c r="H211" s="23">
        <f>VLOOKUP(F211,'Internal Cost Model'!$B$6:$F$15,5,FALSE)</f>
        <v/>
      </c>
      <c r="I211" s="24">
        <f>H211*VLOOKUP(G211,Assumptions!$B$43:$C$45,2,FALSE)</f>
        <v/>
      </c>
      <c r="J211" s="25">
        <f>VLOOKUP(F211,Assumptions!$B$50:$D$59,2,FALSE)*VLOOKUP("SI-T1",Assumptions!$B$27:$C$31,2,FALSE)*VLOOKUP(G211,Assumptions!$B$43:$C$45,2,FALSE)</f>
        <v/>
      </c>
    </row>
    <row r="212">
      <c r="B212" s="7" t="inlineStr">
        <is>
          <t>RC-0207</t>
        </is>
      </c>
      <c r="C212" s="11" t="inlineStr">
        <is>
          <t>Product Management</t>
        </is>
      </c>
      <c r="D212" s="7" t="inlineStr">
        <is>
          <t>Senior Product Manager</t>
        </is>
      </c>
      <c r="E212" s="11" t="inlineStr">
        <is>
          <t>Product Ownership</t>
        </is>
      </c>
      <c r="F212" s="11" t="inlineStr">
        <is>
          <t>Senior Manager</t>
        </is>
      </c>
      <c r="G212" s="21" t="inlineStr">
        <is>
          <t>Medium</t>
        </is>
      </c>
      <c r="H212" s="23">
        <f>VLOOKUP(F212,'Internal Cost Model'!$B$6:$F$15,5,FALSE)</f>
        <v/>
      </c>
      <c r="I212" s="24">
        <f>H212*VLOOKUP(G212,Assumptions!$B$43:$C$45,2,FALSE)</f>
        <v/>
      </c>
      <c r="J212" s="25">
        <f>VLOOKUP(F212,Assumptions!$B$50:$D$59,2,FALSE)*VLOOKUP("SI-T1",Assumptions!$B$27:$C$31,2,FALSE)*VLOOKUP(G212,Assumptions!$B$43:$C$45,2,FALSE)</f>
        <v/>
      </c>
    </row>
    <row r="213">
      <c r="B213" s="7" t="inlineStr">
        <is>
          <t>RC-0208</t>
        </is>
      </c>
      <c r="C213" s="11" t="inlineStr">
        <is>
          <t>Product Management</t>
        </is>
      </c>
      <c r="D213" s="7" t="inlineStr">
        <is>
          <t>Product Owner</t>
        </is>
      </c>
      <c r="E213" s="11" t="inlineStr">
        <is>
          <t>Product Ownership</t>
        </is>
      </c>
      <c r="F213" s="11" t="inlineStr">
        <is>
          <t>Manager</t>
        </is>
      </c>
      <c r="G213" s="21" t="inlineStr">
        <is>
          <t>Medium</t>
        </is>
      </c>
      <c r="H213" s="23">
        <f>VLOOKUP(F213,'Internal Cost Model'!$B$6:$F$15,5,FALSE)</f>
        <v/>
      </c>
      <c r="I213" s="24">
        <f>H213*VLOOKUP(G213,Assumptions!$B$43:$C$45,2,FALSE)</f>
        <v/>
      </c>
      <c r="J213" s="25">
        <f>VLOOKUP(F213,Assumptions!$B$50:$D$59,2,FALSE)*VLOOKUP("SI-T1",Assumptions!$B$27:$C$31,2,FALSE)*VLOOKUP(G213,Assumptions!$B$43:$C$45,2,FALSE)</f>
        <v/>
      </c>
    </row>
    <row r="214">
      <c r="B214" s="7" t="inlineStr">
        <is>
          <t>RC-0209</t>
        </is>
      </c>
      <c r="C214" s="11" t="inlineStr">
        <is>
          <t>Product Management</t>
        </is>
      </c>
      <c r="D214" s="7" t="inlineStr">
        <is>
          <t>Product Owner</t>
        </is>
      </c>
      <c r="E214" s="11" t="inlineStr">
        <is>
          <t>Product Ownership</t>
        </is>
      </c>
      <c r="F214" s="11" t="inlineStr">
        <is>
          <t>Lead</t>
        </is>
      </c>
      <c r="G214" s="21" t="inlineStr">
        <is>
          <t>Medium</t>
        </is>
      </c>
      <c r="H214" s="23">
        <f>VLOOKUP(F214,'Internal Cost Model'!$B$6:$F$15,5,FALSE)</f>
        <v/>
      </c>
      <c r="I214" s="24">
        <f>H214*VLOOKUP(G214,Assumptions!$B$43:$C$45,2,FALSE)</f>
        <v/>
      </c>
      <c r="J214" s="25">
        <f>VLOOKUP(F214,Assumptions!$B$50:$D$59,2,FALSE)*VLOOKUP("SI-T1",Assumptions!$B$27:$C$31,2,FALSE)*VLOOKUP(G214,Assumptions!$B$43:$C$45,2,FALSE)</f>
        <v/>
      </c>
    </row>
    <row r="215">
      <c r="B215" s="7" t="inlineStr">
        <is>
          <t>RC-0210</t>
        </is>
      </c>
      <c r="C215" s="11" t="inlineStr">
        <is>
          <t>Product Management</t>
        </is>
      </c>
      <c r="D215" s="7" t="inlineStr">
        <is>
          <t>Product Owner</t>
        </is>
      </c>
      <c r="E215" s="11" t="inlineStr">
        <is>
          <t>Product Ownership</t>
        </is>
      </c>
      <c r="F215" s="11" t="inlineStr">
        <is>
          <t>Senior</t>
        </is>
      </c>
      <c r="G215" s="21" t="inlineStr">
        <is>
          <t>Medium</t>
        </is>
      </c>
      <c r="H215" s="23">
        <f>VLOOKUP(F215,'Internal Cost Model'!$B$6:$F$15,5,FALSE)</f>
        <v/>
      </c>
      <c r="I215" s="24">
        <f>H215*VLOOKUP(G215,Assumptions!$B$43:$C$45,2,FALSE)</f>
        <v/>
      </c>
      <c r="J215" s="25">
        <f>VLOOKUP(F215,Assumptions!$B$50:$D$59,2,FALSE)*VLOOKUP("SI-T1",Assumptions!$B$27:$C$31,2,FALSE)*VLOOKUP(G215,Assumptions!$B$43:$C$45,2,FALSE)</f>
        <v/>
      </c>
    </row>
    <row r="216">
      <c r="B216" s="7" t="inlineStr">
        <is>
          <t>RC-0211</t>
        </is>
      </c>
      <c r="C216" s="11" t="inlineStr">
        <is>
          <t>Application Engineering</t>
        </is>
      </c>
      <c r="D216" s="7" t="inlineStr">
        <is>
          <t>Principal Engineer</t>
        </is>
      </c>
      <c r="E216" s="11" t="inlineStr">
        <is>
          <t>Backend Engineering</t>
        </is>
      </c>
      <c r="F216" s="11" t="inlineStr">
        <is>
          <t>Principal</t>
        </is>
      </c>
      <c r="G216" s="21" t="inlineStr">
        <is>
          <t>High</t>
        </is>
      </c>
      <c r="H216" s="23">
        <f>VLOOKUP(F216,'Internal Cost Model'!$B$6:$F$15,5,FALSE)</f>
        <v/>
      </c>
      <c r="I216" s="24">
        <f>H216*VLOOKUP(G216,Assumptions!$B$43:$C$45,2,FALSE)</f>
        <v/>
      </c>
      <c r="J216" s="25">
        <f>VLOOKUP(F216,Assumptions!$B$50:$D$59,2,FALSE)*VLOOKUP("SI-T1",Assumptions!$B$27:$C$31,2,FALSE)*VLOOKUP(G216,Assumptions!$B$43:$C$45,2,FALSE)</f>
        <v/>
      </c>
    </row>
    <row r="217">
      <c r="B217" s="7" t="inlineStr">
        <is>
          <t>RC-0212</t>
        </is>
      </c>
      <c r="C217" s="11" t="inlineStr">
        <is>
          <t>Application Engineering</t>
        </is>
      </c>
      <c r="D217" s="7" t="inlineStr">
        <is>
          <t>Engineering Lead</t>
        </is>
      </c>
      <c r="E217" s="11" t="inlineStr">
        <is>
          <t>Microservices</t>
        </is>
      </c>
      <c r="F217" s="11" t="inlineStr">
        <is>
          <t>Senior Manager</t>
        </is>
      </c>
      <c r="G217" s="21" t="inlineStr">
        <is>
          <t>High</t>
        </is>
      </c>
      <c r="H217" s="23">
        <f>VLOOKUP(F217,'Internal Cost Model'!$B$6:$F$15,5,FALSE)</f>
        <v/>
      </c>
      <c r="I217" s="24">
        <f>H217*VLOOKUP(G217,Assumptions!$B$43:$C$45,2,FALSE)</f>
        <v/>
      </c>
      <c r="J217" s="25">
        <f>VLOOKUP(F217,Assumptions!$B$50:$D$59,2,FALSE)*VLOOKUP("SI-T1",Assumptions!$B$27:$C$31,2,FALSE)*VLOOKUP(G217,Assumptions!$B$43:$C$45,2,FALSE)</f>
        <v/>
      </c>
    </row>
    <row r="218">
      <c r="B218" s="7" t="inlineStr">
        <is>
          <t>RC-0213</t>
        </is>
      </c>
      <c r="C218" s="11" t="inlineStr">
        <is>
          <t>Application Engineering</t>
        </is>
      </c>
      <c r="D218" s="7" t="inlineStr">
        <is>
          <t>Engineering Lead</t>
        </is>
      </c>
      <c r="E218" s="11" t="inlineStr">
        <is>
          <t>Microservices</t>
        </is>
      </c>
      <c r="F218" s="11" t="inlineStr">
        <is>
          <t>Manager</t>
        </is>
      </c>
      <c r="G218" s="21" t="inlineStr">
        <is>
          <t>High</t>
        </is>
      </c>
      <c r="H218" s="23">
        <f>VLOOKUP(F218,'Internal Cost Model'!$B$6:$F$15,5,FALSE)</f>
        <v/>
      </c>
      <c r="I218" s="24">
        <f>H218*VLOOKUP(G218,Assumptions!$B$43:$C$45,2,FALSE)</f>
        <v/>
      </c>
      <c r="J218" s="25">
        <f>VLOOKUP(F218,Assumptions!$B$50:$D$59,2,FALSE)*VLOOKUP("SI-T1",Assumptions!$B$27:$C$31,2,FALSE)*VLOOKUP(G218,Assumptions!$B$43:$C$45,2,FALSE)</f>
        <v/>
      </c>
    </row>
    <row r="219">
      <c r="B219" s="7" t="inlineStr">
        <is>
          <t>RC-0214</t>
        </is>
      </c>
      <c r="C219" s="11" t="inlineStr">
        <is>
          <t>Application Engineering</t>
        </is>
      </c>
      <c r="D219" s="7" t="inlineStr">
        <is>
          <t>Engineering Lead</t>
        </is>
      </c>
      <c r="E219" s="11" t="inlineStr">
        <is>
          <t>Microservices</t>
        </is>
      </c>
      <c r="F219" s="11" t="inlineStr">
        <is>
          <t>Lead</t>
        </is>
      </c>
      <c r="G219" s="21" t="inlineStr">
        <is>
          <t>High</t>
        </is>
      </c>
      <c r="H219" s="23">
        <f>VLOOKUP(F219,'Internal Cost Model'!$B$6:$F$15,5,FALSE)</f>
        <v/>
      </c>
      <c r="I219" s="24">
        <f>H219*VLOOKUP(G219,Assumptions!$B$43:$C$45,2,FALSE)</f>
        <v/>
      </c>
      <c r="J219" s="25">
        <f>VLOOKUP(F219,Assumptions!$B$50:$D$59,2,FALSE)*VLOOKUP("SI-T1",Assumptions!$B$27:$C$31,2,FALSE)*VLOOKUP(G219,Assumptions!$B$43:$C$45,2,FALSE)</f>
        <v/>
      </c>
    </row>
    <row r="220">
      <c r="B220" s="7" t="inlineStr">
        <is>
          <t>RC-0215</t>
        </is>
      </c>
      <c r="C220" s="11" t="inlineStr">
        <is>
          <t>Application Engineering</t>
        </is>
      </c>
      <c r="D220" s="7" t="inlineStr">
        <is>
          <t>Senior Software Engineer</t>
        </is>
      </c>
      <c r="E220" s="11" t="inlineStr">
        <is>
          <t>Backend Engineering</t>
        </is>
      </c>
      <c r="F220" s="11" t="inlineStr">
        <is>
          <t>Senior</t>
        </is>
      </c>
      <c r="G220" s="21" t="inlineStr">
        <is>
          <t>High</t>
        </is>
      </c>
      <c r="H220" s="23">
        <f>VLOOKUP(F220,'Internal Cost Model'!$B$6:$F$15,5,FALSE)</f>
        <v/>
      </c>
      <c r="I220" s="24">
        <f>H220*VLOOKUP(G220,Assumptions!$B$43:$C$45,2,FALSE)</f>
        <v/>
      </c>
      <c r="J220" s="25">
        <f>VLOOKUP(F220,Assumptions!$B$50:$D$59,2,FALSE)*VLOOKUP("SI-T1",Assumptions!$B$27:$C$31,2,FALSE)*VLOOKUP(G220,Assumptions!$B$43:$C$45,2,FALSE)</f>
        <v/>
      </c>
    </row>
    <row r="221">
      <c r="B221" s="7" t="inlineStr">
        <is>
          <t>RC-0216</t>
        </is>
      </c>
      <c r="C221" s="11" t="inlineStr">
        <is>
          <t>Application Engineering</t>
        </is>
      </c>
      <c r="D221" s="7" t="inlineStr">
        <is>
          <t>Software Engineer</t>
        </is>
      </c>
      <c r="E221" s="11" t="inlineStr">
        <is>
          <t>Backend Engineering</t>
        </is>
      </c>
      <c r="F221" s="11" t="inlineStr">
        <is>
          <t>Senior</t>
        </is>
      </c>
      <c r="G221" s="21" t="inlineStr">
        <is>
          <t>Medium</t>
        </is>
      </c>
      <c r="H221" s="23">
        <f>VLOOKUP(F221,'Internal Cost Model'!$B$6:$F$15,5,FALSE)</f>
        <v/>
      </c>
      <c r="I221" s="24">
        <f>H221*VLOOKUP(G221,Assumptions!$B$43:$C$45,2,FALSE)</f>
        <v/>
      </c>
      <c r="J221" s="25">
        <f>VLOOKUP(F221,Assumptions!$B$50:$D$59,2,FALSE)*VLOOKUP("SI-T1",Assumptions!$B$27:$C$31,2,FALSE)*VLOOKUP(G221,Assumptions!$B$43:$C$45,2,FALSE)</f>
        <v/>
      </c>
    </row>
    <row r="222">
      <c r="B222" s="7" t="inlineStr">
        <is>
          <t>RC-0217</t>
        </is>
      </c>
      <c r="C222" s="11" t="inlineStr">
        <is>
          <t>Application Engineering</t>
        </is>
      </c>
      <c r="D222" s="7" t="inlineStr">
        <is>
          <t>Software Engineer</t>
        </is>
      </c>
      <c r="E222" s="11" t="inlineStr">
        <is>
          <t>Backend Engineering</t>
        </is>
      </c>
      <c r="F222" s="11" t="inlineStr">
        <is>
          <t>Intermediate</t>
        </is>
      </c>
      <c r="G222" s="21" t="inlineStr">
        <is>
          <t>Medium</t>
        </is>
      </c>
      <c r="H222" s="23">
        <f>VLOOKUP(F222,'Internal Cost Model'!$B$6:$F$15,5,FALSE)</f>
        <v/>
      </c>
      <c r="I222" s="24">
        <f>H222*VLOOKUP(G222,Assumptions!$B$43:$C$45,2,FALSE)</f>
        <v/>
      </c>
      <c r="J222" s="25">
        <f>VLOOKUP(F222,Assumptions!$B$50:$D$59,2,FALSE)*VLOOKUP("SI-T1",Assumptions!$B$27:$C$31,2,FALSE)*VLOOKUP(G222,Assumptions!$B$43:$C$45,2,FALSE)</f>
        <v/>
      </c>
    </row>
    <row r="223">
      <c r="B223" s="7" t="inlineStr">
        <is>
          <t>RC-0218</t>
        </is>
      </c>
      <c r="C223" s="11" t="inlineStr">
        <is>
          <t>Application Engineering</t>
        </is>
      </c>
      <c r="D223" s="7" t="inlineStr">
        <is>
          <t>Frontend Engineer</t>
        </is>
      </c>
      <c r="E223" s="11" t="inlineStr">
        <is>
          <t>Frontend Engineering</t>
        </is>
      </c>
      <c r="F223" s="11" t="inlineStr">
        <is>
          <t>Senior</t>
        </is>
      </c>
      <c r="G223" s="21" t="inlineStr">
        <is>
          <t>Medium</t>
        </is>
      </c>
      <c r="H223" s="23">
        <f>VLOOKUP(F223,'Internal Cost Model'!$B$6:$F$15,5,FALSE)</f>
        <v/>
      </c>
      <c r="I223" s="24">
        <f>H223*VLOOKUP(G223,Assumptions!$B$43:$C$45,2,FALSE)</f>
        <v/>
      </c>
      <c r="J223" s="25">
        <f>VLOOKUP(F223,Assumptions!$B$50:$D$59,2,FALSE)*VLOOKUP("SI-T1",Assumptions!$B$27:$C$31,2,FALSE)*VLOOKUP(G223,Assumptions!$B$43:$C$45,2,FALSE)</f>
        <v/>
      </c>
    </row>
    <row r="224">
      <c r="B224" s="7" t="inlineStr">
        <is>
          <t>RC-0219</t>
        </is>
      </c>
      <c r="C224" s="11" t="inlineStr">
        <is>
          <t>Application Engineering</t>
        </is>
      </c>
      <c r="D224" s="7" t="inlineStr">
        <is>
          <t>Frontend Engineer</t>
        </is>
      </c>
      <c r="E224" s="11" t="inlineStr">
        <is>
          <t>Frontend Engineering</t>
        </is>
      </c>
      <c r="F224" s="11" t="inlineStr">
        <is>
          <t>Intermediate</t>
        </is>
      </c>
      <c r="G224" s="21" t="inlineStr">
        <is>
          <t>Medium</t>
        </is>
      </c>
      <c r="H224" s="23">
        <f>VLOOKUP(F224,'Internal Cost Model'!$B$6:$F$15,5,FALSE)</f>
        <v/>
      </c>
      <c r="I224" s="24">
        <f>H224*VLOOKUP(G224,Assumptions!$B$43:$C$45,2,FALSE)</f>
        <v/>
      </c>
      <c r="J224" s="25">
        <f>VLOOKUP(F224,Assumptions!$B$50:$D$59,2,FALSE)*VLOOKUP("SI-T1",Assumptions!$B$27:$C$31,2,FALSE)*VLOOKUP(G224,Assumptions!$B$43:$C$45,2,FALSE)</f>
        <v/>
      </c>
    </row>
    <row r="225">
      <c r="B225" s="7" t="inlineStr">
        <is>
          <t>RC-0220</t>
        </is>
      </c>
      <c r="C225" s="11" t="inlineStr">
        <is>
          <t>Application Engineering</t>
        </is>
      </c>
      <c r="D225" s="7" t="inlineStr">
        <is>
          <t>Mobile Engineer</t>
        </is>
      </c>
      <c r="E225" s="11" t="inlineStr">
        <is>
          <t>Mobile Engineering</t>
        </is>
      </c>
      <c r="F225" s="11" t="inlineStr">
        <is>
          <t>Senior</t>
        </is>
      </c>
      <c r="G225" s="21" t="inlineStr">
        <is>
          <t>Medium</t>
        </is>
      </c>
      <c r="H225" s="23">
        <f>VLOOKUP(F225,'Internal Cost Model'!$B$6:$F$15,5,FALSE)</f>
        <v/>
      </c>
      <c r="I225" s="24">
        <f>H225*VLOOKUP(G225,Assumptions!$B$43:$C$45,2,FALSE)</f>
        <v/>
      </c>
      <c r="J225" s="25">
        <f>VLOOKUP(F225,Assumptions!$B$50:$D$59,2,FALSE)*VLOOKUP("SI-T1",Assumptions!$B$27:$C$31,2,FALSE)*VLOOKUP(G225,Assumptions!$B$43:$C$45,2,FALSE)</f>
        <v/>
      </c>
    </row>
    <row r="226">
      <c r="B226" s="7" t="inlineStr">
        <is>
          <t>RC-0221</t>
        </is>
      </c>
      <c r="C226" s="11" t="inlineStr">
        <is>
          <t>Application Engineering</t>
        </is>
      </c>
      <c r="D226" s="7" t="inlineStr">
        <is>
          <t>Mobile Engineer</t>
        </is>
      </c>
      <c r="E226" s="11" t="inlineStr">
        <is>
          <t>Mobile Engineering</t>
        </is>
      </c>
      <c r="F226" s="11" t="inlineStr">
        <is>
          <t>Intermediate</t>
        </is>
      </c>
      <c r="G226" s="21" t="inlineStr">
        <is>
          <t>Medium</t>
        </is>
      </c>
      <c r="H226" s="23">
        <f>VLOOKUP(F226,'Internal Cost Model'!$B$6:$F$15,5,FALSE)</f>
        <v/>
      </c>
      <c r="I226" s="24">
        <f>H226*VLOOKUP(G226,Assumptions!$B$43:$C$45,2,FALSE)</f>
        <v/>
      </c>
      <c r="J226" s="25">
        <f>VLOOKUP(F226,Assumptions!$B$50:$D$59,2,FALSE)*VLOOKUP("SI-T1",Assumptions!$B$27:$C$31,2,FALSE)*VLOOKUP(G226,Assumptions!$B$43:$C$45,2,FALSE)</f>
        <v/>
      </c>
    </row>
    <row r="227">
      <c r="B227" s="7" t="inlineStr">
        <is>
          <t>RC-0222</t>
        </is>
      </c>
      <c r="C227" s="11" t="inlineStr">
        <is>
          <t>Application Engineering</t>
        </is>
      </c>
      <c r="D227" s="7" t="inlineStr">
        <is>
          <t>API Engineer</t>
        </is>
      </c>
      <c r="E227" s="11" t="inlineStr">
        <is>
          <t>API Engineering</t>
        </is>
      </c>
      <c r="F227" s="11" t="inlineStr">
        <is>
          <t>Senior</t>
        </is>
      </c>
      <c r="G227" s="21" t="inlineStr">
        <is>
          <t>High</t>
        </is>
      </c>
      <c r="H227" s="23">
        <f>VLOOKUP(F227,'Internal Cost Model'!$B$6:$F$15,5,FALSE)</f>
        <v/>
      </c>
      <c r="I227" s="24">
        <f>H227*VLOOKUP(G227,Assumptions!$B$43:$C$45,2,FALSE)</f>
        <v/>
      </c>
      <c r="J227" s="25">
        <f>VLOOKUP(F227,Assumptions!$B$50:$D$59,2,FALSE)*VLOOKUP("SI-T1",Assumptions!$B$27:$C$31,2,FALSE)*VLOOKUP(G227,Assumptions!$B$43:$C$45,2,FALSE)</f>
        <v/>
      </c>
    </row>
    <row r="228">
      <c r="B228" s="7" t="inlineStr">
        <is>
          <t>RC-0223</t>
        </is>
      </c>
      <c r="C228" s="11" t="inlineStr">
        <is>
          <t>Application Engineering</t>
        </is>
      </c>
      <c r="D228" s="7" t="inlineStr">
        <is>
          <t>API Engineer</t>
        </is>
      </c>
      <c r="E228" s="11" t="inlineStr">
        <is>
          <t>API Engineering</t>
        </is>
      </c>
      <c r="F228" s="11" t="inlineStr">
        <is>
          <t>Intermediate</t>
        </is>
      </c>
      <c r="G228" s="21" t="inlineStr">
        <is>
          <t>High</t>
        </is>
      </c>
      <c r="H228" s="23">
        <f>VLOOKUP(F228,'Internal Cost Model'!$B$6:$F$15,5,FALSE)</f>
        <v/>
      </c>
      <c r="I228" s="24">
        <f>H228*VLOOKUP(G228,Assumptions!$B$43:$C$45,2,FALSE)</f>
        <v/>
      </c>
      <c r="J228" s="25">
        <f>VLOOKUP(F228,Assumptions!$B$50:$D$59,2,FALSE)*VLOOKUP("SI-T1",Assumptions!$B$27:$C$31,2,FALSE)*VLOOKUP(G228,Assumptions!$B$43:$C$45,2,FALSE)</f>
        <v/>
      </c>
    </row>
    <row r="229">
      <c r="B229" s="7" t="inlineStr">
        <is>
          <t>RC-0224</t>
        </is>
      </c>
      <c r="C229" s="11" t="inlineStr">
        <is>
          <t>Application Engineering</t>
        </is>
      </c>
      <c r="D229" s="7" t="inlineStr">
        <is>
          <t>Modernization Architect</t>
        </is>
      </c>
      <c r="E229" s="11" t="inlineStr">
        <is>
          <t>App Modernization</t>
        </is>
      </c>
      <c r="F229" s="11" t="inlineStr">
        <is>
          <t>Director</t>
        </is>
      </c>
      <c r="G229" s="21" t="inlineStr">
        <is>
          <t>High</t>
        </is>
      </c>
      <c r="H229" s="23">
        <f>VLOOKUP(F229,'Internal Cost Model'!$B$6:$F$15,5,FALSE)</f>
        <v/>
      </c>
      <c r="I229" s="24">
        <f>H229*VLOOKUP(G229,Assumptions!$B$43:$C$45,2,FALSE)</f>
        <v/>
      </c>
      <c r="J229" s="25">
        <f>VLOOKUP(F229,Assumptions!$B$50:$D$59,2,FALSE)*VLOOKUP("SI-T1",Assumptions!$B$27:$C$31,2,FALSE)*VLOOKUP(G229,Assumptions!$B$43:$C$45,2,FALSE)</f>
        <v/>
      </c>
    </row>
    <row r="230">
      <c r="B230" s="7" t="inlineStr">
        <is>
          <t>RC-0225</t>
        </is>
      </c>
      <c r="C230" s="11" t="inlineStr">
        <is>
          <t>Application Engineering</t>
        </is>
      </c>
      <c r="D230" s="7" t="inlineStr">
        <is>
          <t>Modernization Architect</t>
        </is>
      </c>
      <c r="E230" s="11" t="inlineStr">
        <is>
          <t>App Modernization</t>
        </is>
      </c>
      <c r="F230" s="11" t="inlineStr">
        <is>
          <t>Senior Manager</t>
        </is>
      </c>
      <c r="G230" s="21" t="inlineStr">
        <is>
          <t>High</t>
        </is>
      </c>
      <c r="H230" s="23">
        <f>VLOOKUP(F230,'Internal Cost Model'!$B$6:$F$15,5,FALSE)</f>
        <v/>
      </c>
      <c r="I230" s="24">
        <f>H230*VLOOKUP(G230,Assumptions!$B$43:$C$45,2,FALSE)</f>
        <v/>
      </c>
      <c r="J230" s="25">
        <f>VLOOKUP(F230,Assumptions!$B$50:$D$59,2,FALSE)*VLOOKUP("SI-T1",Assumptions!$B$27:$C$31,2,FALSE)*VLOOKUP(G230,Assumptions!$B$43:$C$45,2,FALSE)</f>
        <v/>
      </c>
    </row>
    <row r="231">
      <c r="B231" s="7" t="inlineStr">
        <is>
          <t>RC-0226</t>
        </is>
      </c>
      <c r="C231" s="11" t="inlineStr">
        <is>
          <t>Application Engineering</t>
        </is>
      </c>
      <c r="D231" s="7" t="inlineStr">
        <is>
          <t>Modernization Architect</t>
        </is>
      </c>
      <c r="E231" s="11" t="inlineStr">
        <is>
          <t>App Modernization</t>
        </is>
      </c>
      <c r="F231" s="11" t="inlineStr">
        <is>
          <t>Manager</t>
        </is>
      </c>
      <c r="G231" s="21" t="inlineStr">
        <is>
          <t>High</t>
        </is>
      </c>
      <c r="H231" s="23">
        <f>VLOOKUP(F231,'Internal Cost Model'!$B$6:$F$15,5,FALSE)</f>
        <v/>
      </c>
      <c r="I231" s="24">
        <f>H231*VLOOKUP(G231,Assumptions!$B$43:$C$45,2,FALSE)</f>
        <v/>
      </c>
      <c r="J231" s="25">
        <f>VLOOKUP(F231,Assumptions!$B$50:$D$59,2,FALSE)*VLOOKUP("SI-T1",Assumptions!$B$27:$C$31,2,FALSE)*VLOOKUP(G231,Assumptions!$B$43:$C$45,2,FALSE)</f>
        <v/>
      </c>
    </row>
    <row r="232">
      <c r="B232" s="7" t="inlineStr">
        <is>
          <t>RC-0227</t>
        </is>
      </c>
      <c r="C232" s="11" t="inlineStr">
        <is>
          <t>Application Engineering</t>
        </is>
      </c>
      <c r="D232" s="7" t="inlineStr">
        <is>
          <t>Modernization Architect</t>
        </is>
      </c>
      <c r="E232" s="11" t="inlineStr">
        <is>
          <t>App Modernization</t>
        </is>
      </c>
      <c r="F232" s="11" t="inlineStr">
        <is>
          <t>Lead</t>
        </is>
      </c>
      <c r="G232" s="21" t="inlineStr">
        <is>
          <t>High</t>
        </is>
      </c>
      <c r="H232" s="23">
        <f>VLOOKUP(F232,'Internal Cost Model'!$B$6:$F$15,5,FALSE)</f>
        <v/>
      </c>
      <c r="I232" s="24">
        <f>H232*VLOOKUP(G232,Assumptions!$B$43:$C$45,2,FALSE)</f>
        <v/>
      </c>
      <c r="J232" s="25">
        <f>VLOOKUP(F232,Assumptions!$B$50:$D$59,2,FALSE)*VLOOKUP("SI-T1",Assumptions!$B$27:$C$31,2,FALSE)*VLOOKUP(G232,Assumptions!$B$43:$C$45,2,FALSE)</f>
        <v/>
      </c>
    </row>
    <row r="233">
      <c r="B233" s="7" t="inlineStr">
        <is>
          <t>RC-0228</t>
        </is>
      </c>
      <c r="C233" s="11" t="inlineStr">
        <is>
          <t>Integration</t>
        </is>
      </c>
      <c r="D233" s="7" t="inlineStr">
        <is>
          <t>Integration Architect</t>
        </is>
      </c>
      <c r="E233" s="11" t="inlineStr">
        <is>
          <t>API Management</t>
        </is>
      </c>
      <c r="F233" s="11" t="inlineStr">
        <is>
          <t>Director</t>
        </is>
      </c>
      <c r="G233" s="21" t="inlineStr">
        <is>
          <t>High</t>
        </is>
      </c>
      <c r="H233" s="23">
        <f>VLOOKUP(F233,'Internal Cost Model'!$B$6:$F$15,5,FALSE)</f>
        <v/>
      </c>
      <c r="I233" s="24">
        <f>H233*VLOOKUP(G233,Assumptions!$B$43:$C$45,2,FALSE)</f>
        <v/>
      </c>
      <c r="J233" s="25">
        <f>VLOOKUP(F233,Assumptions!$B$50:$D$59,2,FALSE)*VLOOKUP("SI-T1",Assumptions!$B$27:$C$31,2,FALSE)*VLOOKUP(G233,Assumptions!$B$43:$C$45,2,FALSE)</f>
        <v/>
      </c>
    </row>
    <row r="234">
      <c r="B234" s="7" t="inlineStr">
        <is>
          <t>RC-0229</t>
        </is>
      </c>
      <c r="C234" s="11" t="inlineStr">
        <is>
          <t>Integration</t>
        </is>
      </c>
      <c r="D234" s="7" t="inlineStr">
        <is>
          <t>Integration Architect</t>
        </is>
      </c>
      <c r="E234" s="11" t="inlineStr">
        <is>
          <t>API Management</t>
        </is>
      </c>
      <c r="F234" s="11" t="inlineStr">
        <is>
          <t>Senior Manager</t>
        </is>
      </c>
      <c r="G234" s="21" t="inlineStr">
        <is>
          <t>High</t>
        </is>
      </c>
      <c r="H234" s="23">
        <f>VLOOKUP(F234,'Internal Cost Model'!$B$6:$F$15,5,FALSE)</f>
        <v/>
      </c>
      <c r="I234" s="24">
        <f>H234*VLOOKUP(G234,Assumptions!$B$43:$C$45,2,FALSE)</f>
        <v/>
      </c>
      <c r="J234" s="25">
        <f>VLOOKUP(F234,Assumptions!$B$50:$D$59,2,FALSE)*VLOOKUP("SI-T1",Assumptions!$B$27:$C$31,2,FALSE)*VLOOKUP(G234,Assumptions!$B$43:$C$45,2,FALSE)</f>
        <v/>
      </c>
    </row>
    <row r="235">
      <c r="B235" s="7" t="inlineStr">
        <is>
          <t>RC-0230</t>
        </is>
      </c>
      <c r="C235" s="11" t="inlineStr">
        <is>
          <t>Integration</t>
        </is>
      </c>
      <c r="D235" s="7" t="inlineStr">
        <is>
          <t>Integration Architect</t>
        </is>
      </c>
      <c r="E235" s="11" t="inlineStr">
        <is>
          <t>API Management</t>
        </is>
      </c>
      <c r="F235" s="11" t="inlineStr">
        <is>
          <t>Manager</t>
        </is>
      </c>
      <c r="G235" s="21" t="inlineStr">
        <is>
          <t>High</t>
        </is>
      </c>
      <c r="H235" s="23">
        <f>VLOOKUP(F235,'Internal Cost Model'!$B$6:$F$15,5,FALSE)</f>
        <v/>
      </c>
      <c r="I235" s="24">
        <f>H235*VLOOKUP(G235,Assumptions!$B$43:$C$45,2,FALSE)</f>
        <v/>
      </c>
      <c r="J235" s="25">
        <f>VLOOKUP(F235,Assumptions!$B$50:$D$59,2,FALSE)*VLOOKUP("SI-T1",Assumptions!$B$27:$C$31,2,FALSE)*VLOOKUP(G235,Assumptions!$B$43:$C$45,2,FALSE)</f>
        <v/>
      </c>
    </row>
    <row r="236">
      <c r="B236" s="7" t="inlineStr">
        <is>
          <t>RC-0231</t>
        </is>
      </c>
      <c r="C236" s="11" t="inlineStr">
        <is>
          <t>Integration</t>
        </is>
      </c>
      <c r="D236" s="7" t="inlineStr">
        <is>
          <t>Integration Architect</t>
        </is>
      </c>
      <c r="E236" s="11" t="inlineStr">
        <is>
          <t>API Management</t>
        </is>
      </c>
      <c r="F236" s="11" t="inlineStr">
        <is>
          <t>Lead</t>
        </is>
      </c>
      <c r="G236" s="21" t="inlineStr">
        <is>
          <t>High</t>
        </is>
      </c>
      <c r="H236" s="23">
        <f>VLOOKUP(F236,'Internal Cost Model'!$B$6:$F$15,5,FALSE)</f>
        <v/>
      </c>
      <c r="I236" s="24">
        <f>H236*VLOOKUP(G236,Assumptions!$B$43:$C$45,2,FALSE)</f>
        <v/>
      </c>
      <c r="J236" s="25">
        <f>VLOOKUP(F236,Assumptions!$B$50:$D$59,2,FALSE)*VLOOKUP("SI-T1",Assumptions!$B$27:$C$31,2,FALSE)*VLOOKUP(G236,Assumptions!$B$43:$C$45,2,FALSE)</f>
        <v/>
      </c>
    </row>
    <row r="237">
      <c r="B237" s="7" t="inlineStr">
        <is>
          <t>RC-0232</t>
        </is>
      </c>
      <c r="C237" s="11" t="inlineStr">
        <is>
          <t>Integration</t>
        </is>
      </c>
      <c r="D237" s="7" t="inlineStr">
        <is>
          <t>iPaaS Developer</t>
        </is>
      </c>
      <c r="E237" s="11" t="inlineStr">
        <is>
          <t>iPaaS</t>
        </is>
      </c>
      <c r="F237" s="11" t="inlineStr">
        <is>
          <t>Senior</t>
        </is>
      </c>
      <c r="G237" s="21" t="inlineStr">
        <is>
          <t>Medium</t>
        </is>
      </c>
      <c r="H237" s="23">
        <f>VLOOKUP(F237,'Internal Cost Model'!$B$6:$F$15,5,FALSE)</f>
        <v/>
      </c>
      <c r="I237" s="24">
        <f>H237*VLOOKUP(G237,Assumptions!$B$43:$C$45,2,FALSE)</f>
        <v/>
      </c>
      <c r="J237" s="25">
        <f>VLOOKUP(F237,Assumptions!$B$50:$D$59,2,FALSE)*VLOOKUP("SI-T1",Assumptions!$B$27:$C$31,2,FALSE)*VLOOKUP(G237,Assumptions!$B$43:$C$45,2,FALSE)</f>
        <v/>
      </c>
    </row>
    <row r="238">
      <c r="B238" s="7" t="inlineStr">
        <is>
          <t>RC-0233</t>
        </is>
      </c>
      <c r="C238" s="11" t="inlineStr">
        <is>
          <t>Integration</t>
        </is>
      </c>
      <c r="D238" s="7" t="inlineStr">
        <is>
          <t>iPaaS Developer</t>
        </is>
      </c>
      <c r="E238" s="11" t="inlineStr">
        <is>
          <t>iPaaS</t>
        </is>
      </c>
      <c r="F238" s="11" t="inlineStr">
        <is>
          <t>Intermediate</t>
        </is>
      </c>
      <c r="G238" s="21" t="inlineStr">
        <is>
          <t>Medium</t>
        </is>
      </c>
      <c r="H238" s="23">
        <f>VLOOKUP(F238,'Internal Cost Model'!$B$6:$F$15,5,FALSE)</f>
        <v/>
      </c>
      <c r="I238" s="24">
        <f>H238*VLOOKUP(G238,Assumptions!$B$43:$C$45,2,FALSE)</f>
        <v/>
      </c>
      <c r="J238" s="25">
        <f>VLOOKUP(F238,Assumptions!$B$50:$D$59,2,FALSE)*VLOOKUP("SI-T1",Assumptions!$B$27:$C$31,2,FALSE)*VLOOKUP(G238,Assumptions!$B$43:$C$45,2,FALSE)</f>
        <v/>
      </c>
    </row>
    <row r="239">
      <c r="B239" s="7" t="inlineStr">
        <is>
          <t>RC-0234</t>
        </is>
      </c>
      <c r="C239" s="11" t="inlineStr">
        <is>
          <t>Integration</t>
        </is>
      </c>
      <c r="D239" s="7" t="inlineStr">
        <is>
          <t>Event Streaming Engineer</t>
        </is>
      </c>
      <c r="E239" s="11" t="inlineStr">
        <is>
          <t>Event Streaming</t>
        </is>
      </c>
      <c r="F239" s="11" t="inlineStr">
        <is>
          <t>Lead</t>
        </is>
      </c>
      <c r="G239" s="21" t="inlineStr">
        <is>
          <t>High</t>
        </is>
      </c>
      <c r="H239" s="23">
        <f>VLOOKUP(F239,'Internal Cost Model'!$B$6:$F$15,5,FALSE)</f>
        <v/>
      </c>
      <c r="I239" s="24">
        <f>H239*VLOOKUP(G239,Assumptions!$B$43:$C$45,2,FALSE)</f>
        <v/>
      </c>
      <c r="J239" s="25">
        <f>VLOOKUP(F239,Assumptions!$B$50:$D$59,2,FALSE)*VLOOKUP("SI-T1",Assumptions!$B$27:$C$31,2,FALSE)*VLOOKUP(G239,Assumptions!$B$43:$C$45,2,FALSE)</f>
        <v/>
      </c>
    </row>
    <row r="240">
      <c r="B240" s="7" t="inlineStr">
        <is>
          <t>RC-0235</t>
        </is>
      </c>
      <c r="C240" s="11" t="inlineStr">
        <is>
          <t>Integration</t>
        </is>
      </c>
      <c r="D240" s="7" t="inlineStr">
        <is>
          <t>Event Streaming Engineer</t>
        </is>
      </c>
      <c r="E240" s="11" t="inlineStr">
        <is>
          <t>Event Streaming</t>
        </is>
      </c>
      <c r="F240" s="11" t="inlineStr">
        <is>
          <t>Senior</t>
        </is>
      </c>
      <c r="G240" s="21" t="inlineStr">
        <is>
          <t>High</t>
        </is>
      </c>
      <c r="H240" s="23">
        <f>VLOOKUP(F240,'Internal Cost Model'!$B$6:$F$15,5,FALSE)</f>
        <v/>
      </c>
      <c r="I240" s="24">
        <f>H240*VLOOKUP(G240,Assumptions!$B$43:$C$45,2,FALSE)</f>
        <v/>
      </c>
      <c r="J240" s="25">
        <f>VLOOKUP(F240,Assumptions!$B$50:$D$59,2,FALSE)*VLOOKUP("SI-T1",Assumptions!$B$27:$C$31,2,FALSE)*VLOOKUP(G240,Assumptions!$B$43:$C$45,2,FALSE)</f>
        <v/>
      </c>
    </row>
    <row r="241">
      <c r="B241" s="7" t="inlineStr">
        <is>
          <t>RC-0236</t>
        </is>
      </c>
      <c r="C241" s="11" t="inlineStr">
        <is>
          <t>Integration</t>
        </is>
      </c>
      <c r="D241" s="7" t="inlineStr">
        <is>
          <t>Middleware Engineer</t>
        </is>
      </c>
      <c r="E241" s="11" t="inlineStr">
        <is>
          <t>ESB / Middleware</t>
        </is>
      </c>
      <c r="F241" s="11" t="inlineStr">
        <is>
          <t>Senior</t>
        </is>
      </c>
      <c r="G241" s="21" t="inlineStr">
        <is>
          <t>Medium</t>
        </is>
      </c>
      <c r="H241" s="23">
        <f>VLOOKUP(F241,'Internal Cost Model'!$B$6:$F$15,5,FALSE)</f>
        <v/>
      </c>
      <c r="I241" s="24">
        <f>H241*VLOOKUP(G241,Assumptions!$B$43:$C$45,2,FALSE)</f>
        <v/>
      </c>
      <c r="J241" s="25">
        <f>VLOOKUP(F241,Assumptions!$B$50:$D$59,2,FALSE)*VLOOKUP("SI-T1",Assumptions!$B$27:$C$31,2,FALSE)*VLOOKUP(G241,Assumptions!$B$43:$C$45,2,FALSE)</f>
        <v/>
      </c>
    </row>
    <row r="242">
      <c r="B242" s="7" t="inlineStr">
        <is>
          <t>RC-0237</t>
        </is>
      </c>
      <c r="C242" s="11" t="inlineStr">
        <is>
          <t>Integration</t>
        </is>
      </c>
      <c r="D242" s="7" t="inlineStr">
        <is>
          <t>Middleware Engineer</t>
        </is>
      </c>
      <c r="E242" s="11" t="inlineStr">
        <is>
          <t>ESB / Middleware</t>
        </is>
      </c>
      <c r="F242" s="11" t="inlineStr">
        <is>
          <t>Intermediate</t>
        </is>
      </c>
      <c r="G242" s="21" t="inlineStr">
        <is>
          <t>Medium</t>
        </is>
      </c>
      <c r="H242" s="23">
        <f>VLOOKUP(F242,'Internal Cost Model'!$B$6:$F$15,5,FALSE)</f>
        <v/>
      </c>
      <c r="I242" s="24">
        <f>H242*VLOOKUP(G242,Assumptions!$B$43:$C$45,2,FALSE)</f>
        <v/>
      </c>
      <c r="J242" s="25">
        <f>VLOOKUP(F242,Assumptions!$B$50:$D$59,2,FALSE)*VLOOKUP("SI-T1",Assumptions!$B$27:$C$31,2,FALSE)*VLOOKUP(G242,Assumptions!$B$43:$C$45,2,FALSE)</f>
        <v/>
      </c>
    </row>
    <row r="243">
      <c r="B243" s="7" t="inlineStr">
        <is>
          <t>RC-0238</t>
        </is>
      </c>
      <c r="C243" s="11" t="inlineStr">
        <is>
          <t>ERP</t>
        </is>
      </c>
      <c r="D243" s="7" t="inlineStr">
        <is>
          <t>SAP Enterprise Architect</t>
        </is>
      </c>
      <c r="E243" s="11" t="inlineStr">
        <is>
          <t>SAP Finance</t>
        </is>
      </c>
      <c r="F243" s="11" t="inlineStr">
        <is>
          <t>Principal</t>
        </is>
      </c>
      <c r="G243" s="21" t="inlineStr">
        <is>
          <t>High</t>
        </is>
      </c>
      <c r="H243" s="23">
        <f>VLOOKUP(F243,'Internal Cost Model'!$B$6:$F$15,5,FALSE)</f>
        <v/>
      </c>
      <c r="I243" s="24">
        <f>H243*VLOOKUP(G243,Assumptions!$B$43:$C$45,2,FALSE)</f>
        <v/>
      </c>
      <c r="J243" s="25">
        <f>VLOOKUP(F243,Assumptions!$B$50:$D$59,2,FALSE)*VLOOKUP("SI-T1",Assumptions!$B$27:$C$31,2,FALSE)*VLOOKUP(G243,Assumptions!$B$43:$C$45,2,FALSE)</f>
        <v/>
      </c>
    </row>
    <row r="244">
      <c r="B244" s="7" t="inlineStr">
        <is>
          <t>RC-0239</t>
        </is>
      </c>
      <c r="C244" s="11" t="inlineStr">
        <is>
          <t>ERP</t>
        </is>
      </c>
      <c r="D244" s="7" t="inlineStr">
        <is>
          <t>SAP Enterprise Architect</t>
        </is>
      </c>
      <c r="E244" s="11" t="inlineStr">
        <is>
          <t>SAP Finance</t>
        </is>
      </c>
      <c r="F244" s="11" t="inlineStr">
        <is>
          <t>Director</t>
        </is>
      </c>
      <c r="G244" s="21" t="inlineStr">
        <is>
          <t>High</t>
        </is>
      </c>
      <c r="H244" s="23">
        <f>VLOOKUP(F244,'Internal Cost Model'!$B$6:$F$15,5,FALSE)</f>
        <v/>
      </c>
      <c r="I244" s="24">
        <f>H244*VLOOKUP(G244,Assumptions!$B$43:$C$45,2,FALSE)</f>
        <v/>
      </c>
      <c r="J244" s="25">
        <f>VLOOKUP(F244,Assumptions!$B$50:$D$59,2,FALSE)*VLOOKUP("SI-T1",Assumptions!$B$27:$C$31,2,FALSE)*VLOOKUP(G244,Assumptions!$B$43:$C$45,2,FALSE)</f>
        <v/>
      </c>
    </row>
    <row r="245">
      <c r="B245" s="7" t="inlineStr">
        <is>
          <t>RC-0240</t>
        </is>
      </c>
      <c r="C245" s="11" t="inlineStr">
        <is>
          <t>ERP</t>
        </is>
      </c>
      <c r="D245" s="7" t="inlineStr">
        <is>
          <t>SAP Finance Architect</t>
        </is>
      </c>
      <c r="E245" s="11" t="inlineStr">
        <is>
          <t>SAP Finance</t>
        </is>
      </c>
      <c r="F245" s="11" t="inlineStr">
        <is>
          <t>Director</t>
        </is>
      </c>
      <c r="G245" s="21" t="inlineStr">
        <is>
          <t>High</t>
        </is>
      </c>
      <c r="H245" s="23">
        <f>VLOOKUP(F245,'Internal Cost Model'!$B$6:$F$15,5,FALSE)</f>
        <v/>
      </c>
      <c r="I245" s="24">
        <f>H245*VLOOKUP(G245,Assumptions!$B$43:$C$45,2,FALSE)</f>
        <v/>
      </c>
      <c r="J245" s="25">
        <f>VLOOKUP(F245,Assumptions!$B$50:$D$59,2,FALSE)*VLOOKUP("SI-T1",Assumptions!$B$27:$C$31,2,FALSE)*VLOOKUP(G245,Assumptions!$B$43:$C$45,2,FALSE)</f>
        <v/>
      </c>
    </row>
    <row r="246">
      <c r="B246" s="7" t="inlineStr">
        <is>
          <t>RC-0241</t>
        </is>
      </c>
      <c r="C246" s="11" t="inlineStr">
        <is>
          <t>ERP</t>
        </is>
      </c>
      <c r="D246" s="7" t="inlineStr">
        <is>
          <t>SAP Finance Architect</t>
        </is>
      </c>
      <c r="E246" s="11" t="inlineStr">
        <is>
          <t>SAP Finance</t>
        </is>
      </c>
      <c r="F246" s="11" t="inlineStr">
        <is>
          <t>Senior Manager</t>
        </is>
      </c>
      <c r="G246" s="21" t="inlineStr">
        <is>
          <t>High</t>
        </is>
      </c>
      <c r="H246" s="23">
        <f>VLOOKUP(F246,'Internal Cost Model'!$B$6:$F$15,5,FALSE)</f>
        <v/>
      </c>
      <c r="I246" s="24">
        <f>H246*VLOOKUP(G246,Assumptions!$B$43:$C$45,2,FALSE)</f>
        <v/>
      </c>
      <c r="J246" s="25">
        <f>VLOOKUP(F246,Assumptions!$B$50:$D$59,2,FALSE)*VLOOKUP("SI-T1",Assumptions!$B$27:$C$31,2,FALSE)*VLOOKUP(G246,Assumptions!$B$43:$C$45,2,FALSE)</f>
        <v/>
      </c>
    </row>
    <row r="247">
      <c r="B247" s="7" t="inlineStr">
        <is>
          <t>RC-0242</t>
        </is>
      </c>
      <c r="C247" s="11" t="inlineStr">
        <is>
          <t>ERP</t>
        </is>
      </c>
      <c r="D247" s="7" t="inlineStr">
        <is>
          <t>SAP Finance Architect</t>
        </is>
      </c>
      <c r="E247" s="11" t="inlineStr">
        <is>
          <t>SAP Finance</t>
        </is>
      </c>
      <c r="F247" s="11" t="inlineStr">
        <is>
          <t>Manager</t>
        </is>
      </c>
      <c r="G247" s="21" t="inlineStr">
        <is>
          <t>High</t>
        </is>
      </c>
      <c r="H247" s="23">
        <f>VLOOKUP(F247,'Internal Cost Model'!$B$6:$F$15,5,FALSE)</f>
        <v/>
      </c>
      <c r="I247" s="24">
        <f>H247*VLOOKUP(G247,Assumptions!$B$43:$C$45,2,FALSE)</f>
        <v/>
      </c>
      <c r="J247" s="25">
        <f>VLOOKUP(F247,Assumptions!$B$50:$D$59,2,FALSE)*VLOOKUP("SI-T1",Assumptions!$B$27:$C$31,2,FALSE)*VLOOKUP(G247,Assumptions!$B$43:$C$45,2,FALSE)</f>
        <v/>
      </c>
    </row>
    <row r="248">
      <c r="B248" s="7" t="inlineStr">
        <is>
          <t>RC-0243</t>
        </is>
      </c>
      <c r="C248" s="11" t="inlineStr">
        <is>
          <t>ERP</t>
        </is>
      </c>
      <c r="D248" s="7" t="inlineStr">
        <is>
          <t>SAP Finance Architect</t>
        </is>
      </c>
      <c r="E248" s="11" t="inlineStr">
        <is>
          <t>SAP Finance</t>
        </is>
      </c>
      <c r="F248" s="11" t="inlineStr">
        <is>
          <t>Lead</t>
        </is>
      </c>
      <c r="G248" s="21" t="inlineStr">
        <is>
          <t>High</t>
        </is>
      </c>
      <c r="H248" s="23">
        <f>VLOOKUP(F248,'Internal Cost Model'!$B$6:$F$15,5,FALSE)</f>
        <v/>
      </c>
      <c r="I248" s="24">
        <f>H248*VLOOKUP(G248,Assumptions!$B$43:$C$45,2,FALSE)</f>
        <v/>
      </c>
      <c r="J248" s="25">
        <f>VLOOKUP(F248,Assumptions!$B$50:$D$59,2,FALSE)*VLOOKUP("SI-T1",Assumptions!$B$27:$C$31,2,FALSE)*VLOOKUP(G248,Assumptions!$B$43:$C$45,2,FALSE)</f>
        <v/>
      </c>
    </row>
    <row r="249">
      <c r="B249" s="7" t="inlineStr">
        <is>
          <t>RC-0244</t>
        </is>
      </c>
      <c r="C249" s="11" t="inlineStr">
        <is>
          <t>ERP</t>
        </is>
      </c>
      <c r="D249" s="7" t="inlineStr">
        <is>
          <t>SAP Supply Chain Architect</t>
        </is>
      </c>
      <c r="E249" s="11" t="inlineStr">
        <is>
          <t>SAP Supply Chain</t>
        </is>
      </c>
      <c r="F249" s="11" t="inlineStr">
        <is>
          <t>Director</t>
        </is>
      </c>
      <c r="G249" s="21" t="inlineStr">
        <is>
          <t>High</t>
        </is>
      </c>
      <c r="H249" s="23">
        <f>VLOOKUP(F249,'Internal Cost Model'!$B$6:$F$15,5,FALSE)</f>
        <v/>
      </c>
      <c r="I249" s="24">
        <f>H249*VLOOKUP(G249,Assumptions!$B$43:$C$45,2,FALSE)</f>
        <v/>
      </c>
      <c r="J249" s="25">
        <f>VLOOKUP(F249,Assumptions!$B$50:$D$59,2,FALSE)*VLOOKUP("SI-T1",Assumptions!$B$27:$C$31,2,FALSE)*VLOOKUP(G249,Assumptions!$B$43:$C$45,2,FALSE)</f>
        <v/>
      </c>
    </row>
    <row r="250">
      <c r="B250" s="7" t="inlineStr">
        <is>
          <t>RC-0245</t>
        </is>
      </c>
      <c r="C250" s="11" t="inlineStr">
        <is>
          <t>ERP</t>
        </is>
      </c>
      <c r="D250" s="7" t="inlineStr">
        <is>
          <t>SAP Supply Chain Architect</t>
        </is>
      </c>
      <c r="E250" s="11" t="inlineStr">
        <is>
          <t>SAP Supply Chain</t>
        </is>
      </c>
      <c r="F250" s="11" t="inlineStr">
        <is>
          <t>Senior Manager</t>
        </is>
      </c>
      <c r="G250" s="21" t="inlineStr">
        <is>
          <t>High</t>
        </is>
      </c>
      <c r="H250" s="23">
        <f>VLOOKUP(F250,'Internal Cost Model'!$B$6:$F$15,5,FALSE)</f>
        <v/>
      </c>
      <c r="I250" s="24">
        <f>H250*VLOOKUP(G250,Assumptions!$B$43:$C$45,2,FALSE)</f>
        <v/>
      </c>
      <c r="J250" s="25">
        <f>VLOOKUP(F250,Assumptions!$B$50:$D$59,2,FALSE)*VLOOKUP("SI-T1",Assumptions!$B$27:$C$31,2,FALSE)*VLOOKUP(G250,Assumptions!$B$43:$C$45,2,FALSE)</f>
        <v/>
      </c>
    </row>
    <row r="251">
      <c r="B251" s="7" t="inlineStr">
        <is>
          <t>RC-0246</t>
        </is>
      </c>
      <c r="C251" s="11" t="inlineStr">
        <is>
          <t>ERP</t>
        </is>
      </c>
      <c r="D251" s="7" t="inlineStr">
        <is>
          <t>SAP Supply Chain Architect</t>
        </is>
      </c>
      <c r="E251" s="11" t="inlineStr">
        <is>
          <t>SAP Supply Chain</t>
        </is>
      </c>
      <c r="F251" s="11" t="inlineStr">
        <is>
          <t>Manager</t>
        </is>
      </c>
      <c r="G251" s="21" t="inlineStr">
        <is>
          <t>High</t>
        </is>
      </c>
      <c r="H251" s="23">
        <f>VLOOKUP(F251,'Internal Cost Model'!$B$6:$F$15,5,FALSE)</f>
        <v/>
      </c>
      <c r="I251" s="24">
        <f>H251*VLOOKUP(G251,Assumptions!$B$43:$C$45,2,FALSE)</f>
        <v/>
      </c>
      <c r="J251" s="25">
        <f>VLOOKUP(F251,Assumptions!$B$50:$D$59,2,FALSE)*VLOOKUP("SI-T1",Assumptions!$B$27:$C$31,2,FALSE)*VLOOKUP(G251,Assumptions!$B$43:$C$45,2,FALSE)</f>
        <v/>
      </c>
    </row>
    <row r="252">
      <c r="B252" s="7" t="inlineStr">
        <is>
          <t>RC-0247</t>
        </is>
      </c>
      <c r="C252" s="11" t="inlineStr">
        <is>
          <t>ERP</t>
        </is>
      </c>
      <c r="D252" s="7" t="inlineStr">
        <is>
          <t>SAP Supply Chain Architect</t>
        </is>
      </c>
      <c r="E252" s="11" t="inlineStr">
        <is>
          <t>SAP Supply Chain</t>
        </is>
      </c>
      <c r="F252" s="11" t="inlineStr">
        <is>
          <t>Lead</t>
        </is>
      </c>
      <c r="G252" s="21" t="inlineStr">
        <is>
          <t>High</t>
        </is>
      </c>
      <c r="H252" s="23">
        <f>VLOOKUP(F252,'Internal Cost Model'!$B$6:$F$15,5,FALSE)</f>
        <v/>
      </c>
      <c r="I252" s="24">
        <f>H252*VLOOKUP(G252,Assumptions!$B$43:$C$45,2,FALSE)</f>
        <v/>
      </c>
      <c r="J252" s="25">
        <f>VLOOKUP(F252,Assumptions!$B$50:$D$59,2,FALSE)*VLOOKUP("SI-T1",Assumptions!$B$27:$C$31,2,FALSE)*VLOOKUP(G252,Assumptions!$B$43:$C$45,2,FALSE)</f>
        <v/>
      </c>
    </row>
    <row r="253">
      <c r="B253" s="7" t="inlineStr">
        <is>
          <t>RC-0248</t>
        </is>
      </c>
      <c r="C253" s="11" t="inlineStr">
        <is>
          <t>ERP</t>
        </is>
      </c>
      <c r="D253" s="7" t="inlineStr">
        <is>
          <t>SAP Security Architect</t>
        </is>
      </c>
      <c r="E253" s="11" t="inlineStr">
        <is>
          <t>SAP Basis</t>
        </is>
      </c>
      <c r="F253" s="11" t="inlineStr">
        <is>
          <t>Senior Manager</t>
        </is>
      </c>
      <c r="G253" s="21" t="inlineStr">
        <is>
          <t>Medium</t>
        </is>
      </c>
      <c r="H253" s="23">
        <f>VLOOKUP(F253,'Internal Cost Model'!$B$6:$F$15,5,FALSE)</f>
        <v/>
      </c>
      <c r="I253" s="24">
        <f>H253*VLOOKUP(G253,Assumptions!$B$43:$C$45,2,FALSE)</f>
        <v/>
      </c>
      <c r="J253" s="25">
        <f>VLOOKUP(F253,Assumptions!$B$50:$D$59,2,FALSE)*VLOOKUP("SI-T1",Assumptions!$B$27:$C$31,2,FALSE)*VLOOKUP(G253,Assumptions!$B$43:$C$45,2,FALSE)</f>
        <v/>
      </c>
    </row>
    <row r="254">
      <c r="B254" s="7" t="inlineStr">
        <is>
          <t>RC-0249</t>
        </is>
      </c>
      <c r="C254" s="11" t="inlineStr">
        <is>
          <t>ERP</t>
        </is>
      </c>
      <c r="D254" s="7" t="inlineStr">
        <is>
          <t>SAP Security Architect</t>
        </is>
      </c>
      <c r="E254" s="11" t="inlineStr">
        <is>
          <t>SAP Basis</t>
        </is>
      </c>
      <c r="F254" s="11" t="inlineStr">
        <is>
          <t>Manager</t>
        </is>
      </c>
      <c r="G254" s="21" t="inlineStr">
        <is>
          <t>Medium</t>
        </is>
      </c>
      <c r="H254" s="23">
        <f>VLOOKUP(F254,'Internal Cost Model'!$B$6:$F$15,5,FALSE)</f>
        <v/>
      </c>
      <c r="I254" s="24">
        <f>H254*VLOOKUP(G254,Assumptions!$B$43:$C$45,2,FALSE)</f>
        <v/>
      </c>
      <c r="J254" s="25">
        <f>VLOOKUP(F254,Assumptions!$B$50:$D$59,2,FALSE)*VLOOKUP("SI-T1",Assumptions!$B$27:$C$31,2,FALSE)*VLOOKUP(G254,Assumptions!$B$43:$C$45,2,FALSE)</f>
        <v/>
      </c>
    </row>
    <row r="255">
      <c r="B255" s="7" t="inlineStr">
        <is>
          <t>RC-0250</t>
        </is>
      </c>
      <c r="C255" s="11" t="inlineStr">
        <is>
          <t>ERP</t>
        </is>
      </c>
      <c r="D255" s="7" t="inlineStr">
        <is>
          <t>SAP Security Architect</t>
        </is>
      </c>
      <c r="E255" s="11" t="inlineStr">
        <is>
          <t>SAP Basis</t>
        </is>
      </c>
      <c r="F255" s="11" t="inlineStr">
        <is>
          <t>Lead</t>
        </is>
      </c>
      <c r="G255" s="21" t="inlineStr">
        <is>
          <t>Medium</t>
        </is>
      </c>
      <c r="H255" s="23">
        <f>VLOOKUP(F255,'Internal Cost Model'!$B$6:$F$15,5,FALSE)</f>
        <v/>
      </c>
      <c r="I255" s="24">
        <f>H255*VLOOKUP(G255,Assumptions!$B$43:$C$45,2,FALSE)</f>
        <v/>
      </c>
      <c r="J255" s="25">
        <f>VLOOKUP(F255,Assumptions!$B$50:$D$59,2,FALSE)*VLOOKUP("SI-T1",Assumptions!$B$27:$C$31,2,FALSE)*VLOOKUP(G255,Assumptions!$B$43:$C$45,2,FALSE)</f>
        <v/>
      </c>
    </row>
    <row r="256">
      <c r="B256" s="7" t="inlineStr">
        <is>
          <t>RC-0251</t>
        </is>
      </c>
      <c r="C256" s="11" t="inlineStr">
        <is>
          <t>ERP</t>
        </is>
      </c>
      <c r="D256" s="7" t="inlineStr">
        <is>
          <t>SAP Basis Consultant</t>
        </is>
      </c>
      <c r="E256" s="11" t="inlineStr">
        <is>
          <t>SAP Basis</t>
        </is>
      </c>
      <c r="F256" s="11" t="inlineStr">
        <is>
          <t>Manager</t>
        </is>
      </c>
      <c r="G256" s="21" t="inlineStr">
        <is>
          <t>Medium</t>
        </is>
      </c>
      <c r="H256" s="23">
        <f>VLOOKUP(F256,'Internal Cost Model'!$B$6:$F$15,5,FALSE)</f>
        <v/>
      </c>
      <c r="I256" s="24">
        <f>H256*VLOOKUP(G256,Assumptions!$B$43:$C$45,2,FALSE)</f>
        <v/>
      </c>
      <c r="J256" s="25">
        <f>VLOOKUP(F256,Assumptions!$B$50:$D$59,2,FALSE)*VLOOKUP("SI-T1",Assumptions!$B$27:$C$31,2,FALSE)*VLOOKUP(G256,Assumptions!$B$43:$C$45,2,FALSE)</f>
        <v/>
      </c>
    </row>
    <row r="257">
      <c r="B257" s="7" t="inlineStr">
        <is>
          <t>RC-0252</t>
        </is>
      </c>
      <c r="C257" s="11" t="inlineStr">
        <is>
          <t>ERP</t>
        </is>
      </c>
      <c r="D257" s="7" t="inlineStr">
        <is>
          <t>SAP Basis Consultant</t>
        </is>
      </c>
      <c r="E257" s="11" t="inlineStr">
        <is>
          <t>SAP Basis</t>
        </is>
      </c>
      <c r="F257" s="11" t="inlineStr">
        <is>
          <t>Lead</t>
        </is>
      </c>
      <c r="G257" s="21" t="inlineStr">
        <is>
          <t>Medium</t>
        </is>
      </c>
      <c r="H257" s="23">
        <f>VLOOKUP(F257,'Internal Cost Model'!$B$6:$F$15,5,FALSE)</f>
        <v/>
      </c>
      <c r="I257" s="24">
        <f>H257*VLOOKUP(G257,Assumptions!$B$43:$C$45,2,FALSE)</f>
        <v/>
      </c>
      <c r="J257" s="25">
        <f>VLOOKUP(F257,Assumptions!$B$50:$D$59,2,FALSE)*VLOOKUP("SI-T1",Assumptions!$B$27:$C$31,2,FALSE)*VLOOKUP(G257,Assumptions!$B$43:$C$45,2,FALSE)</f>
        <v/>
      </c>
    </row>
    <row r="258">
      <c r="B258" s="7" t="inlineStr">
        <is>
          <t>RC-0253</t>
        </is>
      </c>
      <c r="C258" s="11" t="inlineStr">
        <is>
          <t>ERP</t>
        </is>
      </c>
      <c r="D258" s="7" t="inlineStr">
        <is>
          <t>SAP Basis Consultant</t>
        </is>
      </c>
      <c r="E258" s="11" t="inlineStr">
        <is>
          <t>SAP Basis</t>
        </is>
      </c>
      <c r="F258" s="11" t="inlineStr">
        <is>
          <t>Senior</t>
        </is>
      </c>
      <c r="G258" s="21" t="inlineStr">
        <is>
          <t>Medium</t>
        </is>
      </c>
      <c r="H258" s="23">
        <f>VLOOKUP(F258,'Internal Cost Model'!$B$6:$F$15,5,FALSE)</f>
        <v/>
      </c>
      <c r="I258" s="24">
        <f>H258*VLOOKUP(G258,Assumptions!$B$43:$C$45,2,FALSE)</f>
        <v/>
      </c>
      <c r="J258" s="25">
        <f>VLOOKUP(F258,Assumptions!$B$50:$D$59,2,FALSE)*VLOOKUP("SI-T1",Assumptions!$B$27:$C$31,2,FALSE)*VLOOKUP(G258,Assumptions!$B$43:$C$45,2,FALSE)</f>
        <v/>
      </c>
    </row>
    <row r="259">
      <c r="B259" s="7" t="inlineStr">
        <is>
          <t>RC-0254</t>
        </is>
      </c>
      <c r="C259" s="11" t="inlineStr">
        <is>
          <t>ERP</t>
        </is>
      </c>
      <c r="D259" s="7" t="inlineStr">
        <is>
          <t>Oracle Finance Architect</t>
        </is>
      </c>
      <c r="E259" s="11" t="inlineStr">
        <is>
          <t>Oracle Finance</t>
        </is>
      </c>
      <c r="F259" s="11" t="inlineStr">
        <is>
          <t>Director</t>
        </is>
      </c>
      <c r="G259" s="21" t="inlineStr">
        <is>
          <t>High</t>
        </is>
      </c>
      <c r="H259" s="23">
        <f>VLOOKUP(F259,'Internal Cost Model'!$B$6:$F$15,5,FALSE)</f>
        <v/>
      </c>
      <c r="I259" s="24">
        <f>H259*VLOOKUP(G259,Assumptions!$B$43:$C$45,2,FALSE)</f>
        <v/>
      </c>
      <c r="J259" s="25">
        <f>VLOOKUP(F259,Assumptions!$B$50:$D$59,2,FALSE)*VLOOKUP("SI-T1",Assumptions!$B$27:$C$31,2,FALSE)*VLOOKUP(G259,Assumptions!$B$43:$C$45,2,FALSE)</f>
        <v/>
      </c>
    </row>
    <row r="260">
      <c r="B260" s="7" t="inlineStr">
        <is>
          <t>RC-0255</t>
        </is>
      </c>
      <c r="C260" s="11" t="inlineStr">
        <is>
          <t>ERP</t>
        </is>
      </c>
      <c r="D260" s="7" t="inlineStr">
        <is>
          <t>Oracle Finance Architect</t>
        </is>
      </c>
      <c r="E260" s="11" t="inlineStr">
        <is>
          <t>Oracle Finance</t>
        </is>
      </c>
      <c r="F260" s="11" t="inlineStr">
        <is>
          <t>Senior Manager</t>
        </is>
      </c>
      <c r="G260" s="21" t="inlineStr">
        <is>
          <t>High</t>
        </is>
      </c>
      <c r="H260" s="23">
        <f>VLOOKUP(F260,'Internal Cost Model'!$B$6:$F$15,5,FALSE)</f>
        <v/>
      </c>
      <c r="I260" s="24">
        <f>H260*VLOOKUP(G260,Assumptions!$B$43:$C$45,2,FALSE)</f>
        <v/>
      </c>
      <c r="J260" s="25">
        <f>VLOOKUP(F260,Assumptions!$B$50:$D$59,2,FALSE)*VLOOKUP("SI-T1",Assumptions!$B$27:$C$31,2,FALSE)*VLOOKUP(G260,Assumptions!$B$43:$C$45,2,FALSE)</f>
        <v/>
      </c>
    </row>
    <row r="261">
      <c r="B261" s="7" t="inlineStr">
        <is>
          <t>RC-0256</t>
        </is>
      </c>
      <c r="C261" s="11" t="inlineStr">
        <is>
          <t>ERP</t>
        </is>
      </c>
      <c r="D261" s="7" t="inlineStr">
        <is>
          <t>Oracle Finance Architect</t>
        </is>
      </c>
      <c r="E261" s="11" t="inlineStr">
        <is>
          <t>Oracle Finance</t>
        </is>
      </c>
      <c r="F261" s="11" t="inlineStr">
        <is>
          <t>Manager</t>
        </is>
      </c>
      <c r="G261" s="21" t="inlineStr">
        <is>
          <t>High</t>
        </is>
      </c>
      <c r="H261" s="23">
        <f>VLOOKUP(F261,'Internal Cost Model'!$B$6:$F$15,5,FALSE)</f>
        <v/>
      </c>
      <c r="I261" s="24">
        <f>H261*VLOOKUP(G261,Assumptions!$B$43:$C$45,2,FALSE)</f>
        <v/>
      </c>
      <c r="J261" s="25">
        <f>VLOOKUP(F261,Assumptions!$B$50:$D$59,2,FALSE)*VLOOKUP("SI-T1",Assumptions!$B$27:$C$31,2,FALSE)*VLOOKUP(G261,Assumptions!$B$43:$C$45,2,FALSE)</f>
        <v/>
      </c>
    </row>
    <row r="262">
      <c r="B262" s="7" t="inlineStr">
        <is>
          <t>RC-0257</t>
        </is>
      </c>
      <c r="C262" s="11" t="inlineStr">
        <is>
          <t>ERP</t>
        </is>
      </c>
      <c r="D262" s="7" t="inlineStr">
        <is>
          <t>Oracle Finance Architect</t>
        </is>
      </c>
      <c r="E262" s="11" t="inlineStr">
        <is>
          <t>Oracle Finance</t>
        </is>
      </c>
      <c r="F262" s="11" t="inlineStr">
        <is>
          <t>Lead</t>
        </is>
      </c>
      <c r="G262" s="21" t="inlineStr">
        <is>
          <t>High</t>
        </is>
      </c>
      <c r="H262" s="23">
        <f>VLOOKUP(F262,'Internal Cost Model'!$B$6:$F$15,5,FALSE)</f>
        <v/>
      </c>
      <c r="I262" s="24">
        <f>H262*VLOOKUP(G262,Assumptions!$B$43:$C$45,2,FALSE)</f>
        <v/>
      </c>
      <c r="J262" s="25">
        <f>VLOOKUP(F262,Assumptions!$B$50:$D$59,2,FALSE)*VLOOKUP("SI-T1",Assumptions!$B$27:$C$31,2,FALSE)*VLOOKUP(G262,Assumptions!$B$43:$C$45,2,FALSE)</f>
        <v/>
      </c>
    </row>
    <row r="263">
      <c r="B263" s="7" t="inlineStr">
        <is>
          <t>RC-0258</t>
        </is>
      </c>
      <c r="C263" s="11" t="inlineStr">
        <is>
          <t>ERP</t>
        </is>
      </c>
      <c r="D263" s="7" t="inlineStr">
        <is>
          <t>Oracle SCM Consultant</t>
        </is>
      </c>
      <c r="E263" s="11" t="inlineStr">
        <is>
          <t>Oracle SCM</t>
        </is>
      </c>
      <c r="F263" s="11" t="inlineStr">
        <is>
          <t>Manager</t>
        </is>
      </c>
      <c r="G263" s="21" t="inlineStr">
        <is>
          <t>High</t>
        </is>
      </c>
      <c r="H263" s="23">
        <f>VLOOKUP(F263,'Internal Cost Model'!$B$6:$F$15,5,FALSE)</f>
        <v/>
      </c>
      <c r="I263" s="24">
        <f>H263*VLOOKUP(G263,Assumptions!$B$43:$C$45,2,FALSE)</f>
        <v/>
      </c>
      <c r="J263" s="25">
        <f>VLOOKUP(F263,Assumptions!$B$50:$D$59,2,FALSE)*VLOOKUP("SI-T1",Assumptions!$B$27:$C$31,2,FALSE)*VLOOKUP(G263,Assumptions!$B$43:$C$45,2,FALSE)</f>
        <v/>
      </c>
    </row>
    <row r="264">
      <c r="B264" s="7" t="inlineStr">
        <is>
          <t>RC-0259</t>
        </is>
      </c>
      <c r="C264" s="11" t="inlineStr">
        <is>
          <t>ERP</t>
        </is>
      </c>
      <c r="D264" s="7" t="inlineStr">
        <is>
          <t>Oracle SCM Consultant</t>
        </is>
      </c>
      <c r="E264" s="11" t="inlineStr">
        <is>
          <t>Oracle SCM</t>
        </is>
      </c>
      <c r="F264" s="11" t="inlineStr">
        <is>
          <t>Lead</t>
        </is>
      </c>
      <c r="G264" s="21" t="inlineStr">
        <is>
          <t>High</t>
        </is>
      </c>
      <c r="H264" s="23">
        <f>VLOOKUP(F264,'Internal Cost Model'!$B$6:$F$15,5,FALSE)</f>
        <v/>
      </c>
      <c r="I264" s="24">
        <f>H264*VLOOKUP(G264,Assumptions!$B$43:$C$45,2,FALSE)</f>
        <v/>
      </c>
      <c r="J264" s="25">
        <f>VLOOKUP(F264,Assumptions!$B$50:$D$59,2,FALSE)*VLOOKUP("SI-T1",Assumptions!$B$27:$C$31,2,FALSE)*VLOOKUP(G264,Assumptions!$B$43:$C$45,2,FALSE)</f>
        <v/>
      </c>
    </row>
    <row r="265">
      <c r="B265" s="7" t="inlineStr">
        <is>
          <t>RC-0260</t>
        </is>
      </c>
      <c r="C265" s="11" t="inlineStr">
        <is>
          <t>ERP</t>
        </is>
      </c>
      <c r="D265" s="7" t="inlineStr">
        <is>
          <t>Oracle SCM Consultant</t>
        </is>
      </c>
      <c r="E265" s="11" t="inlineStr">
        <is>
          <t>Oracle SCM</t>
        </is>
      </c>
      <c r="F265" s="11" t="inlineStr">
        <is>
          <t>Senior</t>
        </is>
      </c>
      <c r="G265" s="21" t="inlineStr">
        <is>
          <t>High</t>
        </is>
      </c>
      <c r="H265" s="23">
        <f>VLOOKUP(F265,'Internal Cost Model'!$B$6:$F$15,5,FALSE)</f>
        <v/>
      </c>
      <c r="I265" s="24">
        <f>H265*VLOOKUP(G265,Assumptions!$B$43:$C$45,2,FALSE)</f>
        <v/>
      </c>
      <c r="J265" s="25">
        <f>VLOOKUP(F265,Assumptions!$B$50:$D$59,2,FALSE)*VLOOKUP("SI-T1",Assumptions!$B$27:$C$31,2,FALSE)*VLOOKUP(G265,Assumptions!$B$43:$C$45,2,FALSE)</f>
        <v/>
      </c>
    </row>
    <row r="266">
      <c r="B266" s="7" t="inlineStr">
        <is>
          <t>RC-0261</t>
        </is>
      </c>
      <c r="C266" s="11" t="inlineStr">
        <is>
          <t>ERP</t>
        </is>
      </c>
      <c r="D266" s="7" t="inlineStr">
        <is>
          <t>Workday Architect</t>
        </is>
      </c>
      <c r="E266" s="11" t="inlineStr">
        <is>
          <t>Workday HCM</t>
        </is>
      </c>
      <c r="F266" s="11" t="inlineStr">
        <is>
          <t>Director</t>
        </is>
      </c>
      <c r="G266" s="21" t="inlineStr">
        <is>
          <t>High</t>
        </is>
      </c>
      <c r="H266" s="23">
        <f>VLOOKUP(F266,'Internal Cost Model'!$B$6:$F$15,5,FALSE)</f>
        <v/>
      </c>
      <c r="I266" s="24">
        <f>H266*VLOOKUP(G266,Assumptions!$B$43:$C$45,2,FALSE)</f>
        <v/>
      </c>
      <c r="J266" s="25">
        <f>VLOOKUP(F266,Assumptions!$B$50:$D$59,2,FALSE)*VLOOKUP("SI-T1",Assumptions!$B$27:$C$31,2,FALSE)*VLOOKUP(G266,Assumptions!$B$43:$C$45,2,FALSE)</f>
        <v/>
      </c>
    </row>
    <row r="267">
      <c r="B267" s="7" t="inlineStr">
        <is>
          <t>RC-0262</t>
        </is>
      </c>
      <c r="C267" s="11" t="inlineStr">
        <is>
          <t>ERP</t>
        </is>
      </c>
      <c r="D267" s="7" t="inlineStr">
        <is>
          <t>Workday Architect</t>
        </is>
      </c>
      <c r="E267" s="11" t="inlineStr">
        <is>
          <t>Workday HCM</t>
        </is>
      </c>
      <c r="F267" s="11" t="inlineStr">
        <is>
          <t>Senior Manager</t>
        </is>
      </c>
      <c r="G267" s="21" t="inlineStr">
        <is>
          <t>High</t>
        </is>
      </c>
      <c r="H267" s="23">
        <f>VLOOKUP(F267,'Internal Cost Model'!$B$6:$F$15,5,FALSE)</f>
        <v/>
      </c>
      <c r="I267" s="24">
        <f>H267*VLOOKUP(G267,Assumptions!$B$43:$C$45,2,FALSE)</f>
        <v/>
      </c>
      <c r="J267" s="25">
        <f>VLOOKUP(F267,Assumptions!$B$50:$D$59,2,FALSE)*VLOOKUP("SI-T1",Assumptions!$B$27:$C$31,2,FALSE)*VLOOKUP(G267,Assumptions!$B$43:$C$45,2,FALSE)</f>
        <v/>
      </c>
    </row>
    <row r="268">
      <c r="B268" s="7" t="inlineStr">
        <is>
          <t>RC-0263</t>
        </is>
      </c>
      <c r="C268" s="11" t="inlineStr">
        <is>
          <t>ERP</t>
        </is>
      </c>
      <c r="D268" s="7" t="inlineStr">
        <is>
          <t>Workday Architect</t>
        </is>
      </c>
      <c r="E268" s="11" t="inlineStr">
        <is>
          <t>Workday HCM</t>
        </is>
      </c>
      <c r="F268" s="11" t="inlineStr">
        <is>
          <t>Manager</t>
        </is>
      </c>
      <c r="G268" s="21" t="inlineStr">
        <is>
          <t>High</t>
        </is>
      </c>
      <c r="H268" s="23">
        <f>VLOOKUP(F268,'Internal Cost Model'!$B$6:$F$15,5,FALSE)</f>
        <v/>
      </c>
      <c r="I268" s="24">
        <f>H268*VLOOKUP(G268,Assumptions!$B$43:$C$45,2,FALSE)</f>
        <v/>
      </c>
      <c r="J268" s="25">
        <f>VLOOKUP(F268,Assumptions!$B$50:$D$59,2,FALSE)*VLOOKUP("SI-T1",Assumptions!$B$27:$C$31,2,FALSE)*VLOOKUP(G268,Assumptions!$B$43:$C$45,2,FALSE)</f>
        <v/>
      </c>
    </row>
    <row r="269">
      <c r="B269" s="7" t="inlineStr">
        <is>
          <t>RC-0264</t>
        </is>
      </c>
      <c r="C269" s="11" t="inlineStr">
        <is>
          <t>ERP</t>
        </is>
      </c>
      <c r="D269" s="7" t="inlineStr">
        <is>
          <t>Workday Architect</t>
        </is>
      </c>
      <c r="E269" s="11" t="inlineStr">
        <is>
          <t>Workday HCM</t>
        </is>
      </c>
      <c r="F269" s="11" t="inlineStr">
        <is>
          <t>Lead</t>
        </is>
      </c>
      <c r="G269" s="21" t="inlineStr">
        <is>
          <t>High</t>
        </is>
      </c>
      <c r="H269" s="23">
        <f>VLOOKUP(F269,'Internal Cost Model'!$B$6:$F$15,5,FALSE)</f>
        <v/>
      </c>
      <c r="I269" s="24">
        <f>H269*VLOOKUP(G269,Assumptions!$B$43:$C$45,2,FALSE)</f>
        <v/>
      </c>
      <c r="J269" s="25">
        <f>VLOOKUP(F269,Assumptions!$B$50:$D$59,2,FALSE)*VLOOKUP("SI-T1",Assumptions!$B$27:$C$31,2,FALSE)*VLOOKUP(G269,Assumptions!$B$43:$C$45,2,FALSE)</f>
        <v/>
      </c>
    </row>
    <row r="270">
      <c r="B270" s="7" t="inlineStr">
        <is>
          <t>RC-0265</t>
        </is>
      </c>
      <c r="C270" s="11" t="inlineStr">
        <is>
          <t>ERP</t>
        </is>
      </c>
      <c r="D270" s="7" t="inlineStr">
        <is>
          <t>Workday Functional Lead</t>
        </is>
      </c>
      <c r="E270" s="11" t="inlineStr">
        <is>
          <t>Workday HCM</t>
        </is>
      </c>
      <c r="F270" s="11" t="inlineStr">
        <is>
          <t>Senior Manager</t>
        </is>
      </c>
      <c r="G270" s="21" t="inlineStr">
        <is>
          <t>High</t>
        </is>
      </c>
      <c r="H270" s="23">
        <f>VLOOKUP(F270,'Internal Cost Model'!$B$6:$F$15,5,FALSE)</f>
        <v/>
      </c>
      <c r="I270" s="24">
        <f>H270*VLOOKUP(G270,Assumptions!$B$43:$C$45,2,FALSE)</f>
        <v/>
      </c>
      <c r="J270" s="25">
        <f>VLOOKUP(F270,Assumptions!$B$50:$D$59,2,FALSE)*VLOOKUP("SI-T1",Assumptions!$B$27:$C$31,2,FALSE)*VLOOKUP(G270,Assumptions!$B$43:$C$45,2,FALSE)</f>
        <v/>
      </c>
    </row>
    <row r="271">
      <c r="B271" s="7" t="inlineStr">
        <is>
          <t>RC-0266</t>
        </is>
      </c>
      <c r="C271" s="11" t="inlineStr">
        <is>
          <t>ERP</t>
        </is>
      </c>
      <c r="D271" s="7" t="inlineStr">
        <is>
          <t>Workday Functional Lead</t>
        </is>
      </c>
      <c r="E271" s="11" t="inlineStr">
        <is>
          <t>Workday HCM</t>
        </is>
      </c>
      <c r="F271" s="11" t="inlineStr">
        <is>
          <t>Manager</t>
        </is>
      </c>
      <c r="G271" s="21" t="inlineStr">
        <is>
          <t>High</t>
        </is>
      </c>
      <c r="H271" s="23">
        <f>VLOOKUP(F271,'Internal Cost Model'!$B$6:$F$15,5,FALSE)</f>
        <v/>
      </c>
      <c r="I271" s="24">
        <f>H271*VLOOKUP(G271,Assumptions!$B$43:$C$45,2,FALSE)</f>
        <v/>
      </c>
      <c r="J271" s="25">
        <f>VLOOKUP(F271,Assumptions!$B$50:$D$59,2,FALSE)*VLOOKUP("SI-T1",Assumptions!$B$27:$C$31,2,FALSE)*VLOOKUP(G271,Assumptions!$B$43:$C$45,2,FALSE)</f>
        <v/>
      </c>
    </row>
    <row r="272">
      <c r="B272" s="7" t="inlineStr">
        <is>
          <t>RC-0267</t>
        </is>
      </c>
      <c r="C272" s="11" t="inlineStr">
        <is>
          <t>ERP</t>
        </is>
      </c>
      <c r="D272" s="7" t="inlineStr">
        <is>
          <t>Workday Functional Lead</t>
        </is>
      </c>
      <c r="E272" s="11" t="inlineStr">
        <is>
          <t>Workday HCM</t>
        </is>
      </c>
      <c r="F272" s="11" t="inlineStr">
        <is>
          <t>Lead</t>
        </is>
      </c>
      <c r="G272" s="21" t="inlineStr">
        <is>
          <t>High</t>
        </is>
      </c>
      <c r="H272" s="23">
        <f>VLOOKUP(F272,'Internal Cost Model'!$B$6:$F$15,5,FALSE)</f>
        <v/>
      </c>
      <c r="I272" s="24">
        <f>H272*VLOOKUP(G272,Assumptions!$B$43:$C$45,2,FALSE)</f>
        <v/>
      </c>
      <c r="J272" s="25">
        <f>VLOOKUP(F272,Assumptions!$B$50:$D$59,2,FALSE)*VLOOKUP("SI-T1",Assumptions!$B$27:$C$31,2,FALSE)*VLOOKUP(G272,Assumptions!$B$43:$C$45,2,FALSE)</f>
        <v/>
      </c>
    </row>
    <row r="273">
      <c r="B273" s="7" t="inlineStr">
        <is>
          <t>RC-0268</t>
        </is>
      </c>
      <c r="C273" s="11" t="inlineStr">
        <is>
          <t>ERP</t>
        </is>
      </c>
      <c r="D273" s="7" t="inlineStr">
        <is>
          <t>Workday Technical Lead</t>
        </is>
      </c>
      <c r="E273" s="11" t="inlineStr">
        <is>
          <t>Workday Finance</t>
        </is>
      </c>
      <c r="F273" s="11" t="inlineStr">
        <is>
          <t>Senior Manager</t>
        </is>
      </c>
      <c r="G273" s="21" t="inlineStr">
        <is>
          <t>High</t>
        </is>
      </c>
      <c r="H273" s="23">
        <f>VLOOKUP(F273,'Internal Cost Model'!$B$6:$F$15,5,FALSE)</f>
        <v/>
      </c>
      <c r="I273" s="24">
        <f>H273*VLOOKUP(G273,Assumptions!$B$43:$C$45,2,FALSE)</f>
        <v/>
      </c>
      <c r="J273" s="25">
        <f>VLOOKUP(F273,Assumptions!$B$50:$D$59,2,FALSE)*VLOOKUP("SI-T1",Assumptions!$B$27:$C$31,2,FALSE)*VLOOKUP(G273,Assumptions!$B$43:$C$45,2,FALSE)</f>
        <v/>
      </c>
    </row>
    <row r="274">
      <c r="B274" s="7" t="inlineStr">
        <is>
          <t>RC-0269</t>
        </is>
      </c>
      <c r="C274" s="11" t="inlineStr">
        <is>
          <t>ERP</t>
        </is>
      </c>
      <c r="D274" s="7" t="inlineStr">
        <is>
          <t>Workday Technical Lead</t>
        </is>
      </c>
      <c r="E274" s="11" t="inlineStr">
        <is>
          <t>Workday Finance</t>
        </is>
      </c>
      <c r="F274" s="11" t="inlineStr">
        <is>
          <t>Manager</t>
        </is>
      </c>
      <c r="G274" s="21" t="inlineStr">
        <is>
          <t>High</t>
        </is>
      </c>
      <c r="H274" s="23">
        <f>VLOOKUP(F274,'Internal Cost Model'!$B$6:$F$15,5,FALSE)</f>
        <v/>
      </c>
      <c r="I274" s="24">
        <f>H274*VLOOKUP(G274,Assumptions!$B$43:$C$45,2,FALSE)</f>
        <v/>
      </c>
      <c r="J274" s="25">
        <f>VLOOKUP(F274,Assumptions!$B$50:$D$59,2,FALSE)*VLOOKUP("SI-T1",Assumptions!$B$27:$C$31,2,FALSE)*VLOOKUP(G274,Assumptions!$B$43:$C$45,2,FALSE)</f>
        <v/>
      </c>
    </row>
    <row r="275">
      <c r="B275" s="7" t="inlineStr">
        <is>
          <t>RC-0270</t>
        </is>
      </c>
      <c r="C275" s="11" t="inlineStr">
        <is>
          <t>ERP</t>
        </is>
      </c>
      <c r="D275" s="7" t="inlineStr">
        <is>
          <t>Workday Technical Lead</t>
        </is>
      </c>
      <c r="E275" s="11" t="inlineStr">
        <is>
          <t>Workday Finance</t>
        </is>
      </c>
      <c r="F275" s="11" t="inlineStr">
        <is>
          <t>Lead</t>
        </is>
      </c>
      <c r="G275" s="21" t="inlineStr">
        <is>
          <t>High</t>
        </is>
      </c>
      <c r="H275" s="23">
        <f>VLOOKUP(F275,'Internal Cost Model'!$B$6:$F$15,5,FALSE)</f>
        <v/>
      </c>
      <c r="I275" s="24">
        <f>H275*VLOOKUP(G275,Assumptions!$B$43:$C$45,2,FALSE)</f>
        <v/>
      </c>
      <c r="J275" s="25">
        <f>VLOOKUP(F275,Assumptions!$B$50:$D$59,2,FALSE)*VLOOKUP("SI-T1",Assumptions!$B$27:$C$31,2,FALSE)*VLOOKUP(G275,Assumptions!$B$43:$C$45,2,FALSE)</f>
        <v/>
      </c>
    </row>
    <row r="276">
      <c r="B276" s="7" t="inlineStr">
        <is>
          <t>RC-0271</t>
        </is>
      </c>
      <c r="C276" s="11" t="inlineStr">
        <is>
          <t>Cloud</t>
        </is>
      </c>
      <c r="D276" s="7" t="inlineStr">
        <is>
          <t>Cloud Architect</t>
        </is>
      </c>
      <c r="E276" s="11" t="inlineStr">
        <is>
          <t>Azure</t>
        </is>
      </c>
      <c r="F276" s="11" t="inlineStr">
        <is>
          <t>Director</t>
        </is>
      </c>
      <c r="G276" s="21" t="inlineStr">
        <is>
          <t>High</t>
        </is>
      </c>
      <c r="H276" s="23">
        <f>VLOOKUP(F276,'Internal Cost Model'!$B$6:$F$15,5,FALSE)</f>
        <v/>
      </c>
      <c r="I276" s="24">
        <f>H276*VLOOKUP(G276,Assumptions!$B$43:$C$45,2,FALSE)</f>
        <v/>
      </c>
      <c r="J276" s="25">
        <f>VLOOKUP(F276,Assumptions!$B$50:$D$59,2,FALSE)*VLOOKUP("SI-T1",Assumptions!$B$27:$C$31,2,FALSE)*VLOOKUP(G276,Assumptions!$B$43:$C$45,2,FALSE)</f>
        <v/>
      </c>
    </row>
    <row r="277">
      <c r="B277" s="7" t="inlineStr">
        <is>
          <t>RC-0272</t>
        </is>
      </c>
      <c r="C277" s="11" t="inlineStr">
        <is>
          <t>Cloud</t>
        </is>
      </c>
      <c r="D277" s="7" t="inlineStr">
        <is>
          <t>Cloud Architect</t>
        </is>
      </c>
      <c r="E277" s="11" t="inlineStr">
        <is>
          <t>Azure</t>
        </is>
      </c>
      <c r="F277" s="11" t="inlineStr">
        <is>
          <t>Senior Manager</t>
        </is>
      </c>
      <c r="G277" s="21" t="inlineStr">
        <is>
          <t>High</t>
        </is>
      </c>
      <c r="H277" s="23">
        <f>VLOOKUP(F277,'Internal Cost Model'!$B$6:$F$15,5,FALSE)</f>
        <v/>
      </c>
      <c r="I277" s="24">
        <f>H277*VLOOKUP(G277,Assumptions!$B$43:$C$45,2,FALSE)</f>
        <v/>
      </c>
      <c r="J277" s="25">
        <f>VLOOKUP(F277,Assumptions!$B$50:$D$59,2,FALSE)*VLOOKUP("SI-T1",Assumptions!$B$27:$C$31,2,FALSE)*VLOOKUP(G277,Assumptions!$B$43:$C$45,2,FALSE)</f>
        <v/>
      </c>
    </row>
    <row r="278">
      <c r="B278" s="7" t="inlineStr">
        <is>
          <t>RC-0273</t>
        </is>
      </c>
      <c r="C278" s="11" t="inlineStr">
        <is>
          <t>Cloud</t>
        </is>
      </c>
      <c r="D278" s="7" t="inlineStr">
        <is>
          <t>Cloud Architect</t>
        </is>
      </c>
      <c r="E278" s="11" t="inlineStr">
        <is>
          <t>Azure</t>
        </is>
      </c>
      <c r="F278" s="11" t="inlineStr">
        <is>
          <t>Manager</t>
        </is>
      </c>
      <c r="G278" s="21" t="inlineStr">
        <is>
          <t>High</t>
        </is>
      </c>
      <c r="H278" s="23">
        <f>VLOOKUP(F278,'Internal Cost Model'!$B$6:$F$15,5,FALSE)</f>
        <v/>
      </c>
      <c r="I278" s="24">
        <f>H278*VLOOKUP(G278,Assumptions!$B$43:$C$45,2,FALSE)</f>
        <v/>
      </c>
      <c r="J278" s="25">
        <f>VLOOKUP(F278,Assumptions!$B$50:$D$59,2,FALSE)*VLOOKUP("SI-T1",Assumptions!$B$27:$C$31,2,FALSE)*VLOOKUP(G278,Assumptions!$B$43:$C$45,2,FALSE)</f>
        <v/>
      </c>
    </row>
    <row r="279">
      <c r="B279" s="7" t="inlineStr">
        <is>
          <t>RC-0274</t>
        </is>
      </c>
      <c r="C279" s="11" t="inlineStr">
        <is>
          <t>Cloud</t>
        </is>
      </c>
      <c r="D279" s="7" t="inlineStr">
        <is>
          <t>Cloud Architect</t>
        </is>
      </c>
      <c r="E279" s="11" t="inlineStr">
        <is>
          <t>Azure</t>
        </is>
      </c>
      <c r="F279" s="11" t="inlineStr">
        <is>
          <t>Lead</t>
        </is>
      </c>
      <c r="G279" s="21" t="inlineStr">
        <is>
          <t>High</t>
        </is>
      </c>
      <c r="H279" s="23">
        <f>VLOOKUP(F279,'Internal Cost Model'!$B$6:$F$15,5,FALSE)</f>
        <v/>
      </c>
      <c r="I279" s="24">
        <f>H279*VLOOKUP(G279,Assumptions!$B$43:$C$45,2,FALSE)</f>
        <v/>
      </c>
      <c r="J279" s="25">
        <f>VLOOKUP(F279,Assumptions!$B$50:$D$59,2,FALSE)*VLOOKUP("SI-T1",Assumptions!$B$27:$C$31,2,FALSE)*VLOOKUP(G279,Assumptions!$B$43:$C$45,2,FALSE)</f>
        <v/>
      </c>
    </row>
    <row r="280">
      <c r="B280" s="7" t="inlineStr">
        <is>
          <t>RC-0275</t>
        </is>
      </c>
      <c r="C280" s="11" t="inlineStr">
        <is>
          <t>Cloud</t>
        </is>
      </c>
      <c r="D280" s="7" t="inlineStr">
        <is>
          <t>Azure Architect</t>
        </is>
      </c>
      <c r="E280" s="11" t="inlineStr">
        <is>
          <t>Azure</t>
        </is>
      </c>
      <c r="F280" s="11" t="inlineStr">
        <is>
          <t>Director</t>
        </is>
      </c>
      <c r="G280" s="21" t="inlineStr">
        <is>
          <t>High</t>
        </is>
      </c>
      <c r="H280" s="23">
        <f>VLOOKUP(F280,'Internal Cost Model'!$B$6:$F$15,5,FALSE)</f>
        <v/>
      </c>
      <c r="I280" s="24">
        <f>H280*VLOOKUP(G280,Assumptions!$B$43:$C$45,2,FALSE)</f>
        <v/>
      </c>
      <c r="J280" s="25">
        <f>VLOOKUP(F280,Assumptions!$B$50:$D$59,2,FALSE)*VLOOKUP("SI-T1",Assumptions!$B$27:$C$31,2,FALSE)*VLOOKUP(G280,Assumptions!$B$43:$C$45,2,FALSE)</f>
        <v/>
      </c>
    </row>
    <row r="281">
      <c r="B281" s="7" t="inlineStr">
        <is>
          <t>RC-0276</t>
        </is>
      </c>
      <c r="C281" s="11" t="inlineStr">
        <is>
          <t>Cloud</t>
        </is>
      </c>
      <c r="D281" s="7" t="inlineStr">
        <is>
          <t>Azure Architect</t>
        </is>
      </c>
      <c r="E281" s="11" t="inlineStr">
        <is>
          <t>Azure</t>
        </is>
      </c>
      <c r="F281" s="11" t="inlineStr">
        <is>
          <t>Senior Manager</t>
        </is>
      </c>
      <c r="G281" s="21" t="inlineStr">
        <is>
          <t>High</t>
        </is>
      </c>
      <c r="H281" s="23">
        <f>VLOOKUP(F281,'Internal Cost Model'!$B$6:$F$15,5,FALSE)</f>
        <v/>
      </c>
      <c r="I281" s="24">
        <f>H281*VLOOKUP(G281,Assumptions!$B$43:$C$45,2,FALSE)</f>
        <v/>
      </c>
      <c r="J281" s="25">
        <f>VLOOKUP(F281,Assumptions!$B$50:$D$59,2,FALSE)*VLOOKUP("SI-T1",Assumptions!$B$27:$C$31,2,FALSE)*VLOOKUP(G281,Assumptions!$B$43:$C$45,2,FALSE)</f>
        <v/>
      </c>
    </row>
    <row r="282">
      <c r="B282" s="7" t="inlineStr">
        <is>
          <t>RC-0277</t>
        </is>
      </c>
      <c r="C282" s="11" t="inlineStr">
        <is>
          <t>Cloud</t>
        </is>
      </c>
      <c r="D282" s="7" t="inlineStr">
        <is>
          <t>Azure Architect</t>
        </is>
      </c>
      <c r="E282" s="11" t="inlineStr">
        <is>
          <t>Azure</t>
        </is>
      </c>
      <c r="F282" s="11" t="inlineStr">
        <is>
          <t>Manager</t>
        </is>
      </c>
      <c r="G282" s="21" t="inlineStr">
        <is>
          <t>High</t>
        </is>
      </c>
      <c r="H282" s="23">
        <f>VLOOKUP(F282,'Internal Cost Model'!$B$6:$F$15,5,FALSE)</f>
        <v/>
      </c>
      <c r="I282" s="24">
        <f>H282*VLOOKUP(G282,Assumptions!$B$43:$C$45,2,FALSE)</f>
        <v/>
      </c>
      <c r="J282" s="25">
        <f>VLOOKUP(F282,Assumptions!$B$50:$D$59,2,FALSE)*VLOOKUP("SI-T1",Assumptions!$B$27:$C$31,2,FALSE)*VLOOKUP(G282,Assumptions!$B$43:$C$45,2,FALSE)</f>
        <v/>
      </c>
    </row>
    <row r="283">
      <c r="B283" s="7" t="inlineStr">
        <is>
          <t>RC-0278</t>
        </is>
      </c>
      <c r="C283" s="11" t="inlineStr">
        <is>
          <t>Cloud</t>
        </is>
      </c>
      <c r="D283" s="7" t="inlineStr">
        <is>
          <t>Azure Architect</t>
        </is>
      </c>
      <c r="E283" s="11" t="inlineStr">
        <is>
          <t>Azure</t>
        </is>
      </c>
      <c r="F283" s="11" t="inlineStr">
        <is>
          <t>Lead</t>
        </is>
      </c>
      <c r="G283" s="21" t="inlineStr">
        <is>
          <t>High</t>
        </is>
      </c>
      <c r="H283" s="23">
        <f>VLOOKUP(F283,'Internal Cost Model'!$B$6:$F$15,5,FALSE)</f>
        <v/>
      </c>
      <c r="I283" s="24">
        <f>H283*VLOOKUP(G283,Assumptions!$B$43:$C$45,2,FALSE)</f>
        <v/>
      </c>
      <c r="J283" s="25">
        <f>VLOOKUP(F283,Assumptions!$B$50:$D$59,2,FALSE)*VLOOKUP("SI-T1",Assumptions!$B$27:$C$31,2,FALSE)*VLOOKUP(G283,Assumptions!$B$43:$C$45,2,FALSE)</f>
        <v/>
      </c>
    </row>
    <row r="284">
      <c r="B284" s="7" t="inlineStr">
        <is>
          <t>RC-0279</t>
        </is>
      </c>
      <c r="C284" s="11" t="inlineStr">
        <is>
          <t>Cloud</t>
        </is>
      </c>
      <c r="D284" s="7" t="inlineStr">
        <is>
          <t>AWS Architect</t>
        </is>
      </c>
      <c r="E284" s="11" t="inlineStr">
        <is>
          <t>AWS</t>
        </is>
      </c>
      <c r="F284" s="11" t="inlineStr">
        <is>
          <t>Director</t>
        </is>
      </c>
      <c r="G284" s="21" t="inlineStr">
        <is>
          <t>High</t>
        </is>
      </c>
      <c r="H284" s="23">
        <f>VLOOKUP(F284,'Internal Cost Model'!$B$6:$F$15,5,FALSE)</f>
        <v/>
      </c>
      <c r="I284" s="24">
        <f>H284*VLOOKUP(G284,Assumptions!$B$43:$C$45,2,FALSE)</f>
        <v/>
      </c>
      <c r="J284" s="25">
        <f>VLOOKUP(F284,Assumptions!$B$50:$D$59,2,FALSE)*VLOOKUP("SI-T1",Assumptions!$B$27:$C$31,2,FALSE)*VLOOKUP(G284,Assumptions!$B$43:$C$45,2,FALSE)</f>
        <v/>
      </c>
    </row>
    <row r="285">
      <c r="B285" s="7" t="inlineStr">
        <is>
          <t>RC-0280</t>
        </is>
      </c>
      <c r="C285" s="11" t="inlineStr">
        <is>
          <t>Cloud</t>
        </is>
      </c>
      <c r="D285" s="7" t="inlineStr">
        <is>
          <t>AWS Architect</t>
        </is>
      </c>
      <c r="E285" s="11" t="inlineStr">
        <is>
          <t>AWS</t>
        </is>
      </c>
      <c r="F285" s="11" t="inlineStr">
        <is>
          <t>Senior Manager</t>
        </is>
      </c>
      <c r="G285" s="21" t="inlineStr">
        <is>
          <t>High</t>
        </is>
      </c>
      <c r="H285" s="23">
        <f>VLOOKUP(F285,'Internal Cost Model'!$B$6:$F$15,5,FALSE)</f>
        <v/>
      </c>
      <c r="I285" s="24">
        <f>H285*VLOOKUP(G285,Assumptions!$B$43:$C$45,2,FALSE)</f>
        <v/>
      </c>
      <c r="J285" s="25">
        <f>VLOOKUP(F285,Assumptions!$B$50:$D$59,2,FALSE)*VLOOKUP("SI-T1",Assumptions!$B$27:$C$31,2,FALSE)*VLOOKUP(G285,Assumptions!$B$43:$C$45,2,FALSE)</f>
        <v/>
      </c>
    </row>
    <row r="286">
      <c r="B286" s="7" t="inlineStr">
        <is>
          <t>RC-0281</t>
        </is>
      </c>
      <c r="C286" s="11" t="inlineStr">
        <is>
          <t>Cloud</t>
        </is>
      </c>
      <c r="D286" s="7" t="inlineStr">
        <is>
          <t>AWS Architect</t>
        </is>
      </c>
      <c r="E286" s="11" t="inlineStr">
        <is>
          <t>AWS</t>
        </is>
      </c>
      <c r="F286" s="11" t="inlineStr">
        <is>
          <t>Manager</t>
        </is>
      </c>
      <c r="G286" s="21" t="inlineStr">
        <is>
          <t>High</t>
        </is>
      </c>
      <c r="H286" s="23">
        <f>VLOOKUP(F286,'Internal Cost Model'!$B$6:$F$15,5,FALSE)</f>
        <v/>
      </c>
      <c r="I286" s="24">
        <f>H286*VLOOKUP(G286,Assumptions!$B$43:$C$45,2,FALSE)</f>
        <v/>
      </c>
      <c r="J286" s="25">
        <f>VLOOKUP(F286,Assumptions!$B$50:$D$59,2,FALSE)*VLOOKUP("SI-T1",Assumptions!$B$27:$C$31,2,FALSE)*VLOOKUP(G286,Assumptions!$B$43:$C$45,2,FALSE)</f>
        <v/>
      </c>
    </row>
    <row r="287">
      <c r="B287" s="7" t="inlineStr">
        <is>
          <t>RC-0282</t>
        </is>
      </c>
      <c r="C287" s="11" t="inlineStr">
        <is>
          <t>Cloud</t>
        </is>
      </c>
      <c r="D287" s="7" t="inlineStr">
        <is>
          <t>AWS Architect</t>
        </is>
      </c>
      <c r="E287" s="11" t="inlineStr">
        <is>
          <t>AWS</t>
        </is>
      </c>
      <c r="F287" s="11" t="inlineStr">
        <is>
          <t>Lead</t>
        </is>
      </c>
      <c r="G287" s="21" t="inlineStr">
        <is>
          <t>High</t>
        </is>
      </c>
      <c r="H287" s="23">
        <f>VLOOKUP(F287,'Internal Cost Model'!$B$6:$F$15,5,FALSE)</f>
        <v/>
      </c>
      <c r="I287" s="24">
        <f>H287*VLOOKUP(G287,Assumptions!$B$43:$C$45,2,FALSE)</f>
        <v/>
      </c>
      <c r="J287" s="25">
        <f>VLOOKUP(F287,Assumptions!$B$50:$D$59,2,FALSE)*VLOOKUP("SI-T1",Assumptions!$B$27:$C$31,2,FALSE)*VLOOKUP(G287,Assumptions!$B$43:$C$45,2,FALSE)</f>
        <v/>
      </c>
    </row>
    <row r="288">
      <c r="B288" s="7" t="inlineStr">
        <is>
          <t>RC-0283</t>
        </is>
      </c>
      <c r="C288" s="11" t="inlineStr">
        <is>
          <t>Cloud</t>
        </is>
      </c>
      <c r="D288" s="7" t="inlineStr">
        <is>
          <t>GCP Architect</t>
        </is>
      </c>
      <c r="E288" s="11" t="inlineStr">
        <is>
          <t>GCP</t>
        </is>
      </c>
      <c r="F288" s="11" t="inlineStr">
        <is>
          <t>Director</t>
        </is>
      </c>
      <c r="G288" s="21" t="inlineStr">
        <is>
          <t>Medium</t>
        </is>
      </c>
      <c r="H288" s="23">
        <f>VLOOKUP(F288,'Internal Cost Model'!$B$6:$F$15,5,FALSE)</f>
        <v/>
      </c>
      <c r="I288" s="24">
        <f>H288*VLOOKUP(G288,Assumptions!$B$43:$C$45,2,FALSE)</f>
        <v/>
      </c>
      <c r="J288" s="25">
        <f>VLOOKUP(F288,Assumptions!$B$50:$D$59,2,FALSE)*VLOOKUP("SI-T1",Assumptions!$B$27:$C$31,2,FALSE)*VLOOKUP(G288,Assumptions!$B$43:$C$45,2,FALSE)</f>
        <v/>
      </c>
    </row>
    <row r="289">
      <c r="B289" s="7" t="inlineStr">
        <is>
          <t>RC-0284</t>
        </is>
      </c>
      <c r="C289" s="11" t="inlineStr">
        <is>
          <t>Cloud</t>
        </is>
      </c>
      <c r="D289" s="7" t="inlineStr">
        <is>
          <t>GCP Architect</t>
        </is>
      </c>
      <c r="E289" s="11" t="inlineStr">
        <is>
          <t>GCP</t>
        </is>
      </c>
      <c r="F289" s="11" t="inlineStr">
        <is>
          <t>Senior Manager</t>
        </is>
      </c>
      <c r="G289" s="21" t="inlineStr">
        <is>
          <t>Medium</t>
        </is>
      </c>
      <c r="H289" s="23">
        <f>VLOOKUP(F289,'Internal Cost Model'!$B$6:$F$15,5,FALSE)</f>
        <v/>
      </c>
      <c r="I289" s="24">
        <f>H289*VLOOKUP(G289,Assumptions!$B$43:$C$45,2,FALSE)</f>
        <v/>
      </c>
      <c r="J289" s="25">
        <f>VLOOKUP(F289,Assumptions!$B$50:$D$59,2,FALSE)*VLOOKUP("SI-T1",Assumptions!$B$27:$C$31,2,FALSE)*VLOOKUP(G289,Assumptions!$B$43:$C$45,2,FALSE)</f>
        <v/>
      </c>
    </row>
    <row r="290">
      <c r="B290" s="7" t="inlineStr">
        <is>
          <t>RC-0285</t>
        </is>
      </c>
      <c r="C290" s="11" t="inlineStr">
        <is>
          <t>Cloud</t>
        </is>
      </c>
      <c r="D290" s="7" t="inlineStr">
        <is>
          <t>GCP Architect</t>
        </is>
      </c>
      <c r="E290" s="11" t="inlineStr">
        <is>
          <t>GCP</t>
        </is>
      </c>
      <c r="F290" s="11" t="inlineStr">
        <is>
          <t>Manager</t>
        </is>
      </c>
      <c r="G290" s="21" t="inlineStr">
        <is>
          <t>Medium</t>
        </is>
      </c>
      <c r="H290" s="23">
        <f>VLOOKUP(F290,'Internal Cost Model'!$B$6:$F$15,5,FALSE)</f>
        <v/>
      </c>
      <c r="I290" s="24">
        <f>H290*VLOOKUP(G290,Assumptions!$B$43:$C$45,2,FALSE)</f>
        <v/>
      </c>
      <c r="J290" s="25">
        <f>VLOOKUP(F290,Assumptions!$B$50:$D$59,2,FALSE)*VLOOKUP("SI-T1",Assumptions!$B$27:$C$31,2,FALSE)*VLOOKUP(G290,Assumptions!$B$43:$C$45,2,FALSE)</f>
        <v/>
      </c>
    </row>
    <row r="291">
      <c r="B291" s="7" t="inlineStr">
        <is>
          <t>RC-0286</t>
        </is>
      </c>
      <c r="C291" s="11" t="inlineStr">
        <is>
          <t>Cloud</t>
        </is>
      </c>
      <c r="D291" s="7" t="inlineStr">
        <is>
          <t>GCP Architect</t>
        </is>
      </c>
      <c r="E291" s="11" t="inlineStr">
        <is>
          <t>GCP</t>
        </is>
      </c>
      <c r="F291" s="11" t="inlineStr">
        <is>
          <t>Lead</t>
        </is>
      </c>
      <c r="G291" s="21" t="inlineStr">
        <is>
          <t>Medium</t>
        </is>
      </c>
      <c r="H291" s="23">
        <f>VLOOKUP(F291,'Internal Cost Model'!$B$6:$F$15,5,FALSE)</f>
        <v/>
      </c>
      <c r="I291" s="24">
        <f>H291*VLOOKUP(G291,Assumptions!$B$43:$C$45,2,FALSE)</f>
        <v/>
      </c>
      <c r="J291" s="25">
        <f>VLOOKUP(F291,Assumptions!$B$50:$D$59,2,FALSE)*VLOOKUP("SI-T1",Assumptions!$B$27:$C$31,2,FALSE)*VLOOKUP(G291,Assumptions!$B$43:$C$45,2,FALSE)</f>
        <v/>
      </c>
    </row>
    <row r="292">
      <c r="B292" s="7" t="inlineStr">
        <is>
          <t>RC-0287</t>
        </is>
      </c>
      <c r="C292" s="11" t="inlineStr">
        <is>
          <t>Cloud</t>
        </is>
      </c>
      <c r="D292" s="7" t="inlineStr">
        <is>
          <t>Platform Architect</t>
        </is>
      </c>
      <c r="E292" s="11" t="inlineStr">
        <is>
          <t>Platform Engineering</t>
        </is>
      </c>
      <c r="F292" s="11" t="inlineStr">
        <is>
          <t>Director</t>
        </is>
      </c>
      <c r="G292" s="21" t="inlineStr">
        <is>
          <t>High</t>
        </is>
      </c>
      <c r="H292" s="23">
        <f>VLOOKUP(F292,'Internal Cost Model'!$B$6:$F$15,5,FALSE)</f>
        <v/>
      </c>
      <c r="I292" s="24">
        <f>H292*VLOOKUP(G292,Assumptions!$B$43:$C$45,2,FALSE)</f>
        <v/>
      </c>
      <c r="J292" s="25">
        <f>VLOOKUP(F292,Assumptions!$B$50:$D$59,2,FALSE)*VLOOKUP("SI-T1",Assumptions!$B$27:$C$31,2,FALSE)*VLOOKUP(G292,Assumptions!$B$43:$C$45,2,FALSE)</f>
        <v/>
      </c>
    </row>
    <row r="293">
      <c r="B293" s="7" t="inlineStr">
        <is>
          <t>RC-0288</t>
        </is>
      </c>
      <c r="C293" s="11" t="inlineStr">
        <is>
          <t>Cloud</t>
        </is>
      </c>
      <c r="D293" s="7" t="inlineStr">
        <is>
          <t>Platform Architect</t>
        </is>
      </c>
      <c r="E293" s="11" t="inlineStr">
        <is>
          <t>Platform Engineering</t>
        </is>
      </c>
      <c r="F293" s="11" t="inlineStr">
        <is>
          <t>Senior Manager</t>
        </is>
      </c>
      <c r="G293" s="21" t="inlineStr">
        <is>
          <t>High</t>
        </is>
      </c>
      <c r="H293" s="23">
        <f>VLOOKUP(F293,'Internal Cost Model'!$B$6:$F$15,5,FALSE)</f>
        <v/>
      </c>
      <c r="I293" s="24">
        <f>H293*VLOOKUP(G293,Assumptions!$B$43:$C$45,2,FALSE)</f>
        <v/>
      </c>
      <c r="J293" s="25">
        <f>VLOOKUP(F293,Assumptions!$B$50:$D$59,2,FALSE)*VLOOKUP("SI-T1",Assumptions!$B$27:$C$31,2,FALSE)*VLOOKUP(G293,Assumptions!$B$43:$C$45,2,FALSE)</f>
        <v/>
      </c>
    </row>
    <row r="294">
      <c r="B294" s="7" t="inlineStr">
        <is>
          <t>RC-0289</t>
        </is>
      </c>
      <c r="C294" s="11" t="inlineStr">
        <is>
          <t>Cloud</t>
        </is>
      </c>
      <c r="D294" s="7" t="inlineStr">
        <is>
          <t>Platform Architect</t>
        </is>
      </c>
      <c r="E294" s="11" t="inlineStr">
        <is>
          <t>Platform Engineering</t>
        </is>
      </c>
      <c r="F294" s="11" t="inlineStr">
        <is>
          <t>Manager</t>
        </is>
      </c>
      <c r="G294" s="21" t="inlineStr">
        <is>
          <t>High</t>
        </is>
      </c>
      <c r="H294" s="23">
        <f>VLOOKUP(F294,'Internal Cost Model'!$B$6:$F$15,5,FALSE)</f>
        <v/>
      </c>
      <c r="I294" s="24">
        <f>H294*VLOOKUP(G294,Assumptions!$B$43:$C$45,2,FALSE)</f>
        <v/>
      </c>
      <c r="J294" s="25">
        <f>VLOOKUP(F294,Assumptions!$B$50:$D$59,2,FALSE)*VLOOKUP("SI-T1",Assumptions!$B$27:$C$31,2,FALSE)*VLOOKUP(G294,Assumptions!$B$43:$C$45,2,FALSE)</f>
        <v/>
      </c>
    </row>
    <row r="295">
      <c r="B295" s="7" t="inlineStr">
        <is>
          <t>RC-0290</t>
        </is>
      </c>
      <c r="C295" s="11" t="inlineStr">
        <is>
          <t>Cloud</t>
        </is>
      </c>
      <c r="D295" s="7" t="inlineStr">
        <is>
          <t>Platform Architect</t>
        </is>
      </c>
      <c r="E295" s="11" t="inlineStr">
        <is>
          <t>Platform Engineering</t>
        </is>
      </c>
      <c r="F295" s="11" t="inlineStr">
        <is>
          <t>Lead</t>
        </is>
      </c>
      <c r="G295" s="21" t="inlineStr">
        <is>
          <t>High</t>
        </is>
      </c>
      <c r="H295" s="23">
        <f>VLOOKUP(F295,'Internal Cost Model'!$B$6:$F$15,5,FALSE)</f>
        <v/>
      </c>
      <c r="I295" s="24">
        <f>H295*VLOOKUP(G295,Assumptions!$B$43:$C$45,2,FALSE)</f>
        <v/>
      </c>
      <c r="J295" s="25">
        <f>VLOOKUP(F295,Assumptions!$B$50:$D$59,2,FALSE)*VLOOKUP("SI-T1",Assumptions!$B$27:$C$31,2,FALSE)*VLOOKUP(G295,Assumptions!$B$43:$C$45,2,FALSE)</f>
        <v/>
      </c>
    </row>
    <row r="296">
      <c r="B296" s="7" t="inlineStr">
        <is>
          <t>RC-0291</t>
        </is>
      </c>
      <c r="C296" s="11" t="inlineStr">
        <is>
          <t>Cloud</t>
        </is>
      </c>
      <c r="D296" s="7" t="inlineStr">
        <is>
          <t>Platform Engineer</t>
        </is>
      </c>
      <c r="E296" s="11" t="inlineStr">
        <is>
          <t>Platform Engineering</t>
        </is>
      </c>
      <c r="F296" s="11" t="inlineStr">
        <is>
          <t>Senior</t>
        </is>
      </c>
      <c r="G296" s="21" t="inlineStr">
        <is>
          <t>High</t>
        </is>
      </c>
      <c r="H296" s="23">
        <f>VLOOKUP(F296,'Internal Cost Model'!$B$6:$F$15,5,FALSE)</f>
        <v/>
      </c>
      <c r="I296" s="24">
        <f>H296*VLOOKUP(G296,Assumptions!$B$43:$C$45,2,FALSE)</f>
        <v/>
      </c>
      <c r="J296" s="25">
        <f>VLOOKUP(F296,Assumptions!$B$50:$D$59,2,FALSE)*VLOOKUP("SI-T1",Assumptions!$B$27:$C$31,2,FALSE)*VLOOKUP(G296,Assumptions!$B$43:$C$45,2,FALSE)</f>
        <v/>
      </c>
    </row>
    <row r="297">
      <c r="B297" s="7" t="inlineStr">
        <is>
          <t>RC-0292</t>
        </is>
      </c>
      <c r="C297" s="11" t="inlineStr">
        <is>
          <t>Cloud</t>
        </is>
      </c>
      <c r="D297" s="7" t="inlineStr">
        <is>
          <t>Platform Engineer</t>
        </is>
      </c>
      <c r="E297" s="11" t="inlineStr">
        <is>
          <t>Platform Engineering</t>
        </is>
      </c>
      <c r="F297" s="11" t="inlineStr">
        <is>
          <t>Intermediate</t>
        </is>
      </c>
      <c r="G297" s="21" t="inlineStr">
        <is>
          <t>High</t>
        </is>
      </c>
      <c r="H297" s="23">
        <f>VLOOKUP(F297,'Internal Cost Model'!$B$6:$F$15,5,FALSE)</f>
        <v/>
      </c>
      <c r="I297" s="24">
        <f>H297*VLOOKUP(G297,Assumptions!$B$43:$C$45,2,FALSE)</f>
        <v/>
      </c>
      <c r="J297" s="25">
        <f>VLOOKUP(F297,Assumptions!$B$50:$D$59,2,FALSE)*VLOOKUP("SI-T1",Assumptions!$B$27:$C$31,2,FALSE)*VLOOKUP(G297,Assumptions!$B$43:$C$45,2,FALSE)</f>
        <v/>
      </c>
    </row>
    <row r="298">
      <c r="B298" s="7" t="inlineStr">
        <is>
          <t>RC-0293</t>
        </is>
      </c>
      <c r="C298" s="11" t="inlineStr">
        <is>
          <t>Cloud</t>
        </is>
      </c>
      <c r="D298" s="7" t="inlineStr">
        <is>
          <t>DevOps Architect</t>
        </is>
      </c>
      <c r="E298" s="11" t="inlineStr">
        <is>
          <t>DevOps</t>
        </is>
      </c>
      <c r="F298" s="11" t="inlineStr">
        <is>
          <t>Senior Manager</t>
        </is>
      </c>
      <c r="G298" s="21" t="inlineStr">
        <is>
          <t>High</t>
        </is>
      </c>
      <c r="H298" s="23">
        <f>VLOOKUP(F298,'Internal Cost Model'!$B$6:$F$15,5,FALSE)</f>
        <v/>
      </c>
      <c r="I298" s="24">
        <f>H298*VLOOKUP(G298,Assumptions!$B$43:$C$45,2,FALSE)</f>
        <v/>
      </c>
      <c r="J298" s="25">
        <f>VLOOKUP(F298,Assumptions!$B$50:$D$59,2,FALSE)*VLOOKUP("SI-T1",Assumptions!$B$27:$C$31,2,FALSE)*VLOOKUP(G298,Assumptions!$B$43:$C$45,2,FALSE)</f>
        <v/>
      </c>
    </row>
    <row r="299">
      <c r="B299" s="7" t="inlineStr">
        <is>
          <t>RC-0294</t>
        </is>
      </c>
      <c r="C299" s="11" t="inlineStr">
        <is>
          <t>Cloud</t>
        </is>
      </c>
      <c r="D299" s="7" t="inlineStr">
        <is>
          <t>DevOps Architect</t>
        </is>
      </c>
      <c r="E299" s="11" t="inlineStr">
        <is>
          <t>DevOps</t>
        </is>
      </c>
      <c r="F299" s="11" t="inlineStr">
        <is>
          <t>Manager</t>
        </is>
      </c>
      <c r="G299" s="21" t="inlineStr">
        <is>
          <t>High</t>
        </is>
      </c>
      <c r="H299" s="23">
        <f>VLOOKUP(F299,'Internal Cost Model'!$B$6:$F$15,5,FALSE)</f>
        <v/>
      </c>
      <c r="I299" s="24">
        <f>H299*VLOOKUP(G299,Assumptions!$B$43:$C$45,2,FALSE)</f>
        <v/>
      </c>
      <c r="J299" s="25">
        <f>VLOOKUP(F299,Assumptions!$B$50:$D$59,2,FALSE)*VLOOKUP("SI-T1",Assumptions!$B$27:$C$31,2,FALSE)*VLOOKUP(G299,Assumptions!$B$43:$C$45,2,FALSE)</f>
        <v/>
      </c>
    </row>
    <row r="300">
      <c r="B300" s="7" t="inlineStr">
        <is>
          <t>RC-0295</t>
        </is>
      </c>
      <c r="C300" s="11" t="inlineStr">
        <is>
          <t>Cloud</t>
        </is>
      </c>
      <c r="D300" s="7" t="inlineStr">
        <is>
          <t>DevOps Architect</t>
        </is>
      </c>
      <c r="E300" s="11" t="inlineStr">
        <is>
          <t>DevOps</t>
        </is>
      </c>
      <c r="F300" s="11" t="inlineStr">
        <is>
          <t>Lead</t>
        </is>
      </c>
      <c r="G300" s="21" t="inlineStr">
        <is>
          <t>High</t>
        </is>
      </c>
      <c r="H300" s="23">
        <f>VLOOKUP(F300,'Internal Cost Model'!$B$6:$F$15,5,FALSE)</f>
        <v/>
      </c>
      <c r="I300" s="24">
        <f>H300*VLOOKUP(G300,Assumptions!$B$43:$C$45,2,FALSE)</f>
        <v/>
      </c>
      <c r="J300" s="25">
        <f>VLOOKUP(F300,Assumptions!$B$50:$D$59,2,FALSE)*VLOOKUP("SI-T1",Assumptions!$B$27:$C$31,2,FALSE)*VLOOKUP(G300,Assumptions!$B$43:$C$45,2,FALSE)</f>
        <v/>
      </c>
    </row>
    <row r="301">
      <c r="B301" s="7" t="inlineStr">
        <is>
          <t>RC-0296</t>
        </is>
      </c>
      <c r="C301" s="11" t="inlineStr">
        <is>
          <t>Cloud</t>
        </is>
      </c>
      <c r="D301" s="7" t="inlineStr">
        <is>
          <t>DevOps Engineer</t>
        </is>
      </c>
      <c r="E301" s="11" t="inlineStr">
        <is>
          <t>DevOps</t>
        </is>
      </c>
      <c r="F301" s="11" t="inlineStr">
        <is>
          <t>Senior</t>
        </is>
      </c>
      <c r="G301" s="21" t="inlineStr">
        <is>
          <t>High</t>
        </is>
      </c>
      <c r="H301" s="23">
        <f>VLOOKUP(F301,'Internal Cost Model'!$B$6:$F$15,5,FALSE)</f>
        <v/>
      </c>
      <c r="I301" s="24">
        <f>H301*VLOOKUP(G301,Assumptions!$B$43:$C$45,2,FALSE)</f>
        <v/>
      </c>
      <c r="J301" s="25">
        <f>VLOOKUP(F301,Assumptions!$B$50:$D$59,2,FALSE)*VLOOKUP("SI-T1",Assumptions!$B$27:$C$31,2,FALSE)*VLOOKUP(G301,Assumptions!$B$43:$C$45,2,FALSE)</f>
        <v/>
      </c>
    </row>
    <row r="302">
      <c r="B302" s="7" t="inlineStr">
        <is>
          <t>RC-0297</t>
        </is>
      </c>
      <c r="C302" s="11" t="inlineStr">
        <is>
          <t>Cloud</t>
        </is>
      </c>
      <c r="D302" s="7" t="inlineStr">
        <is>
          <t>DevOps Engineer</t>
        </is>
      </c>
      <c r="E302" s="11" t="inlineStr">
        <is>
          <t>DevOps</t>
        </is>
      </c>
      <c r="F302" s="11" t="inlineStr">
        <is>
          <t>Intermediate</t>
        </is>
      </c>
      <c r="G302" s="21" t="inlineStr">
        <is>
          <t>High</t>
        </is>
      </c>
      <c r="H302" s="23">
        <f>VLOOKUP(F302,'Internal Cost Model'!$B$6:$F$15,5,FALSE)</f>
        <v/>
      </c>
      <c r="I302" s="24">
        <f>H302*VLOOKUP(G302,Assumptions!$B$43:$C$45,2,FALSE)</f>
        <v/>
      </c>
      <c r="J302" s="25">
        <f>VLOOKUP(F302,Assumptions!$B$50:$D$59,2,FALSE)*VLOOKUP("SI-T1",Assumptions!$B$27:$C$31,2,FALSE)*VLOOKUP(G302,Assumptions!$B$43:$C$45,2,FALSE)</f>
        <v/>
      </c>
    </row>
    <row r="303">
      <c r="B303" s="7" t="inlineStr">
        <is>
          <t>RC-0298</t>
        </is>
      </c>
      <c r="C303" s="11" t="inlineStr">
        <is>
          <t>Cloud</t>
        </is>
      </c>
      <c r="D303" s="7" t="inlineStr">
        <is>
          <t>SRE Architect</t>
        </is>
      </c>
      <c r="E303" s="11" t="inlineStr">
        <is>
          <t>SRE</t>
        </is>
      </c>
      <c r="F303" s="11" t="inlineStr">
        <is>
          <t>Senior Manager</t>
        </is>
      </c>
      <c r="G303" s="21" t="inlineStr">
        <is>
          <t>High</t>
        </is>
      </c>
      <c r="H303" s="23">
        <f>VLOOKUP(F303,'Internal Cost Model'!$B$6:$F$15,5,FALSE)</f>
        <v/>
      </c>
      <c r="I303" s="24">
        <f>H303*VLOOKUP(G303,Assumptions!$B$43:$C$45,2,FALSE)</f>
        <v/>
      </c>
      <c r="J303" s="25">
        <f>VLOOKUP(F303,Assumptions!$B$50:$D$59,2,FALSE)*VLOOKUP("SI-T1",Assumptions!$B$27:$C$31,2,FALSE)*VLOOKUP(G303,Assumptions!$B$43:$C$45,2,FALSE)</f>
        <v/>
      </c>
    </row>
    <row r="304">
      <c r="B304" s="7" t="inlineStr">
        <is>
          <t>RC-0299</t>
        </is>
      </c>
      <c r="C304" s="11" t="inlineStr">
        <is>
          <t>Cloud</t>
        </is>
      </c>
      <c r="D304" s="7" t="inlineStr">
        <is>
          <t>SRE Architect</t>
        </is>
      </c>
      <c r="E304" s="11" t="inlineStr">
        <is>
          <t>SRE</t>
        </is>
      </c>
      <c r="F304" s="11" t="inlineStr">
        <is>
          <t>Manager</t>
        </is>
      </c>
      <c r="G304" s="21" t="inlineStr">
        <is>
          <t>High</t>
        </is>
      </c>
      <c r="H304" s="23">
        <f>VLOOKUP(F304,'Internal Cost Model'!$B$6:$F$15,5,FALSE)</f>
        <v/>
      </c>
      <c r="I304" s="24">
        <f>H304*VLOOKUP(G304,Assumptions!$B$43:$C$45,2,FALSE)</f>
        <v/>
      </c>
      <c r="J304" s="25">
        <f>VLOOKUP(F304,Assumptions!$B$50:$D$59,2,FALSE)*VLOOKUP("SI-T1",Assumptions!$B$27:$C$31,2,FALSE)*VLOOKUP(G304,Assumptions!$B$43:$C$45,2,FALSE)</f>
        <v/>
      </c>
    </row>
    <row r="305">
      <c r="B305" s="7" t="inlineStr">
        <is>
          <t>RC-0300</t>
        </is>
      </c>
      <c r="C305" s="11" t="inlineStr">
        <is>
          <t>Cloud</t>
        </is>
      </c>
      <c r="D305" s="7" t="inlineStr">
        <is>
          <t>SRE Architect</t>
        </is>
      </c>
      <c r="E305" s="11" t="inlineStr">
        <is>
          <t>SRE</t>
        </is>
      </c>
      <c r="F305" s="11" t="inlineStr">
        <is>
          <t>Lead</t>
        </is>
      </c>
      <c r="G305" s="21" t="inlineStr">
        <is>
          <t>High</t>
        </is>
      </c>
      <c r="H305" s="23">
        <f>VLOOKUP(F305,'Internal Cost Model'!$B$6:$F$15,5,FALSE)</f>
        <v/>
      </c>
      <c r="I305" s="24">
        <f>H305*VLOOKUP(G305,Assumptions!$B$43:$C$45,2,FALSE)</f>
        <v/>
      </c>
      <c r="J305" s="25">
        <f>VLOOKUP(F305,Assumptions!$B$50:$D$59,2,FALSE)*VLOOKUP("SI-T1",Assumptions!$B$27:$C$31,2,FALSE)*VLOOKUP(G305,Assumptions!$B$43:$C$45,2,FALSE)</f>
        <v/>
      </c>
    </row>
    <row r="306">
      <c r="B306" s="7" t="inlineStr">
        <is>
          <t>RC-0301</t>
        </is>
      </c>
      <c r="C306" s="11" t="inlineStr">
        <is>
          <t>Infrastructure</t>
        </is>
      </c>
      <c r="D306" s="7" t="inlineStr">
        <is>
          <t>Infrastructure Architect</t>
        </is>
      </c>
      <c r="E306" s="11" t="inlineStr">
        <is>
          <t>Compute</t>
        </is>
      </c>
      <c r="F306" s="11" t="inlineStr">
        <is>
          <t>Director</t>
        </is>
      </c>
      <c r="G306" s="21" t="inlineStr">
        <is>
          <t>Medium</t>
        </is>
      </c>
      <c r="H306" s="23">
        <f>VLOOKUP(F306,'Internal Cost Model'!$B$6:$F$15,5,FALSE)</f>
        <v/>
      </c>
      <c r="I306" s="24">
        <f>H306*VLOOKUP(G306,Assumptions!$B$43:$C$45,2,FALSE)</f>
        <v/>
      </c>
      <c r="J306" s="25">
        <f>VLOOKUP(F306,Assumptions!$B$50:$D$59,2,FALSE)*VLOOKUP("SI-T1",Assumptions!$B$27:$C$31,2,FALSE)*VLOOKUP(G306,Assumptions!$B$43:$C$45,2,FALSE)</f>
        <v/>
      </c>
    </row>
    <row r="307">
      <c r="B307" s="7" t="inlineStr">
        <is>
          <t>RC-0302</t>
        </is>
      </c>
      <c r="C307" s="11" t="inlineStr">
        <is>
          <t>Infrastructure</t>
        </is>
      </c>
      <c r="D307" s="7" t="inlineStr">
        <is>
          <t>Infrastructure Architect</t>
        </is>
      </c>
      <c r="E307" s="11" t="inlineStr">
        <is>
          <t>Compute</t>
        </is>
      </c>
      <c r="F307" s="11" t="inlineStr">
        <is>
          <t>Senior Manager</t>
        </is>
      </c>
      <c r="G307" s="21" t="inlineStr">
        <is>
          <t>Medium</t>
        </is>
      </c>
      <c r="H307" s="23">
        <f>VLOOKUP(F307,'Internal Cost Model'!$B$6:$F$15,5,FALSE)</f>
        <v/>
      </c>
      <c r="I307" s="24">
        <f>H307*VLOOKUP(G307,Assumptions!$B$43:$C$45,2,FALSE)</f>
        <v/>
      </c>
      <c r="J307" s="25">
        <f>VLOOKUP(F307,Assumptions!$B$50:$D$59,2,FALSE)*VLOOKUP("SI-T1",Assumptions!$B$27:$C$31,2,FALSE)*VLOOKUP(G307,Assumptions!$B$43:$C$45,2,FALSE)</f>
        <v/>
      </c>
    </row>
    <row r="308">
      <c r="B308" s="7" t="inlineStr">
        <is>
          <t>RC-0303</t>
        </is>
      </c>
      <c r="C308" s="11" t="inlineStr">
        <is>
          <t>Infrastructure</t>
        </is>
      </c>
      <c r="D308" s="7" t="inlineStr">
        <is>
          <t>Infrastructure Architect</t>
        </is>
      </c>
      <c r="E308" s="11" t="inlineStr">
        <is>
          <t>Compute</t>
        </is>
      </c>
      <c r="F308" s="11" t="inlineStr">
        <is>
          <t>Manager</t>
        </is>
      </c>
      <c r="G308" s="21" t="inlineStr">
        <is>
          <t>Medium</t>
        </is>
      </c>
      <c r="H308" s="23">
        <f>VLOOKUP(F308,'Internal Cost Model'!$B$6:$F$15,5,FALSE)</f>
        <v/>
      </c>
      <c r="I308" s="24">
        <f>H308*VLOOKUP(G308,Assumptions!$B$43:$C$45,2,FALSE)</f>
        <v/>
      </c>
      <c r="J308" s="25">
        <f>VLOOKUP(F308,Assumptions!$B$50:$D$59,2,FALSE)*VLOOKUP("SI-T1",Assumptions!$B$27:$C$31,2,FALSE)*VLOOKUP(G308,Assumptions!$B$43:$C$45,2,FALSE)</f>
        <v/>
      </c>
    </row>
    <row r="309">
      <c r="B309" s="7" t="inlineStr">
        <is>
          <t>RC-0304</t>
        </is>
      </c>
      <c r="C309" s="11" t="inlineStr">
        <is>
          <t>Infrastructure</t>
        </is>
      </c>
      <c r="D309" s="7" t="inlineStr">
        <is>
          <t>Infrastructure Architect</t>
        </is>
      </c>
      <c r="E309" s="11" t="inlineStr">
        <is>
          <t>Compute</t>
        </is>
      </c>
      <c r="F309" s="11" t="inlineStr">
        <is>
          <t>Lead</t>
        </is>
      </c>
      <c r="G309" s="21" t="inlineStr">
        <is>
          <t>Medium</t>
        </is>
      </c>
      <c r="H309" s="23">
        <f>VLOOKUP(F309,'Internal Cost Model'!$B$6:$F$15,5,FALSE)</f>
        <v/>
      </c>
      <c r="I309" s="24">
        <f>H309*VLOOKUP(G309,Assumptions!$B$43:$C$45,2,FALSE)</f>
        <v/>
      </c>
      <c r="J309" s="25">
        <f>VLOOKUP(F309,Assumptions!$B$50:$D$59,2,FALSE)*VLOOKUP("SI-T1",Assumptions!$B$27:$C$31,2,FALSE)*VLOOKUP(G309,Assumptions!$B$43:$C$45,2,FALSE)</f>
        <v/>
      </c>
    </row>
    <row r="310">
      <c r="B310" s="7" t="inlineStr">
        <is>
          <t>RC-0305</t>
        </is>
      </c>
      <c r="C310" s="11" t="inlineStr">
        <is>
          <t>Infrastructure</t>
        </is>
      </c>
      <c r="D310" s="7" t="inlineStr">
        <is>
          <t>Network Architect</t>
        </is>
      </c>
      <c r="E310" s="11" t="inlineStr">
        <is>
          <t>Network</t>
        </is>
      </c>
      <c r="F310" s="11" t="inlineStr">
        <is>
          <t>Senior Manager</t>
        </is>
      </c>
      <c r="G310" s="21" t="inlineStr">
        <is>
          <t>Medium</t>
        </is>
      </c>
      <c r="H310" s="23">
        <f>VLOOKUP(F310,'Internal Cost Model'!$B$6:$F$15,5,FALSE)</f>
        <v/>
      </c>
      <c r="I310" s="24">
        <f>H310*VLOOKUP(G310,Assumptions!$B$43:$C$45,2,FALSE)</f>
        <v/>
      </c>
      <c r="J310" s="25">
        <f>VLOOKUP(F310,Assumptions!$B$50:$D$59,2,FALSE)*VLOOKUP("SI-T1",Assumptions!$B$27:$C$31,2,FALSE)*VLOOKUP(G310,Assumptions!$B$43:$C$45,2,FALSE)</f>
        <v/>
      </c>
    </row>
    <row r="311">
      <c r="B311" s="7" t="inlineStr">
        <is>
          <t>RC-0306</t>
        </is>
      </c>
      <c r="C311" s="11" t="inlineStr">
        <is>
          <t>Infrastructure</t>
        </is>
      </c>
      <c r="D311" s="7" t="inlineStr">
        <is>
          <t>Network Architect</t>
        </is>
      </c>
      <c r="E311" s="11" t="inlineStr">
        <is>
          <t>Network</t>
        </is>
      </c>
      <c r="F311" s="11" t="inlineStr">
        <is>
          <t>Manager</t>
        </is>
      </c>
      <c r="G311" s="21" t="inlineStr">
        <is>
          <t>Medium</t>
        </is>
      </c>
      <c r="H311" s="23">
        <f>VLOOKUP(F311,'Internal Cost Model'!$B$6:$F$15,5,FALSE)</f>
        <v/>
      </c>
      <c r="I311" s="24">
        <f>H311*VLOOKUP(G311,Assumptions!$B$43:$C$45,2,FALSE)</f>
        <v/>
      </c>
      <c r="J311" s="25">
        <f>VLOOKUP(F311,Assumptions!$B$50:$D$59,2,FALSE)*VLOOKUP("SI-T1",Assumptions!$B$27:$C$31,2,FALSE)*VLOOKUP(G311,Assumptions!$B$43:$C$45,2,FALSE)</f>
        <v/>
      </c>
    </row>
    <row r="312">
      <c r="B312" s="7" t="inlineStr">
        <is>
          <t>RC-0307</t>
        </is>
      </c>
      <c r="C312" s="11" t="inlineStr">
        <is>
          <t>Infrastructure</t>
        </is>
      </c>
      <c r="D312" s="7" t="inlineStr">
        <is>
          <t>Network Architect</t>
        </is>
      </c>
      <c r="E312" s="11" t="inlineStr">
        <is>
          <t>Network</t>
        </is>
      </c>
      <c r="F312" s="11" t="inlineStr">
        <is>
          <t>Lead</t>
        </is>
      </c>
      <c r="G312" s="21" t="inlineStr">
        <is>
          <t>Medium</t>
        </is>
      </c>
      <c r="H312" s="23">
        <f>VLOOKUP(F312,'Internal Cost Model'!$B$6:$F$15,5,FALSE)</f>
        <v/>
      </c>
      <c r="I312" s="24">
        <f>H312*VLOOKUP(G312,Assumptions!$B$43:$C$45,2,FALSE)</f>
        <v/>
      </c>
      <c r="J312" s="25">
        <f>VLOOKUP(F312,Assumptions!$B$50:$D$59,2,FALSE)*VLOOKUP("SI-T1",Assumptions!$B$27:$C$31,2,FALSE)*VLOOKUP(G312,Assumptions!$B$43:$C$45,2,FALSE)</f>
        <v/>
      </c>
    </row>
    <row r="313">
      <c r="B313" s="7" t="inlineStr">
        <is>
          <t>RC-0308</t>
        </is>
      </c>
      <c r="C313" s="11" t="inlineStr">
        <is>
          <t>Infrastructure</t>
        </is>
      </c>
      <c r="D313" s="7" t="inlineStr">
        <is>
          <t>Storage Engineer</t>
        </is>
      </c>
      <c r="E313" s="11" t="inlineStr">
        <is>
          <t>Storage</t>
        </is>
      </c>
      <c r="F313" s="11" t="inlineStr">
        <is>
          <t>Senior</t>
        </is>
      </c>
      <c r="G313" s="21" t="inlineStr">
        <is>
          <t>Medium</t>
        </is>
      </c>
      <c r="H313" s="23">
        <f>VLOOKUP(F313,'Internal Cost Model'!$B$6:$F$15,5,FALSE)</f>
        <v/>
      </c>
      <c r="I313" s="24">
        <f>H313*VLOOKUP(G313,Assumptions!$B$43:$C$45,2,FALSE)</f>
        <v/>
      </c>
      <c r="J313" s="25">
        <f>VLOOKUP(F313,Assumptions!$B$50:$D$59,2,FALSE)*VLOOKUP("SI-T1",Assumptions!$B$27:$C$31,2,FALSE)*VLOOKUP(G313,Assumptions!$B$43:$C$45,2,FALSE)</f>
        <v/>
      </c>
    </row>
    <row r="314">
      <c r="B314" s="7" t="inlineStr">
        <is>
          <t>RC-0309</t>
        </is>
      </c>
      <c r="C314" s="11" t="inlineStr">
        <is>
          <t>Infrastructure</t>
        </is>
      </c>
      <c r="D314" s="7" t="inlineStr">
        <is>
          <t>Storage Engineer</t>
        </is>
      </c>
      <c r="E314" s="11" t="inlineStr">
        <is>
          <t>Storage</t>
        </is>
      </c>
      <c r="F314" s="11" t="inlineStr">
        <is>
          <t>Intermediate</t>
        </is>
      </c>
      <c r="G314" s="21" t="inlineStr">
        <is>
          <t>Medium</t>
        </is>
      </c>
      <c r="H314" s="23">
        <f>VLOOKUP(F314,'Internal Cost Model'!$B$6:$F$15,5,FALSE)</f>
        <v/>
      </c>
      <c r="I314" s="24">
        <f>H314*VLOOKUP(G314,Assumptions!$B$43:$C$45,2,FALSE)</f>
        <v/>
      </c>
      <c r="J314" s="25">
        <f>VLOOKUP(F314,Assumptions!$B$50:$D$59,2,FALSE)*VLOOKUP("SI-T1",Assumptions!$B$27:$C$31,2,FALSE)*VLOOKUP(G314,Assumptions!$B$43:$C$45,2,FALSE)</f>
        <v/>
      </c>
    </row>
    <row r="315">
      <c r="B315" s="7" t="inlineStr">
        <is>
          <t>RC-0310</t>
        </is>
      </c>
      <c r="C315" s="11" t="inlineStr">
        <is>
          <t>Infrastructure</t>
        </is>
      </c>
      <c r="D315" s="7" t="inlineStr">
        <is>
          <t>Identity Architect</t>
        </is>
      </c>
      <c r="E315" s="11" t="inlineStr">
        <is>
          <t>Identity</t>
        </is>
      </c>
      <c r="F315" s="11" t="inlineStr">
        <is>
          <t>Senior Manager</t>
        </is>
      </c>
      <c r="G315" s="21" t="inlineStr">
        <is>
          <t>High</t>
        </is>
      </c>
      <c r="H315" s="23">
        <f>VLOOKUP(F315,'Internal Cost Model'!$B$6:$F$15,5,FALSE)</f>
        <v/>
      </c>
      <c r="I315" s="24">
        <f>H315*VLOOKUP(G315,Assumptions!$B$43:$C$45,2,FALSE)</f>
        <v/>
      </c>
      <c r="J315" s="25">
        <f>VLOOKUP(F315,Assumptions!$B$50:$D$59,2,FALSE)*VLOOKUP("SI-T1",Assumptions!$B$27:$C$31,2,FALSE)*VLOOKUP(G315,Assumptions!$B$43:$C$45,2,FALSE)</f>
        <v/>
      </c>
    </row>
    <row r="316">
      <c r="B316" s="7" t="inlineStr">
        <is>
          <t>RC-0311</t>
        </is>
      </c>
      <c r="C316" s="11" t="inlineStr">
        <is>
          <t>Infrastructure</t>
        </is>
      </c>
      <c r="D316" s="7" t="inlineStr">
        <is>
          <t>Identity Architect</t>
        </is>
      </c>
      <c r="E316" s="11" t="inlineStr">
        <is>
          <t>Identity</t>
        </is>
      </c>
      <c r="F316" s="11" t="inlineStr">
        <is>
          <t>Manager</t>
        </is>
      </c>
      <c r="G316" s="21" t="inlineStr">
        <is>
          <t>High</t>
        </is>
      </c>
      <c r="H316" s="23">
        <f>VLOOKUP(F316,'Internal Cost Model'!$B$6:$F$15,5,FALSE)</f>
        <v/>
      </c>
      <c r="I316" s="24">
        <f>H316*VLOOKUP(G316,Assumptions!$B$43:$C$45,2,FALSE)</f>
        <v/>
      </c>
      <c r="J316" s="25">
        <f>VLOOKUP(F316,Assumptions!$B$50:$D$59,2,FALSE)*VLOOKUP("SI-T1",Assumptions!$B$27:$C$31,2,FALSE)*VLOOKUP(G316,Assumptions!$B$43:$C$45,2,FALSE)</f>
        <v/>
      </c>
    </row>
    <row r="317">
      <c r="B317" s="7" t="inlineStr">
        <is>
          <t>RC-0312</t>
        </is>
      </c>
      <c r="C317" s="11" t="inlineStr">
        <is>
          <t>Infrastructure</t>
        </is>
      </c>
      <c r="D317" s="7" t="inlineStr">
        <is>
          <t>Identity Architect</t>
        </is>
      </c>
      <c r="E317" s="11" t="inlineStr">
        <is>
          <t>Identity</t>
        </is>
      </c>
      <c r="F317" s="11" t="inlineStr">
        <is>
          <t>Lead</t>
        </is>
      </c>
      <c r="G317" s="21" t="inlineStr">
        <is>
          <t>High</t>
        </is>
      </c>
      <c r="H317" s="23">
        <f>VLOOKUP(F317,'Internal Cost Model'!$B$6:$F$15,5,FALSE)</f>
        <v/>
      </c>
      <c r="I317" s="24">
        <f>H317*VLOOKUP(G317,Assumptions!$B$43:$C$45,2,FALSE)</f>
        <v/>
      </c>
      <c r="J317" s="25">
        <f>VLOOKUP(F317,Assumptions!$B$50:$D$59,2,FALSE)*VLOOKUP("SI-T1",Assumptions!$B$27:$C$31,2,FALSE)*VLOOKUP(G317,Assumptions!$B$43:$C$45,2,FALSE)</f>
        <v/>
      </c>
    </row>
    <row r="318">
      <c r="B318" s="7" t="inlineStr">
        <is>
          <t>RC-0313</t>
        </is>
      </c>
      <c r="C318" s="11" t="inlineStr">
        <is>
          <t>Cybersecurity</t>
        </is>
      </c>
      <c r="D318" s="7" t="inlineStr">
        <is>
          <t>IAM Architect</t>
        </is>
      </c>
      <c r="E318" s="11" t="inlineStr">
        <is>
          <t>IAM</t>
        </is>
      </c>
      <c r="F318" s="11" t="inlineStr">
        <is>
          <t>Director</t>
        </is>
      </c>
      <c r="G318" s="21" t="inlineStr">
        <is>
          <t>High</t>
        </is>
      </c>
      <c r="H318" s="23">
        <f>VLOOKUP(F318,'Internal Cost Model'!$B$6:$F$15,5,FALSE)</f>
        <v/>
      </c>
      <c r="I318" s="24">
        <f>H318*VLOOKUP(G318,Assumptions!$B$43:$C$45,2,FALSE)</f>
        <v/>
      </c>
      <c r="J318" s="25">
        <f>VLOOKUP(F318,Assumptions!$B$50:$D$59,2,FALSE)*VLOOKUP("SI-T1",Assumptions!$B$27:$C$31,2,FALSE)*VLOOKUP(G318,Assumptions!$B$43:$C$45,2,FALSE)</f>
        <v/>
      </c>
    </row>
    <row r="319">
      <c r="B319" s="7" t="inlineStr">
        <is>
          <t>RC-0314</t>
        </is>
      </c>
      <c r="C319" s="11" t="inlineStr">
        <is>
          <t>Cybersecurity</t>
        </is>
      </c>
      <c r="D319" s="7" t="inlineStr">
        <is>
          <t>IAM Architect</t>
        </is>
      </c>
      <c r="E319" s="11" t="inlineStr">
        <is>
          <t>IAM</t>
        </is>
      </c>
      <c r="F319" s="11" t="inlineStr">
        <is>
          <t>Senior Manager</t>
        </is>
      </c>
      <c r="G319" s="21" t="inlineStr">
        <is>
          <t>High</t>
        </is>
      </c>
      <c r="H319" s="23">
        <f>VLOOKUP(F319,'Internal Cost Model'!$B$6:$F$15,5,FALSE)</f>
        <v/>
      </c>
      <c r="I319" s="24">
        <f>H319*VLOOKUP(G319,Assumptions!$B$43:$C$45,2,FALSE)</f>
        <v/>
      </c>
      <c r="J319" s="25">
        <f>VLOOKUP(F319,Assumptions!$B$50:$D$59,2,FALSE)*VLOOKUP("SI-T1",Assumptions!$B$27:$C$31,2,FALSE)*VLOOKUP(G319,Assumptions!$B$43:$C$45,2,FALSE)</f>
        <v/>
      </c>
    </row>
    <row r="320">
      <c r="B320" s="7" t="inlineStr">
        <is>
          <t>RC-0315</t>
        </is>
      </c>
      <c r="C320" s="11" t="inlineStr">
        <is>
          <t>Cybersecurity</t>
        </is>
      </c>
      <c r="D320" s="7" t="inlineStr">
        <is>
          <t>IAM Architect</t>
        </is>
      </c>
      <c r="E320" s="11" t="inlineStr">
        <is>
          <t>IAM</t>
        </is>
      </c>
      <c r="F320" s="11" t="inlineStr">
        <is>
          <t>Manager</t>
        </is>
      </c>
      <c r="G320" s="21" t="inlineStr">
        <is>
          <t>High</t>
        </is>
      </c>
      <c r="H320" s="23">
        <f>VLOOKUP(F320,'Internal Cost Model'!$B$6:$F$15,5,FALSE)</f>
        <v/>
      </c>
      <c r="I320" s="24">
        <f>H320*VLOOKUP(G320,Assumptions!$B$43:$C$45,2,FALSE)</f>
        <v/>
      </c>
      <c r="J320" s="25">
        <f>VLOOKUP(F320,Assumptions!$B$50:$D$59,2,FALSE)*VLOOKUP("SI-T1",Assumptions!$B$27:$C$31,2,FALSE)*VLOOKUP(G320,Assumptions!$B$43:$C$45,2,FALSE)</f>
        <v/>
      </c>
    </row>
    <row r="321">
      <c r="B321" s="7" t="inlineStr">
        <is>
          <t>RC-0316</t>
        </is>
      </c>
      <c r="C321" s="11" t="inlineStr">
        <is>
          <t>Cybersecurity</t>
        </is>
      </c>
      <c r="D321" s="7" t="inlineStr">
        <is>
          <t>IAM Architect</t>
        </is>
      </c>
      <c r="E321" s="11" t="inlineStr">
        <is>
          <t>IAM</t>
        </is>
      </c>
      <c r="F321" s="11" t="inlineStr">
        <is>
          <t>Lead</t>
        </is>
      </c>
      <c r="G321" s="21" t="inlineStr">
        <is>
          <t>High</t>
        </is>
      </c>
      <c r="H321" s="23">
        <f>VLOOKUP(F321,'Internal Cost Model'!$B$6:$F$15,5,FALSE)</f>
        <v/>
      </c>
      <c r="I321" s="24">
        <f>H321*VLOOKUP(G321,Assumptions!$B$43:$C$45,2,FALSE)</f>
        <v/>
      </c>
      <c r="J321" s="25">
        <f>VLOOKUP(F321,Assumptions!$B$50:$D$59,2,FALSE)*VLOOKUP("SI-T1",Assumptions!$B$27:$C$31,2,FALSE)*VLOOKUP(G321,Assumptions!$B$43:$C$45,2,FALSE)</f>
        <v/>
      </c>
    </row>
    <row r="322">
      <c r="B322" s="7" t="inlineStr">
        <is>
          <t>RC-0317</t>
        </is>
      </c>
      <c r="C322" s="11" t="inlineStr">
        <is>
          <t>Cybersecurity</t>
        </is>
      </c>
      <c r="D322" s="7" t="inlineStr">
        <is>
          <t>SOC Lead</t>
        </is>
      </c>
      <c r="E322" s="11" t="inlineStr">
        <is>
          <t>SOC</t>
        </is>
      </c>
      <c r="F322" s="11" t="inlineStr">
        <is>
          <t>Senior Manager</t>
        </is>
      </c>
      <c r="G322" s="21" t="inlineStr">
        <is>
          <t>High</t>
        </is>
      </c>
      <c r="H322" s="23">
        <f>VLOOKUP(F322,'Internal Cost Model'!$B$6:$F$15,5,FALSE)</f>
        <v/>
      </c>
      <c r="I322" s="24">
        <f>H322*VLOOKUP(G322,Assumptions!$B$43:$C$45,2,FALSE)</f>
        <v/>
      </c>
      <c r="J322" s="25">
        <f>VLOOKUP(F322,Assumptions!$B$50:$D$59,2,FALSE)*VLOOKUP("SI-T1",Assumptions!$B$27:$C$31,2,FALSE)*VLOOKUP(G322,Assumptions!$B$43:$C$45,2,FALSE)</f>
        <v/>
      </c>
    </row>
    <row r="323">
      <c r="B323" s="7" t="inlineStr">
        <is>
          <t>RC-0318</t>
        </is>
      </c>
      <c r="C323" s="11" t="inlineStr">
        <is>
          <t>Cybersecurity</t>
        </is>
      </c>
      <c r="D323" s="7" t="inlineStr">
        <is>
          <t>SOC Lead</t>
        </is>
      </c>
      <c r="E323" s="11" t="inlineStr">
        <is>
          <t>SOC</t>
        </is>
      </c>
      <c r="F323" s="11" t="inlineStr">
        <is>
          <t>Manager</t>
        </is>
      </c>
      <c r="G323" s="21" t="inlineStr">
        <is>
          <t>High</t>
        </is>
      </c>
      <c r="H323" s="23">
        <f>VLOOKUP(F323,'Internal Cost Model'!$B$6:$F$15,5,FALSE)</f>
        <v/>
      </c>
      <c r="I323" s="24">
        <f>H323*VLOOKUP(G323,Assumptions!$B$43:$C$45,2,FALSE)</f>
        <v/>
      </c>
      <c r="J323" s="25">
        <f>VLOOKUP(F323,Assumptions!$B$50:$D$59,2,FALSE)*VLOOKUP("SI-T1",Assumptions!$B$27:$C$31,2,FALSE)*VLOOKUP(G323,Assumptions!$B$43:$C$45,2,FALSE)</f>
        <v/>
      </c>
    </row>
    <row r="324">
      <c r="B324" s="7" t="inlineStr">
        <is>
          <t>RC-0319</t>
        </is>
      </c>
      <c r="C324" s="11" t="inlineStr">
        <is>
          <t>Cybersecurity</t>
        </is>
      </c>
      <c r="D324" s="7" t="inlineStr">
        <is>
          <t>SOC Lead</t>
        </is>
      </c>
      <c r="E324" s="11" t="inlineStr">
        <is>
          <t>SOC</t>
        </is>
      </c>
      <c r="F324" s="11" t="inlineStr">
        <is>
          <t>Lead</t>
        </is>
      </c>
      <c r="G324" s="21" t="inlineStr">
        <is>
          <t>High</t>
        </is>
      </c>
      <c r="H324" s="23">
        <f>VLOOKUP(F324,'Internal Cost Model'!$B$6:$F$15,5,FALSE)</f>
        <v/>
      </c>
      <c r="I324" s="24">
        <f>H324*VLOOKUP(G324,Assumptions!$B$43:$C$45,2,FALSE)</f>
        <v/>
      </c>
      <c r="J324" s="25">
        <f>VLOOKUP(F324,Assumptions!$B$50:$D$59,2,FALSE)*VLOOKUP("SI-T1",Assumptions!$B$27:$C$31,2,FALSE)*VLOOKUP(G324,Assumptions!$B$43:$C$45,2,FALSE)</f>
        <v/>
      </c>
    </row>
    <row r="325">
      <c r="B325" s="7" t="inlineStr">
        <is>
          <t>RC-0320</t>
        </is>
      </c>
      <c r="C325" s="11" t="inlineStr">
        <is>
          <t>Cybersecurity</t>
        </is>
      </c>
      <c r="D325" s="7" t="inlineStr">
        <is>
          <t>SOC Analyst</t>
        </is>
      </c>
      <c r="E325" s="11" t="inlineStr">
        <is>
          <t>SOC</t>
        </is>
      </c>
      <c r="F325" s="11" t="inlineStr">
        <is>
          <t>Senior</t>
        </is>
      </c>
      <c r="G325" s="21" t="inlineStr">
        <is>
          <t>Medium</t>
        </is>
      </c>
      <c r="H325" s="23">
        <f>VLOOKUP(F325,'Internal Cost Model'!$B$6:$F$15,5,FALSE)</f>
        <v/>
      </c>
      <c r="I325" s="24">
        <f>H325*VLOOKUP(G325,Assumptions!$B$43:$C$45,2,FALSE)</f>
        <v/>
      </c>
      <c r="J325" s="25">
        <f>VLOOKUP(F325,Assumptions!$B$50:$D$59,2,FALSE)*VLOOKUP("SI-T1",Assumptions!$B$27:$C$31,2,FALSE)*VLOOKUP(G325,Assumptions!$B$43:$C$45,2,FALSE)</f>
        <v/>
      </c>
    </row>
    <row r="326">
      <c r="B326" s="7" t="inlineStr">
        <is>
          <t>RC-0321</t>
        </is>
      </c>
      <c r="C326" s="11" t="inlineStr">
        <is>
          <t>Cybersecurity</t>
        </is>
      </c>
      <c r="D326" s="7" t="inlineStr">
        <is>
          <t>SOC Analyst</t>
        </is>
      </c>
      <c r="E326" s="11" t="inlineStr">
        <is>
          <t>SOC</t>
        </is>
      </c>
      <c r="F326" s="11" t="inlineStr">
        <is>
          <t>Intermediate</t>
        </is>
      </c>
      <c r="G326" s="21" t="inlineStr">
        <is>
          <t>Medium</t>
        </is>
      </c>
      <c r="H326" s="23">
        <f>VLOOKUP(F326,'Internal Cost Model'!$B$6:$F$15,5,FALSE)</f>
        <v/>
      </c>
      <c r="I326" s="24">
        <f>H326*VLOOKUP(G326,Assumptions!$B$43:$C$45,2,FALSE)</f>
        <v/>
      </c>
      <c r="J326" s="25">
        <f>VLOOKUP(F326,Assumptions!$B$50:$D$59,2,FALSE)*VLOOKUP("SI-T1",Assumptions!$B$27:$C$31,2,FALSE)*VLOOKUP(G326,Assumptions!$B$43:$C$45,2,FALSE)</f>
        <v/>
      </c>
    </row>
    <row r="327">
      <c r="B327" s="7" t="inlineStr">
        <is>
          <t>RC-0322</t>
        </is>
      </c>
      <c r="C327" s="11" t="inlineStr">
        <is>
          <t>Cybersecurity</t>
        </is>
      </c>
      <c r="D327" s="7" t="inlineStr">
        <is>
          <t>SOC Analyst</t>
        </is>
      </c>
      <c r="E327" s="11" t="inlineStr">
        <is>
          <t>SOC</t>
        </is>
      </c>
      <c r="F327" s="11" t="inlineStr">
        <is>
          <t>Junior</t>
        </is>
      </c>
      <c r="G327" s="21" t="inlineStr">
        <is>
          <t>Medium</t>
        </is>
      </c>
      <c r="H327" s="23">
        <f>VLOOKUP(F327,'Internal Cost Model'!$B$6:$F$15,5,FALSE)</f>
        <v/>
      </c>
      <c r="I327" s="24">
        <f>H327*VLOOKUP(G327,Assumptions!$B$43:$C$45,2,FALSE)</f>
        <v/>
      </c>
      <c r="J327" s="25">
        <f>VLOOKUP(F327,Assumptions!$B$50:$D$59,2,FALSE)*VLOOKUP("SI-T1",Assumptions!$B$27:$C$31,2,FALSE)*VLOOKUP(G327,Assumptions!$B$43:$C$45,2,FALSE)</f>
        <v/>
      </c>
    </row>
    <row r="328">
      <c r="B328" s="7" t="inlineStr">
        <is>
          <t>RC-0323</t>
        </is>
      </c>
      <c r="C328" s="11" t="inlineStr">
        <is>
          <t>Cybersecurity</t>
        </is>
      </c>
      <c r="D328" s="7" t="inlineStr">
        <is>
          <t>GRC Lead</t>
        </is>
      </c>
      <c r="E328" s="11" t="inlineStr">
        <is>
          <t>GRC</t>
        </is>
      </c>
      <c r="F328" s="11" t="inlineStr">
        <is>
          <t>Director</t>
        </is>
      </c>
      <c r="G328" s="21" t="inlineStr">
        <is>
          <t>High</t>
        </is>
      </c>
      <c r="H328" s="23">
        <f>VLOOKUP(F328,'Internal Cost Model'!$B$6:$F$15,5,FALSE)</f>
        <v/>
      </c>
      <c r="I328" s="24">
        <f>H328*VLOOKUP(G328,Assumptions!$B$43:$C$45,2,FALSE)</f>
        <v/>
      </c>
      <c r="J328" s="25">
        <f>VLOOKUP(F328,Assumptions!$B$50:$D$59,2,FALSE)*VLOOKUP("SI-T1",Assumptions!$B$27:$C$31,2,FALSE)*VLOOKUP(G328,Assumptions!$B$43:$C$45,2,FALSE)</f>
        <v/>
      </c>
    </row>
    <row r="329">
      <c r="B329" s="7" t="inlineStr">
        <is>
          <t>RC-0324</t>
        </is>
      </c>
      <c r="C329" s="11" t="inlineStr">
        <is>
          <t>Cybersecurity</t>
        </is>
      </c>
      <c r="D329" s="7" t="inlineStr">
        <is>
          <t>GRC Lead</t>
        </is>
      </c>
      <c r="E329" s="11" t="inlineStr">
        <is>
          <t>GRC</t>
        </is>
      </c>
      <c r="F329" s="11" t="inlineStr">
        <is>
          <t>Senior Manager</t>
        </is>
      </c>
      <c r="G329" s="21" t="inlineStr">
        <is>
          <t>High</t>
        </is>
      </c>
      <c r="H329" s="23">
        <f>VLOOKUP(F329,'Internal Cost Model'!$B$6:$F$15,5,FALSE)</f>
        <v/>
      </c>
      <c r="I329" s="24">
        <f>H329*VLOOKUP(G329,Assumptions!$B$43:$C$45,2,FALSE)</f>
        <v/>
      </c>
      <c r="J329" s="25">
        <f>VLOOKUP(F329,Assumptions!$B$50:$D$59,2,FALSE)*VLOOKUP("SI-T1",Assumptions!$B$27:$C$31,2,FALSE)*VLOOKUP(G329,Assumptions!$B$43:$C$45,2,FALSE)</f>
        <v/>
      </c>
    </row>
    <row r="330">
      <c r="B330" s="7" t="inlineStr">
        <is>
          <t>RC-0325</t>
        </is>
      </c>
      <c r="C330" s="11" t="inlineStr">
        <is>
          <t>Cybersecurity</t>
        </is>
      </c>
      <c r="D330" s="7" t="inlineStr">
        <is>
          <t>GRC Lead</t>
        </is>
      </c>
      <c r="E330" s="11" t="inlineStr">
        <is>
          <t>GRC</t>
        </is>
      </c>
      <c r="F330" s="11" t="inlineStr">
        <is>
          <t>Manager</t>
        </is>
      </c>
      <c r="G330" s="21" t="inlineStr">
        <is>
          <t>High</t>
        </is>
      </c>
      <c r="H330" s="23">
        <f>VLOOKUP(F330,'Internal Cost Model'!$B$6:$F$15,5,FALSE)</f>
        <v/>
      </c>
      <c r="I330" s="24">
        <f>H330*VLOOKUP(G330,Assumptions!$B$43:$C$45,2,FALSE)</f>
        <v/>
      </c>
      <c r="J330" s="25">
        <f>VLOOKUP(F330,Assumptions!$B$50:$D$59,2,FALSE)*VLOOKUP("SI-T1",Assumptions!$B$27:$C$31,2,FALSE)*VLOOKUP(G330,Assumptions!$B$43:$C$45,2,FALSE)</f>
        <v/>
      </c>
    </row>
    <row r="331">
      <c r="B331" s="7" t="inlineStr">
        <is>
          <t>RC-0326</t>
        </is>
      </c>
      <c r="C331" s="11" t="inlineStr">
        <is>
          <t>Cybersecurity</t>
        </is>
      </c>
      <c r="D331" s="7" t="inlineStr">
        <is>
          <t>Application Security Engineer</t>
        </is>
      </c>
      <c r="E331" s="11" t="inlineStr">
        <is>
          <t>Application Security</t>
        </is>
      </c>
      <c r="F331" s="11" t="inlineStr">
        <is>
          <t>Lead</t>
        </is>
      </c>
      <c r="G331" s="21" t="inlineStr">
        <is>
          <t>High</t>
        </is>
      </c>
      <c r="H331" s="23">
        <f>VLOOKUP(F331,'Internal Cost Model'!$B$6:$F$15,5,FALSE)</f>
        <v/>
      </c>
      <c r="I331" s="24">
        <f>H331*VLOOKUP(G331,Assumptions!$B$43:$C$45,2,FALSE)</f>
        <v/>
      </c>
      <c r="J331" s="25">
        <f>VLOOKUP(F331,Assumptions!$B$50:$D$59,2,FALSE)*VLOOKUP("SI-T1",Assumptions!$B$27:$C$31,2,FALSE)*VLOOKUP(G331,Assumptions!$B$43:$C$45,2,FALSE)</f>
        <v/>
      </c>
    </row>
    <row r="332">
      <c r="B332" s="7" t="inlineStr">
        <is>
          <t>RC-0327</t>
        </is>
      </c>
      <c r="C332" s="11" t="inlineStr">
        <is>
          <t>Cybersecurity</t>
        </is>
      </c>
      <c r="D332" s="7" t="inlineStr">
        <is>
          <t>Application Security Engineer</t>
        </is>
      </c>
      <c r="E332" s="11" t="inlineStr">
        <is>
          <t>Application Security</t>
        </is>
      </c>
      <c r="F332" s="11" t="inlineStr">
        <is>
          <t>Senior</t>
        </is>
      </c>
      <c r="G332" s="21" t="inlineStr">
        <is>
          <t>High</t>
        </is>
      </c>
      <c r="H332" s="23">
        <f>VLOOKUP(F332,'Internal Cost Model'!$B$6:$F$15,5,FALSE)</f>
        <v/>
      </c>
      <c r="I332" s="24">
        <f>H332*VLOOKUP(G332,Assumptions!$B$43:$C$45,2,FALSE)</f>
        <v/>
      </c>
      <c r="J332" s="25">
        <f>VLOOKUP(F332,Assumptions!$B$50:$D$59,2,FALSE)*VLOOKUP("SI-T1",Assumptions!$B$27:$C$31,2,FALSE)*VLOOKUP(G332,Assumptions!$B$43:$C$45,2,FALSE)</f>
        <v/>
      </c>
    </row>
    <row r="333">
      <c r="B333" s="7" t="inlineStr">
        <is>
          <t>RC-0328</t>
        </is>
      </c>
      <c r="C333" s="11" t="inlineStr">
        <is>
          <t>Cybersecurity</t>
        </is>
      </c>
      <c r="D333" s="7" t="inlineStr">
        <is>
          <t>Threat &amp; Vuln Analyst</t>
        </is>
      </c>
      <c r="E333" s="11" t="inlineStr">
        <is>
          <t>Threat &amp; Vuln Mgmt</t>
        </is>
      </c>
      <c r="F333" s="11" t="inlineStr">
        <is>
          <t>Senior</t>
        </is>
      </c>
      <c r="G333" s="21" t="inlineStr">
        <is>
          <t>High</t>
        </is>
      </c>
      <c r="H333" s="23">
        <f>VLOOKUP(F333,'Internal Cost Model'!$B$6:$F$15,5,FALSE)</f>
        <v/>
      </c>
      <c r="I333" s="24">
        <f>H333*VLOOKUP(G333,Assumptions!$B$43:$C$45,2,FALSE)</f>
        <v/>
      </c>
      <c r="J333" s="25">
        <f>VLOOKUP(F333,Assumptions!$B$50:$D$59,2,FALSE)*VLOOKUP("SI-T1",Assumptions!$B$27:$C$31,2,FALSE)*VLOOKUP(G333,Assumptions!$B$43:$C$45,2,FALSE)</f>
        <v/>
      </c>
    </row>
    <row r="334">
      <c r="B334" s="7" t="inlineStr">
        <is>
          <t>RC-0329</t>
        </is>
      </c>
      <c r="C334" s="11" t="inlineStr">
        <is>
          <t>Cybersecurity</t>
        </is>
      </c>
      <c r="D334" s="7" t="inlineStr">
        <is>
          <t>Threat &amp; Vuln Analyst</t>
        </is>
      </c>
      <c r="E334" s="11" t="inlineStr">
        <is>
          <t>Threat &amp; Vuln Mgmt</t>
        </is>
      </c>
      <c r="F334" s="11" t="inlineStr">
        <is>
          <t>Intermediate</t>
        </is>
      </c>
      <c r="G334" s="21" t="inlineStr">
        <is>
          <t>High</t>
        </is>
      </c>
      <c r="H334" s="23">
        <f>VLOOKUP(F334,'Internal Cost Model'!$B$6:$F$15,5,FALSE)</f>
        <v/>
      </c>
      <c r="I334" s="24">
        <f>H334*VLOOKUP(G334,Assumptions!$B$43:$C$45,2,FALSE)</f>
        <v/>
      </c>
      <c r="J334" s="25">
        <f>VLOOKUP(F334,Assumptions!$B$50:$D$59,2,FALSE)*VLOOKUP("SI-T1",Assumptions!$B$27:$C$31,2,FALSE)*VLOOKUP(G334,Assumptions!$B$43:$C$45,2,FALSE)</f>
        <v/>
      </c>
    </row>
    <row r="335">
      <c r="B335" s="7" t="inlineStr">
        <is>
          <t>RC-0330</t>
        </is>
      </c>
      <c r="C335" s="11" t="inlineStr">
        <is>
          <t>Quality Engineering</t>
        </is>
      </c>
      <c r="D335" s="7" t="inlineStr">
        <is>
          <t>QA Architect</t>
        </is>
      </c>
      <c r="E335" s="11" t="inlineStr">
        <is>
          <t>Test Strategy</t>
        </is>
      </c>
      <c r="F335" s="11" t="inlineStr">
        <is>
          <t>Director</t>
        </is>
      </c>
      <c r="G335" s="21" t="inlineStr">
        <is>
          <t>Medium</t>
        </is>
      </c>
      <c r="H335" s="23">
        <f>VLOOKUP(F335,'Internal Cost Model'!$B$6:$F$15,5,FALSE)</f>
        <v/>
      </c>
      <c r="I335" s="24">
        <f>H335*VLOOKUP(G335,Assumptions!$B$43:$C$45,2,FALSE)</f>
        <v/>
      </c>
      <c r="J335" s="25">
        <f>VLOOKUP(F335,Assumptions!$B$50:$D$59,2,FALSE)*VLOOKUP("SI-T1",Assumptions!$B$27:$C$31,2,FALSE)*VLOOKUP(G335,Assumptions!$B$43:$C$45,2,FALSE)</f>
        <v/>
      </c>
    </row>
    <row r="336">
      <c r="B336" s="7" t="inlineStr">
        <is>
          <t>RC-0331</t>
        </is>
      </c>
      <c r="C336" s="11" t="inlineStr">
        <is>
          <t>Quality Engineering</t>
        </is>
      </c>
      <c r="D336" s="7" t="inlineStr">
        <is>
          <t>QA Architect</t>
        </is>
      </c>
      <c r="E336" s="11" t="inlineStr">
        <is>
          <t>Test Strategy</t>
        </is>
      </c>
      <c r="F336" s="11" t="inlineStr">
        <is>
          <t>Senior Manager</t>
        </is>
      </c>
      <c r="G336" s="21" t="inlineStr">
        <is>
          <t>Medium</t>
        </is>
      </c>
      <c r="H336" s="23">
        <f>VLOOKUP(F336,'Internal Cost Model'!$B$6:$F$15,5,FALSE)</f>
        <v/>
      </c>
      <c r="I336" s="24">
        <f>H336*VLOOKUP(G336,Assumptions!$B$43:$C$45,2,FALSE)</f>
        <v/>
      </c>
      <c r="J336" s="25">
        <f>VLOOKUP(F336,Assumptions!$B$50:$D$59,2,FALSE)*VLOOKUP("SI-T1",Assumptions!$B$27:$C$31,2,FALSE)*VLOOKUP(G336,Assumptions!$B$43:$C$45,2,FALSE)</f>
        <v/>
      </c>
    </row>
    <row r="337">
      <c r="B337" s="7" t="inlineStr">
        <is>
          <t>RC-0332</t>
        </is>
      </c>
      <c r="C337" s="11" t="inlineStr">
        <is>
          <t>Quality Engineering</t>
        </is>
      </c>
      <c r="D337" s="7" t="inlineStr">
        <is>
          <t>QA Architect</t>
        </is>
      </c>
      <c r="E337" s="11" t="inlineStr">
        <is>
          <t>Test Strategy</t>
        </is>
      </c>
      <c r="F337" s="11" t="inlineStr">
        <is>
          <t>Manager</t>
        </is>
      </c>
      <c r="G337" s="21" t="inlineStr">
        <is>
          <t>Medium</t>
        </is>
      </c>
      <c r="H337" s="23">
        <f>VLOOKUP(F337,'Internal Cost Model'!$B$6:$F$15,5,FALSE)</f>
        <v/>
      </c>
      <c r="I337" s="24">
        <f>H337*VLOOKUP(G337,Assumptions!$B$43:$C$45,2,FALSE)</f>
        <v/>
      </c>
      <c r="J337" s="25">
        <f>VLOOKUP(F337,Assumptions!$B$50:$D$59,2,FALSE)*VLOOKUP("SI-T1",Assumptions!$B$27:$C$31,2,FALSE)*VLOOKUP(G337,Assumptions!$B$43:$C$45,2,FALSE)</f>
        <v/>
      </c>
    </row>
    <row r="338">
      <c r="B338" s="7" t="inlineStr">
        <is>
          <t>RC-0333</t>
        </is>
      </c>
      <c r="C338" s="11" t="inlineStr">
        <is>
          <t>Quality Engineering</t>
        </is>
      </c>
      <c r="D338" s="7" t="inlineStr">
        <is>
          <t>QA Architect</t>
        </is>
      </c>
      <c r="E338" s="11" t="inlineStr">
        <is>
          <t>Test Strategy</t>
        </is>
      </c>
      <c r="F338" s="11" t="inlineStr">
        <is>
          <t>Lead</t>
        </is>
      </c>
      <c r="G338" s="21" t="inlineStr">
        <is>
          <t>Medium</t>
        </is>
      </c>
      <c r="H338" s="23">
        <f>VLOOKUP(F338,'Internal Cost Model'!$B$6:$F$15,5,FALSE)</f>
        <v/>
      </c>
      <c r="I338" s="24">
        <f>H338*VLOOKUP(G338,Assumptions!$B$43:$C$45,2,FALSE)</f>
        <v/>
      </c>
      <c r="J338" s="25">
        <f>VLOOKUP(F338,Assumptions!$B$50:$D$59,2,FALSE)*VLOOKUP("SI-T1",Assumptions!$B$27:$C$31,2,FALSE)*VLOOKUP(G338,Assumptions!$B$43:$C$45,2,FALSE)</f>
        <v/>
      </c>
    </row>
    <row r="339">
      <c r="B339" s="7" t="inlineStr">
        <is>
          <t>RC-0334</t>
        </is>
      </c>
      <c r="C339" s="11" t="inlineStr">
        <is>
          <t>Quality Engineering</t>
        </is>
      </c>
      <c r="D339" s="7" t="inlineStr">
        <is>
          <t>Automation Architect</t>
        </is>
      </c>
      <c r="E339" s="11" t="inlineStr">
        <is>
          <t>Test Automation</t>
        </is>
      </c>
      <c r="F339" s="11" t="inlineStr">
        <is>
          <t>Senior Manager</t>
        </is>
      </c>
      <c r="G339" s="21" t="inlineStr">
        <is>
          <t>High</t>
        </is>
      </c>
      <c r="H339" s="23">
        <f>VLOOKUP(F339,'Internal Cost Model'!$B$6:$F$15,5,FALSE)</f>
        <v/>
      </c>
      <c r="I339" s="24">
        <f>H339*VLOOKUP(G339,Assumptions!$B$43:$C$45,2,FALSE)</f>
        <v/>
      </c>
      <c r="J339" s="25">
        <f>VLOOKUP(F339,Assumptions!$B$50:$D$59,2,FALSE)*VLOOKUP("SI-T1",Assumptions!$B$27:$C$31,2,FALSE)*VLOOKUP(G339,Assumptions!$B$43:$C$45,2,FALSE)</f>
        <v/>
      </c>
    </row>
    <row r="340">
      <c r="B340" s="7" t="inlineStr">
        <is>
          <t>RC-0335</t>
        </is>
      </c>
      <c r="C340" s="11" t="inlineStr">
        <is>
          <t>Quality Engineering</t>
        </is>
      </c>
      <c r="D340" s="7" t="inlineStr">
        <is>
          <t>Automation Architect</t>
        </is>
      </c>
      <c r="E340" s="11" t="inlineStr">
        <is>
          <t>Test Automation</t>
        </is>
      </c>
      <c r="F340" s="11" t="inlineStr">
        <is>
          <t>Manager</t>
        </is>
      </c>
      <c r="G340" s="21" t="inlineStr">
        <is>
          <t>High</t>
        </is>
      </c>
      <c r="H340" s="23">
        <f>VLOOKUP(F340,'Internal Cost Model'!$B$6:$F$15,5,FALSE)</f>
        <v/>
      </c>
      <c r="I340" s="24">
        <f>H340*VLOOKUP(G340,Assumptions!$B$43:$C$45,2,FALSE)</f>
        <v/>
      </c>
      <c r="J340" s="25">
        <f>VLOOKUP(F340,Assumptions!$B$50:$D$59,2,FALSE)*VLOOKUP("SI-T1",Assumptions!$B$27:$C$31,2,FALSE)*VLOOKUP(G340,Assumptions!$B$43:$C$45,2,FALSE)</f>
        <v/>
      </c>
    </row>
    <row r="341">
      <c r="B341" s="7" t="inlineStr">
        <is>
          <t>RC-0336</t>
        </is>
      </c>
      <c r="C341" s="11" t="inlineStr">
        <is>
          <t>Quality Engineering</t>
        </is>
      </c>
      <c r="D341" s="7" t="inlineStr">
        <is>
          <t>Automation Architect</t>
        </is>
      </c>
      <c r="E341" s="11" t="inlineStr">
        <is>
          <t>Test Automation</t>
        </is>
      </c>
      <c r="F341" s="11" t="inlineStr">
        <is>
          <t>Lead</t>
        </is>
      </c>
      <c r="G341" s="21" t="inlineStr">
        <is>
          <t>High</t>
        </is>
      </c>
      <c r="H341" s="23">
        <f>VLOOKUP(F341,'Internal Cost Model'!$B$6:$F$15,5,FALSE)</f>
        <v/>
      </c>
      <c r="I341" s="24">
        <f>H341*VLOOKUP(G341,Assumptions!$B$43:$C$45,2,FALSE)</f>
        <v/>
      </c>
      <c r="J341" s="25">
        <f>VLOOKUP(F341,Assumptions!$B$50:$D$59,2,FALSE)*VLOOKUP("SI-T1",Assumptions!$B$27:$C$31,2,FALSE)*VLOOKUP(G341,Assumptions!$B$43:$C$45,2,FALSE)</f>
        <v/>
      </c>
    </row>
    <row r="342">
      <c r="B342" s="7" t="inlineStr">
        <is>
          <t>RC-0337</t>
        </is>
      </c>
      <c r="C342" s="11" t="inlineStr">
        <is>
          <t>Quality Engineering</t>
        </is>
      </c>
      <c r="D342" s="7" t="inlineStr">
        <is>
          <t>Automation Engineer</t>
        </is>
      </c>
      <c r="E342" s="11" t="inlineStr">
        <is>
          <t>Test Automation</t>
        </is>
      </c>
      <c r="F342" s="11" t="inlineStr">
        <is>
          <t>Senior</t>
        </is>
      </c>
      <c r="G342" s="21" t="inlineStr">
        <is>
          <t>Medium</t>
        </is>
      </c>
      <c r="H342" s="23">
        <f>VLOOKUP(F342,'Internal Cost Model'!$B$6:$F$15,5,FALSE)</f>
        <v/>
      </c>
      <c r="I342" s="24">
        <f>H342*VLOOKUP(G342,Assumptions!$B$43:$C$45,2,FALSE)</f>
        <v/>
      </c>
      <c r="J342" s="25">
        <f>VLOOKUP(F342,Assumptions!$B$50:$D$59,2,FALSE)*VLOOKUP("SI-T1",Assumptions!$B$27:$C$31,2,FALSE)*VLOOKUP(G342,Assumptions!$B$43:$C$45,2,FALSE)</f>
        <v/>
      </c>
    </row>
    <row r="343">
      <c r="B343" s="7" t="inlineStr">
        <is>
          <t>RC-0338</t>
        </is>
      </c>
      <c r="C343" s="11" t="inlineStr">
        <is>
          <t>Quality Engineering</t>
        </is>
      </c>
      <c r="D343" s="7" t="inlineStr">
        <is>
          <t>Automation Engineer</t>
        </is>
      </c>
      <c r="E343" s="11" t="inlineStr">
        <is>
          <t>Test Automation</t>
        </is>
      </c>
      <c r="F343" s="11" t="inlineStr">
        <is>
          <t>Intermediate</t>
        </is>
      </c>
      <c r="G343" s="21" t="inlineStr">
        <is>
          <t>Medium</t>
        </is>
      </c>
      <c r="H343" s="23">
        <f>VLOOKUP(F343,'Internal Cost Model'!$B$6:$F$15,5,FALSE)</f>
        <v/>
      </c>
      <c r="I343" s="24">
        <f>H343*VLOOKUP(G343,Assumptions!$B$43:$C$45,2,FALSE)</f>
        <v/>
      </c>
      <c r="J343" s="25">
        <f>VLOOKUP(F343,Assumptions!$B$50:$D$59,2,FALSE)*VLOOKUP("SI-T1",Assumptions!$B$27:$C$31,2,FALSE)*VLOOKUP(G343,Assumptions!$B$43:$C$45,2,FALSE)</f>
        <v/>
      </c>
    </row>
    <row r="344">
      <c r="B344" s="7" t="inlineStr">
        <is>
          <t>RC-0339</t>
        </is>
      </c>
      <c r="C344" s="11" t="inlineStr">
        <is>
          <t>Quality Engineering</t>
        </is>
      </c>
      <c r="D344" s="7" t="inlineStr">
        <is>
          <t>Performance Architect</t>
        </is>
      </c>
      <c r="E344" s="11" t="inlineStr">
        <is>
          <t>Performance Testing</t>
        </is>
      </c>
      <c r="F344" s="11" t="inlineStr">
        <is>
          <t>Senior Manager</t>
        </is>
      </c>
      <c r="G344" s="21" t="inlineStr">
        <is>
          <t>Medium</t>
        </is>
      </c>
      <c r="H344" s="23">
        <f>VLOOKUP(F344,'Internal Cost Model'!$B$6:$F$15,5,FALSE)</f>
        <v/>
      </c>
      <c r="I344" s="24">
        <f>H344*VLOOKUP(G344,Assumptions!$B$43:$C$45,2,FALSE)</f>
        <v/>
      </c>
      <c r="J344" s="25">
        <f>VLOOKUP(F344,Assumptions!$B$50:$D$59,2,FALSE)*VLOOKUP("SI-T1",Assumptions!$B$27:$C$31,2,FALSE)*VLOOKUP(G344,Assumptions!$B$43:$C$45,2,FALSE)</f>
        <v/>
      </c>
    </row>
    <row r="345">
      <c r="B345" s="7" t="inlineStr">
        <is>
          <t>RC-0340</t>
        </is>
      </c>
      <c r="C345" s="11" t="inlineStr">
        <is>
          <t>Quality Engineering</t>
        </is>
      </c>
      <c r="D345" s="7" t="inlineStr">
        <is>
          <t>Performance Architect</t>
        </is>
      </c>
      <c r="E345" s="11" t="inlineStr">
        <is>
          <t>Performance Testing</t>
        </is>
      </c>
      <c r="F345" s="11" t="inlineStr">
        <is>
          <t>Manager</t>
        </is>
      </c>
      <c r="G345" s="21" t="inlineStr">
        <is>
          <t>Medium</t>
        </is>
      </c>
      <c r="H345" s="23">
        <f>VLOOKUP(F345,'Internal Cost Model'!$B$6:$F$15,5,FALSE)</f>
        <v/>
      </c>
      <c r="I345" s="24">
        <f>H345*VLOOKUP(G345,Assumptions!$B$43:$C$45,2,FALSE)</f>
        <v/>
      </c>
      <c r="J345" s="25">
        <f>VLOOKUP(F345,Assumptions!$B$50:$D$59,2,FALSE)*VLOOKUP("SI-T1",Assumptions!$B$27:$C$31,2,FALSE)*VLOOKUP(G345,Assumptions!$B$43:$C$45,2,FALSE)</f>
        <v/>
      </c>
    </row>
    <row r="346">
      <c r="B346" s="7" t="inlineStr">
        <is>
          <t>RC-0341</t>
        </is>
      </c>
      <c r="C346" s="11" t="inlineStr">
        <is>
          <t>Quality Engineering</t>
        </is>
      </c>
      <c r="D346" s="7" t="inlineStr">
        <is>
          <t>Performance Architect</t>
        </is>
      </c>
      <c r="E346" s="11" t="inlineStr">
        <is>
          <t>Performance Testing</t>
        </is>
      </c>
      <c r="F346" s="11" t="inlineStr">
        <is>
          <t>Lead</t>
        </is>
      </c>
      <c r="G346" s="21" t="inlineStr">
        <is>
          <t>Medium</t>
        </is>
      </c>
      <c r="H346" s="23">
        <f>VLOOKUP(F346,'Internal Cost Model'!$B$6:$F$15,5,FALSE)</f>
        <v/>
      </c>
      <c r="I346" s="24">
        <f>H346*VLOOKUP(G346,Assumptions!$B$43:$C$45,2,FALSE)</f>
        <v/>
      </c>
      <c r="J346" s="25">
        <f>VLOOKUP(F346,Assumptions!$B$50:$D$59,2,FALSE)*VLOOKUP("SI-T1",Assumptions!$B$27:$C$31,2,FALSE)*VLOOKUP(G346,Assumptions!$B$43:$C$45,2,FALSE)</f>
        <v/>
      </c>
    </row>
    <row r="347">
      <c r="B347" s="7" t="inlineStr">
        <is>
          <t>RC-0342</t>
        </is>
      </c>
      <c r="C347" s="11" t="inlineStr">
        <is>
          <t>Quality Engineering</t>
        </is>
      </c>
      <c r="D347" s="7" t="inlineStr">
        <is>
          <t>Security Testing Architect</t>
        </is>
      </c>
      <c r="E347" s="11" t="inlineStr">
        <is>
          <t>Security Testing</t>
        </is>
      </c>
      <c r="F347" s="11" t="inlineStr">
        <is>
          <t>Senior Manager</t>
        </is>
      </c>
      <c r="G347" s="21" t="inlineStr">
        <is>
          <t>High</t>
        </is>
      </c>
      <c r="H347" s="23">
        <f>VLOOKUP(F347,'Internal Cost Model'!$B$6:$F$15,5,FALSE)</f>
        <v/>
      </c>
      <c r="I347" s="24">
        <f>H347*VLOOKUP(G347,Assumptions!$B$43:$C$45,2,FALSE)</f>
        <v/>
      </c>
      <c r="J347" s="25">
        <f>VLOOKUP(F347,Assumptions!$B$50:$D$59,2,FALSE)*VLOOKUP("SI-T1",Assumptions!$B$27:$C$31,2,FALSE)*VLOOKUP(G347,Assumptions!$B$43:$C$45,2,FALSE)</f>
        <v/>
      </c>
    </row>
    <row r="348">
      <c r="B348" s="7" t="inlineStr">
        <is>
          <t>RC-0343</t>
        </is>
      </c>
      <c r="C348" s="11" t="inlineStr">
        <is>
          <t>Quality Engineering</t>
        </is>
      </c>
      <c r="D348" s="7" t="inlineStr">
        <is>
          <t>Security Testing Architect</t>
        </is>
      </c>
      <c r="E348" s="11" t="inlineStr">
        <is>
          <t>Security Testing</t>
        </is>
      </c>
      <c r="F348" s="11" t="inlineStr">
        <is>
          <t>Manager</t>
        </is>
      </c>
      <c r="G348" s="21" t="inlineStr">
        <is>
          <t>High</t>
        </is>
      </c>
      <c r="H348" s="23">
        <f>VLOOKUP(F348,'Internal Cost Model'!$B$6:$F$15,5,FALSE)</f>
        <v/>
      </c>
      <c r="I348" s="24">
        <f>H348*VLOOKUP(G348,Assumptions!$B$43:$C$45,2,FALSE)</f>
        <v/>
      </c>
      <c r="J348" s="25">
        <f>VLOOKUP(F348,Assumptions!$B$50:$D$59,2,FALSE)*VLOOKUP("SI-T1",Assumptions!$B$27:$C$31,2,FALSE)*VLOOKUP(G348,Assumptions!$B$43:$C$45,2,FALSE)</f>
        <v/>
      </c>
    </row>
    <row r="349">
      <c r="B349" s="7" t="inlineStr">
        <is>
          <t>RC-0344</t>
        </is>
      </c>
      <c r="C349" s="11" t="inlineStr">
        <is>
          <t>Quality Engineering</t>
        </is>
      </c>
      <c r="D349" s="7" t="inlineStr">
        <is>
          <t>Security Testing Architect</t>
        </is>
      </c>
      <c r="E349" s="11" t="inlineStr">
        <is>
          <t>Security Testing</t>
        </is>
      </c>
      <c r="F349" s="11" t="inlineStr">
        <is>
          <t>Lead</t>
        </is>
      </c>
      <c r="G349" s="21" t="inlineStr">
        <is>
          <t>High</t>
        </is>
      </c>
      <c r="H349" s="23">
        <f>VLOOKUP(F349,'Internal Cost Model'!$B$6:$F$15,5,FALSE)</f>
        <v/>
      </c>
      <c r="I349" s="24">
        <f>H349*VLOOKUP(G349,Assumptions!$B$43:$C$45,2,FALSE)</f>
        <v/>
      </c>
      <c r="J349" s="25">
        <f>VLOOKUP(F349,Assumptions!$B$50:$D$59,2,FALSE)*VLOOKUP("SI-T1",Assumptions!$B$27:$C$31,2,FALSE)*VLOOKUP(G349,Assumptions!$B$43:$C$45,2,FALSE)</f>
        <v/>
      </c>
    </row>
    <row r="350">
      <c r="B350" s="7" t="inlineStr">
        <is>
          <t>RC-0345</t>
        </is>
      </c>
      <c r="C350" s="11" t="inlineStr">
        <is>
          <t>Operations</t>
        </is>
      </c>
      <c r="D350" s="7" t="inlineStr">
        <is>
          <t>Service Operations Lead</t>
        </is>
      </c>
      <c r="E350" s="11" t="inlineStr">
        <is>
          <t>Service Operations</t>
        </is>
      </c>
      <c r="F350" s="11" t="inlineStr">
        <is>
          <t>Senior Manager</t>
        </is>
      </c>
      <c r="G350" s="21" t="inlineStr">
        <is>
          <t>Low</t>
        </is>
      </c>
      <c r="H350" s="23">
        <f>VLOOKUP(F350,'Internal Cost Model'!$B$6:$F$15,5,FALSE)</f>
        <v/>
      </c>
      <c r="I350" s="24">
        <f>H350*VLOOKUP(G350,Assumptions!$B$43:$C$45,2,FALSE)</f>
        <v/>
      </c>
      <c r="J350" s="25">
        <f>VLOOKUP(F350,Assumptions!$B$50:$D$59,2,FALSE)*VLOOKUP("SI-T1",Assumptions!$B$27:$C$31,2,FALSE)*VLOOKUP(G350,Assumptions!$B$43:$C$45,2,FALSE)</f>
        <v/>
      </c>
    </row>
    <row r="351">
      <c r="B351" s="7" t="inlineStr">
        <is>
          <t>RC-0346</t>
        </is>
      </c>
      <c r="C351" s="11" t="inlineStr">
        <is>
          <t>Operations</t>
        </is>
      </c>
      <c r="D351" s="7" t="inlineStr">
        <is>
          <t>Service Operations Lead</t>
        </is>
      </c>
      <c r="E351" s="11" t="inlineStr">
        <is>
          <t>Service Operations</t>
        </is>
      </c>
      <c r="F351" s="11" t="inlineStr">
        <is>
          <t>Manager</t>
        </is>
      </c>
      <c r="G351" s="21" t="inlineStr">
        <is>
          <t>Low</t>
        </is>
      </c>
      <c r="H351" s="23">
        <f>VLOOKUP(F351,'Internal Cost Model'!$B$6:$F$15,5,FALSE)</f>
        <v/>
      </c>
      <c r="I351" s="24">
        <f>H351*VLOOKUP(G351,Assumptions!$B$43:$C$45,2,FALSE)</f>
        <v/>
      </c>
      <c r="J351" s="25">
        <f>VLOOKUP(F351,Assumptions!$B$50:$D$59,2,FALSE)*VLOOKUP("SI-T1",Assumptions!$B$27:$C$31,2,FALSE)*VLOOKUP(G351,Assumptions!$B$43:$C$45,2,FALSE)</f>
        <v/>
      </c>
    </row>
    <row r="352">
      <c r="B352" s="7" t="inlineStr">
        <is>
          <t>RC-0347</t>
        </is>
      </c>
      <c r="C352" s="11" t="inlineStr">
        <is>
          <t>Operations</t>
        </is>
      </c>
      <c r="D352" s="7" t="inlineStr">
        <is>
          <t>Service Operations Lead</t>
        </is>
      </c>
      <c r="E352" s="11" t="inlineStr">
        <is>
          <t>Service Operations</t>
        </is>
      </c>
      <c r="F352" s="11" t="inlineStr">
        <is>
          <t>Lead</t>
        </is>
      </c>
      <c r="G352" s="21" t="inlineStr">
        <is>
          <t>Low</t>
        </is>
      </c>
      <c r="H352" s="23">
        <f>VLOOKUP(F352,'Internal Cost Model'!$B$6:$F$15,5,FALSE)</f>
        <v/>
      </c>
      <c r="I352" s="24">
        <f>H352*VLOOKUP(G352,Assumptions!$B$43:$C$45,2,FALSE)</f>
        <v/>
      </c>
      <c r="J352" s="25">
        <f>VLOOKUP(F352,Assumptions!$B$50:$D$59,2,FALSE)*VLOOKUP("SI-T1",Assumptions!$B$27:$C$31,2,FALSE)*VLOOKUP(G352,Assumptions!$B$43:$C$45,2,FALSE)</f>
        <v/>
      </c>
    </row>
    <row r="353">
      <c r="B353" s="7" t="inlineStr">
        <is>
          <t>RC-0348</t>
        </is>
      </c>
      <c r="C353" s="11" t="inlineStr">
        <is>
          <t>Operations</t>
        </is>
      </c>
      <c r="D353" s="7" t="inlineStr">
        <is>
          <t>Observability Engineer</t>
        </is>
      </c>
      <c r="E353" s="11" t="inlineStr">
        <is>
          <t>Monitoring &amp; Observability</t>
        </is>
      </c>
      <c r="F353" s="11" t="inlineStr">
        <is>
          <t>Lead</t>
        </is>
      </c>
      <c r="G353" s="21" t="inlineStr">
        <is>
          <t>Medium</t>
        </is>
      </c>
      <c r="H353" s="23">
        <f>VLOOKUP(F353,'Internal Cost Model'!$B$6:$F$15,5,FALSE)</f>
        <v/>
      </c>
      <c r="I353" s="24">
        <f>H353*VLOOKUP(G353,Assumptions!$B$43:$C$45,2,FALSE)</f>
        <v/>
      </c>
      <c r="J353" s="25">
        <f>VLOOKUP(F353,Assumptions!$B$50:$D$59,2,FALSE)*VLOOKUP("SI-T1",Assumptions!$B$27:$C$31,2,FALSE)*VLOOKUP(G353,Assumptions!$B$43:$C$45,2,FALSE)</f>
        <v/>
      </c>
    </row>
    <row r="354">
      <c r="B354" s="7" t="inlineStr">
        <is>
          <t>RC-0349</t>
        </is>
      </c>
      <c r="C354" s="11" t="inlineStr">
        <is>
          <t>Operations</t>
        </is>
      </c>
      <c r="D354" s="7" t="inlineStr">
        <is>
          <t>Observability Engineer</t>
        </is>
      </c>
      <c r="E354" s="11" t="inlineStr">
        <is>
          <t>Monitoring &amp; Observability</t>
        </is>
      </c>
      <c r="F354" s="11" t="inlineStr">
        <is>
          <t>Senior</t>
        </is>
      </c>
      <c r="G354" s="21" t="inlineStr">
        <is>
          <t>Medium</t>
        </is>
      </c>
      <c r="H354" s="23">
        <f>VLOOKUP(F354,'Internal Cost Model'!$B$6:$F$15,5,FALSE)</f>
        <v/>
      </c>
      <c r="I354" s="24">
        <f>H354*VLOOKUP(G354,Assumptions!$B$43:$C$45,2,FALSE)</f>
        <v/>
      </c>
      <c r="J354" s="25">
        <f>VLOOKUP(F354,Assumptions!$B$50:$D$59,2,FALSE)*VLOOKUP("SI-T1",Assumptions!$B$27:$C$31,2,FALSE)*VLOOKUP(G354,Assumptions!$B$43:$C$45,2,FALSE)</f>
        <v/>
      </c>
    </row>
    <row r="355">
      <c r="B355" s="7" t="inlineStr">
        <is>
          <t>RC-0350</t>
        </is>
      </c>
      <c r="C355" s="11" t="inlineStr">
        <is>
          <t>Operations</t>
        </is>
      </c>
      <c r="D355" s="7" t="inlineStr">
        <is>
          <t>Site Reliability Engineer</t>
        </is>
      </c>
      <c r="E355" s="11" t="inlineStr">
        <is>
          <t>Site Reliability</t>
        </is>
      </c>
      <c r="F355" s="11" t="inlineStr">
        <is>
          <t>Lead</t>
        </is>
      </c>
      <c r="G355" s="21" t="inlineStr">
        <is>
          <t>High</t>
        </is>
      </c>
      <c r="H355" s="23">
        <f>VLOOKUP(F355,'Internal Cost Model'!$B$6:$F$15,5,FALSE)</f>
        <v/>
      </c>
      <c r="I355" s="24">
        <f>H355*VLOOKUP(G355,Assumptions!$B$43:$C$45,2,FALSE)</f>
        <v/>
      </c>
      <c r="J355" s="25">
        <f>VLOOKUP(F355,Assumptions!$B$50:$D$59,2,FALSE)*VLOOKUP("SI-T1",Assumptions!$B$27:$C$31,2,FALSE)*VLOOKUP(G355,Assumptions!$B$43:$C$45,2,FALSE)</f>
        <v/>
      </c>
    </row>
    <row r="356">
      <c r="B356" s="7" t="inlineStr">
        <is>
          <t>RC-0351</t>
        </is>
      </c>
      <c r="C356" s="11" t="inlineStr">
        <is>
          <t>Operations</t>
        </is>
      </c>
      <c r="D356" s="7" t="inlineStr">
        <is>
          <t>Site Reliability Engineer</t>
        </is>
      </c>
      <c r="E356" s="11" t="inlineStr">
        <is>
          <t>Site Reliability</t>
        </is>
      </c>
      <c r="F356" s="11" t="inlineStr">
        <is>
          <t>Senior</t>
        </is>
      </c>
      <c r="G356" s="21" t="inlineStr">
        <is>
          <t>High</t>
        </is>
      </c>
      <c r="H356" s="23">
        <f>VLOOKUP(F356,'Internal Cost Model'!$B$6:$F$15,5,FALSE)</f>
        <v/>
      </c>
      <c r="I356" s="24">
        <f>H356*VLOOKUP(G356,Assumptions!$B$43:$C$45,2,FALSE)</f>
        <v/>
      </c>
      <c r="J356" s="25">
        <f>VLOOKUP(F356,Assumptions!$B$50:$D$59,2,FALSE)*VLOOKUP("SI-T1",Assumptions!$B$27:$C$31,2,FALSE)*VLOOKUP(G356,Assumptions!$B$43:$C$45,2,FALSE)</f>
        <v/>
      </c>
    </row>
    <row r="357">
      <c r="B357" s="7" t="inlineStr">
        <is>
          <t>RC-0352</t>
        </is>
      </c>
      <c r="C357" s="11" t="inlineStr">
        <is>
          <t>Managed Services</t>
        </is>
      </c>
      <c r="D357" s="7" t="inlineStr">
        <is>
          <t>AMS Delivery Manager</t>
        </is>
      </c>
      <c r="E357" s="11" t="inlineStr">
        <is>
          <t>AMS L3</t>
        </is>
      </c>
      <c r="F357" s="11" t="inlineStr">
        <is>
          <t>Director</t>
        </is>
      </c>
      <c r="G357" s="21" t="inlineStr">
        <is>
          <t>Medium</t>
        </is>
      </c>
      <c r="H357" s="23">
        <f>VLOOKUP(F357,'Internal Cost Model'!$B$6:$F$15,5,FALSE)</f>
        <v/>
      </c>
      <c r="I357" s="24">
        <f>H357*VLOOKUP(G357,Assumptions!$B$43:$C$45,2,FALSE)</f>
        <v/>
      </c>
      <c r="J357" s="25">
        <f>VLOOKUP(F357,Assumptions!$B$50:$D$59,2,FALSE)*VLOOKUP("SI-T1",Assumptions!$B$27:$C$31,2,FALSE)*VLOOKUP(G357,Assumptions!$B$43:$C$45,2,FALSE)</f>
        <v/>
      </c>
    </row>
    <row r="358">
      <c r="B358" s="7" t="inlineStr">
        <is>
          <t>RC-0353</t>
        </is>
      </c>
      <c r="C358" s="11" t="inlineStr">
        <is>
          <t>Managed Services</t>
        </is>
      </c>
      <c r="D358" s="7" t="inlineStr">
        <is>
          <t>AMS Delivery Manager</t>
        </is>
      </c>
      <c r="E358" s="11" t="inlineStr">
        <is>
          <t>AMS L3</t>
        </is>
      </c>
      <c r="F358" s="11" t="inlineStr">
        <is>
          <t>Senior Manager</t>
        </is>
      </c>
      <c r="G358" s="21" t="inlineStr">
        <is>
          <t>Medium</t>
        </is>
      </c>
      <c r="H358" s="23">
        <f>VLOOKUP(F358,'Internal Cost Model'!$B$6:$F$15,5,FALSE)</f>
        <v/>
      </c>
      <c r="I358" s="24">
        <f>H358*VLOOKUP(G358,Assumptions!$B$43:$C$45,2,FALSE)</f>
        <v/>
      </c>
      <c r="J358" s="25">
        <f>VLOOKUP(F358,Assumptions!$B$50:$D$59,2,FALSE)*VLOOKUP("SI-T1",Assumptions!$B$27:$C$31,2,FALSE)*VLOOKUP(G358,Assumptions!$B$43:$C$45,2,FALSE)</f>
        <v/>
      </c>
    </row>
    <row r="359">
      <c r="B359" s="7" t="inlineStr">
        <is>
          <t>RC-0354</t>
        </is>
      </c>
      <c r="C359" s="11" t="inlineStr">
        <is>
          <t>Managed Services</t>
        </is>
      </c>
      <c r="D359" s="7" t="inlineStr">
        <is>
          <t>AMS Delivery Manager</t>
        </is>
      </c>
      <c r="E359" s="11" t="inlineStr">
        <is>
          <t>AMS L3</t>
        </is>
      </c>
      <c r="F359" s="11" t="inlineStr">
        <is>
          <t>Manager</t>
        </is>
      </c>
      <c r="G359" s="21" t="inlineStr">
        <is>
          <t>Medium</t>
        </is>
      </c>
      <c r="H359" s="23">
        <f>VLOOKUP(F359,'Internal Cost Model'!$B$6:$F$15,5,FALSE)</f>
        <v/>
      </c>
      <c r="I359" s="24">
        <f>H359*VLOOKUP(G359,Assumptions!$B$43:$C$45,2,FALSE)</f>
        <v/>
      </c>
      <c r="J359" s="25">
        <f>VLOOKUP(F359,Assumptions!$B$50:$D$59,2,FALSE)*VLOOKUP("SI-T1",Assumptions!$B$27:$C$31,2,FALSE)*VLOOKUP(G359,Assumptions!$B$43:$C$45,2,FALSE)</f>
        <v/>
      </c>
    </row>
    <row r="360">
      <c r="B360" s="7" t="inlineStr">
        <is>
          <t>RC-0355</t>
        </is>
      </c>
      <c r="C360" s="11" t="inlineStr">
        <is>
          <t>Managed Services</t>
        </is>
      </c>
      <c r="D360" s="7" t="inlineStr">
        <is>
          <t>L3 Support Engineer</t>
        </is>
      </c>
      <c r="E360" s="11" t="inlineStr">
        <is>
          <t>AMS L3</t>
        </is>
      </c>
      <c r="F360" s="11" t="inlineStr">
        <is>
          <t>Lead</t>
        </is>
      </c>
      <c r="G360" s="21" t="inlineStr">
        <is>
          <t>High</t>
        </is>
      </c>
      <c r="H360" s="23">
        <f>VLOOKUP(F360,'Internal Cost Model'!$B$6:$F$15,5,FALSE)</f>
        <v/>
      </c>
      <c r="I360" s="24">
        <f>H360*VLOOKUP(G360,Assumptions!$B$43:$C$45,2,FALSE)</f>
        <v/>
      </c>
      <c r="J360" s="25">
        <f>VLOOKUP(F360,Assumptions!$B$50:$D$59,2,FALSE)*VLOOKUP("SI-T1",Assumptions!$B$27:$C$31,2,FALSE)*VLOOKUP(G360,Assumptions!$B$43:$C$45,2,FALSE)</f>
        <v/>
      </c>
    </row>
    <row r="361">
      <c r="B361" s="7" t="inlineStr">
        <is>
          <t>RC-0356</t>
        </is>
      </c>
      <c r="C361" s="11" t="inlineStr">
        <is>
          <t>Managed Services</t>
        </is>
      </c>
      <c r="D361" s="7" t="inlineStr">
        <is>
          <t>L3 Support Engineer</t>
        </is>
      </c>
      <c r="E361" s="11" t="inlineStr">
        <is>
          <t>AMS L3</t>
        </is>
      </c>
      <c r="F361" s="11" t="inlineStr">
        <is>
          <t>Senior</t>
        </is>
      </c>
      <c r="G361" s="21" t="inlineStr">
        <is>
          <t>High</t>
        </is>
      </c>
      <c r="H361" s="23">
        <f>VLOOKUP(F361,'Internal Cost Model'!$B$6:$F$15,5,FALSE)</f>
        <v/>
      </c>
      <c r="I361" s="24">
        <f>H361*VLOOKUP(G361,Assumptions!$B$43:$C$45,2,FALSE)</f>
        <v/>
      </c>
      <c r="J361" s="25">
        <f>VLOOKUP(F361,Assumptions!$B$50:$D$59,2,FALSE)*VLOOKUP("SI-T1",Assumptions!$B$27:$C$31,2,FALSE)*VLOOKUP(G361,Assumptions!$B$43:$C$45,2,FALSE)</f>
        <v/>
      </c>
    </row>
    <row r="362">
      <c r="B362" s="7" t="inlineStr">
        <is>
          <t>RC-0357</t>
        </is>
      </c>
      <c r="C362" s="11" t="inlineStr">
        <is>
          <t>Managed Services</t>
        </is>
      </c>
      <c r="D362" s="7" t="inlineStr">
        <is>
          <t>L2 Support Engineer</t>
        </is>
      </c>
      <c r="E362" s="11" t="inlineStr">
        <is>
          <t>AMS L2</t>
        </is>
      </c>
      <c r="F362" s="11" t="inlineStr">
        <is>
          <t>Senior</t>
        </is>
      </c>
      <c r="G362" s="21" t="inlineStr">
        <is>
          <t>Medium</t>
        </is>
      </c>
      <c r="H362" s="23">
        <f>VLOOKUP(F362,'Internal Cost Model'!$B$6:$F$15,5,FALSE)</f>
        <v/>
      </c>
      <c r="I362" s="24">
        <f>H362*VLOOKUP(G362,Assumptions!$B$43:$C$45,2,FALSE)</f>
        <v/>
      </c>
      <c r="J362" s="25">
        <f>VLOOKUP(F362,Assumptions!$B$50:$D$59,2,FALSE)*VLOOKUP("SI-T1",Assumptions!$B$27:$C$31,2,FALSE)*VLOOKUP(G362,Assumptions!$B$43:$C$45,2,FALSE)</f>
        <v/>
      </c>
    </row>
    <row r="363">
      <c r="B363" s="7" t="inlineStr">
        <is>
          <t>RC-0358</t>
        </is>
      </c>
      <c r="C363" s="11" t="inlineStr">
        <is>
          <t>Managed Services</t>
        </is>
      </c>
      <c r="D363" s="7" t="inlineStr">
        <is>
          <t>L2 Support Engineer</t>
        </is>
      </c>
      <c r="E363" s="11" t="inlineStr">
        <is>
          <t>AMS L2</t>
        </is>
      </c>
      <c r="F363" s="11" t="inlineStr">
        <is>
          <t>Intermediate</t>
        </is>
      </c>
      <c r="G363" s="21" t="inlineStr">
        <is>
          <t>Medium</t>
        </is>
      </c>
      <c r="H363" s="23">
        <f>VLOOKUP(F363,'Internal Cost Model'!$B$6:$F$15,5,FALSE)</f>
        <v/>
      </c>
      <c r="I363" s="24">
        <f>H363*VLOOKUP(G363,Assumptions!$B$43:$C$45,2,FALSE)</f>
        <v/>
      </c>
      <c r="J363" s="25">
        <f>VLOOKUP(F363,Assumptions!$B$50:$D$59,2,FALSE)*VLOOKUP("SI-T1",Assumptions!$B$27:$C$31,2,FALSE)*VLOOKUP(G363,Assumptions!$B$43:$C$45,2,FALSE)</f>
        <v/>
      </c>
    </row>
    <row r="364">
      <c r="B364" s="7" t="inlineStr">
        <is>
          <t>RC-0359</t>
        </is>
      </c>
      <c r="C364" s="11" t="inlineStr">
        <is>
          <t>Managed Services</t>
        </is>
      </c>
      <c r="D364" s="7" t="inlineStr">
        <is>
          <t>L1 Support Analyst</t>
        </is>
      </c>
      <c r="E364" s="11" t="inlineStr">
        <is>
          <t>AMS L1</t>
        </is>
      </c>
      <c r="F364" s="11" t="inlineStr">
        <is>
          <t>Intermediate</t>
        </is>
      </c>
      <c r="G364" s="21" t="inlineStr">
        <is>
          <t>Low</t>
        </is>
      </c>
      <c r="H364" s="23">
        <f>VLOOKUP(F364,'Internal Cost Model'!$B$6:$F$15,5,FALSE)</f>
        <v/>
      </c>
      <c r="I364" s="24">
        <f>H364*VLOOKUP(G364,Assumptions!$B$43:$C$45,2,FALSE)</f>
        <v/>
      </c>
      <c r="J364" s="25">
        <f>VLOOKUP(F364,Assumptions!$B$50:$D$59,2,FALSE)*VLOOKUP("SI-T1",Assumptions!$B$27:$C$31,2,FALSE)*VLOOKUP(G364,Assumptions!$B$43:$C$45,2,FALSE)</f>
        <v/>
      </c>
    </row>
    <row r="365">
      <c r="B365" s="7" t="inlineStr">
        <is>
          <t>RC-0360</t>
        </is>
      </c>
      <c r="C365" s="11" t="inlineStr">
        <is>
          <t>Managed Services</t>
        </is>
      </c>
      <c r="D365" s="7" t="inlineStr">
        <is>
          <t>L1 Support Analyst</t>
        </is>
      </c>
      <c r="E365" s="11" t="inlineStr">
        <is>
          <t>AMS L1</t>
        </is>
      </c>
      <c r="F365" s="11" t="inlineStr">
        <is>
          <t>Junior</t>
        </is>
      </c>
      <c r="G365" s="21" t="inlineStr">
        <is>
          <t>Low</t>
        </is>
      </c>
      <c r="H365" s="23">
        <f>VLOOKUP(F365,'Internal Cost Model'!$B$6:$F$15,5,FALSE)</f>
        <v/>
      </c>
      <c r="I365" s="24">
        <f>H365*VLOOKUP(G365,Assumptions!$B$43:$C$45,2,FALSE)</f>
        <v/>
      </c>
      <c r="J365" s="25">
        <f>VLOOKUP(F365,Assumptions!$B$50:$D$59,2,FALSE)*VLOOKUP("SI-T1",Assumptions!$B$27:$C$31,2,FALSE)*VLOOKUP(G365,Assumptions!$B$43:$C$45,2,FALSE)</f>
        <v/>
      </c>
    </row>
    <row r="366">
      <c r="B366" s="7" t="inlineStr">
        <is>
          <t>RC-0361</t>
        </is>
      </c>
      <c r="C366" s="11" t="inlineStr">
        <is>
          <t>Legacy &amp; Mainframe</t>
        </is>
      </c>
      <c r="D366" s="7" t="inlineStr">
        <is>
          <t>Mainframe Architect</t>
        </is>
      </c>
      <c r="E366" s="11" t="inlineStr">
        <is>
          <t>Mainframe</t>
        </is>
      </c>
      <c r="F366" s="11" t="inlineStr">
        <is>
          <t>Director</t>
        </is>
      </c>
      <c r="G366" s="21" t="inlineStr">
        <is>
          <t>High</t>
        </is>
      </c>
      <c r="H366" s="23">
        <f>VLOOKUP(F366,'Internal Cost Model'!$B$6:$F$15,5,FALSE)</f>
        <v/>
      </c>
      <c r="I366" s="24">
        <f>H366*VLOOKUP(G366,Assumptions!$B$43:$C$45,2,FALSE)</f>
        <v/>
      </c>
      <c r="J366" s="25">
        <f>VLOOKUP(F366,Assumptions!$B$50:$D$59,2,FALSE)*VLOOKUP("SI-T1",Assumptions!$B$27:$C$31,2,FALSE)*VLOOKUP(G366,Assumptions!$B$43:$C$45,2,FALSE)</f>
        <v/>
      </c>
    </row>
    <row r="367">
      <c r="B367" s="7" t="inlineStr">
        <is>
          <t>RC-0362</t>
        </is>
      </c>
      <c r="C367" s="11" t="inlineStr">
        <is>
          <t>Legacy &amp; Mainframe</t>
        </is>
      </c>
      <c r="D367" s="7" t="inlineStr">
        <is>
          <t>Mainframe Architect</t>
        </is>
      </c>
      <c r="E367" s="11" t="inlineStr">
        <is>
          <t>Mainframe</t>
        </is>
      </c>
      <c r="F367" s="11" t="inlineStr">
        <is>
          <t>Senior Manager</t>
        </is>
      </c>
      <c r="G367" s="21" t="inlineStr">
        <is>
          <t>High</t>
        </is>
      </c>
      <c r="H367" s="23">
        <f>VLOOKUP(F367,'Internal Cost Model'!$B$6:$F$15,5,FALSE)</f>
        <v/>
      </c>
      <c r="I367" s="24">
        <f>H367*VLOOKUP(G367,Assumptions!$B$43:$C$45,2,FALSE)</f>
        <v/>
      </c>
      <c r="J367" s="25">
        <f>VLOOKUP(F367,Assumptions!$B$50:$D$59,2,FALSE)*VLOOKUP("SI-T1",Assumptions!$B$27:$C$31,2,FALSE)*VLOOKUP(G367,Assumptions!$B$43:$C$45,2,FALSE)</f>
        <v/>
      </c>
    </row>
    <row r="368">
      <c r="B368" s="7" t="inlineStr">
        <is>
          <t>RC-0363</t>
        </is>
      </c>
      <c r="C368" s="11" t="inlineStr">
        <is>
          <t>Legacy &amp; Mainframe</t>
        </is>
      </c>
      <c r="D368" s="7" t="inlineStr">
        <is>
          <t>Mainframe Architect</t>
        </is>
      </c>
      <c r="E368" s="11" t="inlineStr">
        <is>
          <t>Mainframe</t>
        </is>
      </c>
      <c r="F368" s="11" t="inlineStr">
        <is>
          <t>Manager</t>
        </is>
      </c>
      <c r="G368" s="21" t="inlineStr">
        <is>
          <t>High</t>
        </is>
      </c>
      <c r="H368" s="23">
        <f>VLOOKUP(F368,'Internal Cost Model'!$B$6:$F$15,5,FALSE)</f>
        <v/>
      </c>
      <c r="I368" s="24">
        <f>H368*VLOOKUP(G368,Assumptions!$B$43:$C$45,2,FALSE)</f>
        <v/>
      </c>
      <c r="J368" s="25">
        <f>VLOOKUP(F368,Assumptions!$B$50:$D$59,2,FALSE)*VLOOKUP("SI-T1",Assumptions!$B$27:$C$31,2,FALSE)*VLOOKUP(G368,Assumptions!$B$43:$C$45,2,FALSE)</f>
        <v/>
      </c>
    </row>
    <row r="369">
      <c r="B369" s="7" t="inlineStr">
        <is>
          <t>RC-0364</t>
        </is>
      </c>
      <c r="C369" s="11" t="inlineStr">
        <is>
          <t>Legacy &amp; Mainframe</t>
        </is>
      </c>
      <c r="D369" s="7" t="inlineStr">
        <is>
          <t>Mainframe Architect</t>
        </is>
      </c>
      <c r="E369" s="11" t="inlineStr">
        <is>
          <t>Mainframe</t>
        </is>
      </c>
      <c r="F369" s="11" t="inlineStr">
        <is>
          <t>Lead</t>
        </is>
      </c>
      <c r="G369" s="21" t="inlineStr">
        <is>
          <t>High</t>
        </is>
      </c>
      <c r="H369" s="23">
        <f>VLOOKUP(F369,'Internal Cost Model'!$B$6:$F$15,5,FALSE)</f>
        <v/>
      </c>
      <c r="I369" s="24">
        <f>H369*VLOOKUP(G369,Assumptions!$B$43:$C$45,2,FALSE)</f>
        <v/>
      </c>
      <c r="J369" s="25">
        <f>VLOOKUP(F369,Assumptions!$B$50:$D$59,2,FALSE)*VLOOKUP("SI-T1",Assumptions!$B$27:$C$31,2,FALSE)*VLOOKUP(G369,Assumptions!$B$43:$C$45,2,FALSE)</f>
        <v/>
      </c>
    </row>
    <row r="370">
      <c r="B370" s="7" t="inlineStr">
        <is>
          <t>RC-0365</t>
        </is>
      </c>
      <c r="C370" s="11" t="inlineStr">
        <is>
          <t>Legacy &amp; Mainframe</t>
        </is>
      </c>
      <c r="D370" s="7" t="inlineStr">
        <is>
          <t>COBOL Architect</t>
        </is>
      </c>
      <c r="E370" s="11" t="inlineStr">
        <is>
          <t>COBOL</t>
        </is>
      </c>
      <c r="F370" s="11" t="inlineStr">
        <is>
          <t>Senior Manager</t>
        </is>
      </c>
      <c r="G370" s="21" t="inlineStr">
        <is>
          <t>High</t>
        </is>
      </c>
      <c r="H370" s="23">
        <f>VLOOKUP(F370,'Internal Cost Model'!$B$6:$F$15,5,FALSE)</f>
        <v/>
      </c>
      <c r="I370" s="24">
        <f>H370*VLOOKUP(G370,Assumptions!$B$43:$C$45,2,FALSE)</f>
        <v/>
      </c>
      <c r="J370" s="25">
        <f>VLOOKUP(F370,Assumptions!$B$50:$D$59,2,FALSE)*VLOOKUP("SI-T1",Assumptions!$B$27:$C$31,2,FALSE)*VLOOKUP(G370,Assumptions!$B$43:$C$45,2,FALSE)</f>
        <v/>
      </c>
    </row>
    <row r="371">
      <c r="B371" s="7" t="inlineStr">
        <is>
          <t>RC-0366</t>
        </is>
      </c>
      <c r="C371" s="11" t="inlineStr">
        <is>
          <t>Legacy &amp; Mainframe</t>
        </is>
      </c>
      <c r="D371" s="7" t="inlineStr">
        <is>
          <t>COBOL Architect</t>
        </is>
      </c>
      <c r="E371" s="11" t="inlineStr">
        <is>
          <t>COBOL</t>
        </is>
      </c>
      <c r="F371" s="11" t="inlineStr">
        <is>
          <t>Manager</t>
        </is>
      </c>
      <c r="G371" s="21" t="inlineStr">
        <is>
          <t>High</t>
        </is>
      </c>
      <c r="H371" s="23">
        <f>VLOOKUP(F371,'Internal Cost Model'!$B$6:$F$15,5,FALSE)</f>
        <v/>
      </c>
      <c r="I371" s="24">
        <f>H371*VLOOKUP(G371,Assumptions!$B$43:$C$45,2,FALSE)</f>
        <v/>
      </c>
      <c r="J371" s="25">
        <f>VLOOKUP(F371,Assumptions!$B$50:$D$59,2,FALSE)*VLOOKUP("SI-T1",Assumptions!$B$27:$C$31,2,FALSE)*VLOOKUP(G371,Assumptions!$B$43:$C$45,2,FALSE)</f>
        <v/>
      </c>
    </row>
    <row r="372">
      <c r="B372" s="7" t="inlineStr">
        <is>
          <t>RC-0367</t>
        </is>
      </c>
      <c r="C372" s="11" t="inlineStr">
        <is>
          <t>Legacy &amp; Mainframe</t>
        </is>
      </c>
      <c r="D372" s="7" t="inlineStr">
        <is>
          <t>COBOL Architect</t>
        </is>
      </c>
      <c r="E372" s="11" t="inlineStr">
        <is>
          <t>COBOL</t>
        </is>
      </c>
      <c r="F372" s="11" t="inlineStr">
        <is>
          <t>Lead</t>
        </is>
      </c>
      <c r="G372" s="21" t="inlineStr">
        <is>
          <t>High</t>
        </is>
      </c>
      <c r="H372" s="23">
        <f>VLOOKUP(F372,'Internal Cost Model'!$B$6:$F$15,5,FALSE)</f>
        <v/>
      </c>
      <c r="I372" s="24">
        <f>H372*VLOOKUP(G372,Assumptions!$B$43:$C$45,2,FALSE)</f>
        <v/>
      </c>
      <c r="J372" s="25">
        <f>VLOOKUP(F372,Assumptions!$B$50:$D$59,2,FALSE)*VLOOKUP("SI-T1",Assumptions!$B$27:$C$31,2,FALSE)*VLOOKUP(G372,Assumptions!$B$43:$C$45,2,FALSE)</f>
        <v/>
      </c>
    </row>
    <row r="373">
      <c r="B373" s="7" t="inlineStr">
        <is>
          <t>RC-0368</t>
        </is>
      </c>
      <c r="C373" s="11" t="inlineStr">
        <is>
          <t>Legacy &amp; Mainframe</t>
        </is>
      </c>
      <c r="D373" s="7" t="inlineStr">
        <is>
          <t>COBOL Engineer</t>
        </is>
      </c>
      <c r="E373" s="11" t="inlineStr">
        <is>
          <t>COBOL</t>
        </is>
      </c>
      <c r="F373" s="11" t="inlineStr">
        <is>
          <t>Senior</t>
        </is>
      </c>
      <c r="G373" s="21" t="inlineStr">
        <is>
          <t>High</t>
        </is>
      </c>
      <c r="H373" s="23">
        <f>VLOOKUP(F373,'Internal Cost Model'!$B$6:$F$15,5,FALSE)</f>
        <v/>
      </c>
      <c r="I373" s="24">
        <f>H373*VLOOKUP(G373,Assumptions!$B$43:$C$45,2,FALSE)</f>
        <v/>
      </c>
      <c r="J373" s="25">
        <f>VLOOKUP(F373,Assumptions!$B$50:$D$59,2,FALSE)*VLOOKUP("SI-T1",Assumptions!$B$27:$C$31,2,FALSE)*VLOOKUP(G373,Assumptions!$B$43:$C$45,2,FALSE)</f>
        <v/>
      </c>
    </row>
    <row r="374">
      <c r="B374" s="7" t="inlineStr">
        <is>
          <t>RC-0369</t>
        </is>
      </c>
      <c r="C374" s="11" t="inlineStr">
        <is>
          <t>Legacy &amp; Mainframe</t>
        </is>
      </c>
      <c r="D374" s="7" t="inlineStr">
        <is>
          <t>COBOL Engineer</t>
        </is>
      </c>
      <c r="E374" s="11" t="inlineStr">
        <is>
          <t>COBOL</t>
        </is>
      </c>
      <c r="F374" s="11" t="inlineStr">
        <is>
          <t>Intermediate</t>
        </is>
      </c>
      <c r="G374" s="21" t="inlineStr">
        <is>
          <t>High</t>
        </is>
      </c>
      <c r="H374" s="23">
        <f>VLOOKUP(F374,'Internal Cost Model'!$B$6:$F$15,5,FALSE)</f>
        <v/>
      </c>
      <c r="I374" s="24">
        <f>H374*VLOOKUP(G374,Assumptions!$B$43:$C$45,2,FALSE)</f>
        <v/>
      </c>
      <c r="J374" s="25">
        <f>VLOOKUP(F374,Assumptions!$B$50:$D$59,2,FALSE)*VLOOKUP("SI-T1",Assumptions!$B$27:$C$31,2,FALSE)*VLOOKUP(G374,Assumptions!$B$43:$C$45,2,FALSE)</f>
        <v/>
      </c>
    </row>
    <row r="375">
      <c r="B375" s="7" t="inlineStr">
        <is>
          <t>RC-0370</t>
        </is>
      </c>
      <c r="C375" s="11" t="inlineStr">
        <is>
          <t>Legacy &amp; Mainframe</t>
        </is>
      </c>
      <c r="D375" s="7" t="inlineStr">
        <is>
          <t>z/OS Engineer</t>
        </is>
      </c>
      <c r="E375" s="11" t="inlineStr">
        <is>
          <t>z/OS</t>
        </is>
      </c>
      <c r="F375" s="11" t="inlineStr">
        <is>
          <t>Lead</t>
        </is>
      </c>
      <c r="G375" s="21" t="inlineStr">
        <is>
          <t>High</t>
        </is>
      </c>
      <c r="H375" s="23">
        <f>VLOOKUP(F375,'Internal Cost Model'!$B$6:$F$15,5,FALSE)</f>
        <v/>
      </c>
      <c r="I375" s="24">
        <f>H375*VLOOKUP(G375,Assumptions!$B$43:$C$45,2,FALSE)</f>
        <v/>
      </c>
      <c r="J375" s="25">
        <f>VLOOKUP(F375,Assumptions!$B$50:$D$59,2,FALSE)*VLOOKUP("SI-T1",Assumptions!$B$27:$C$31,2,FALSE)*VLOOKUP(G375,Assumptions!$B$43:$C$45,2,FALSE)</f>
        <v/>
      </c>
    </row>
    <row r="376">
      <c r="B376" s="7" t="inlineStr">
        <is>
          <t>RC-0371</t>
        </is>
      </c>
      <c r="C376" s="11" t="inlineStr">
        <is>
          <t>Legacy &amp; Mainframe</t>
        </is>
      </c>
      <c r="D376" s="7" t="inlineStr">
        <is>
          <t>z/OS Engineer</t>
        </is>
      </c>
      <c r="E376" s="11" t="inlineStr">
        <is>
          <t>z/OS</t>
        </is>
      </c>
      <c r="F376" s="11" t="inlineStr">
        <is>
          <t>Senior</t>
        </is>
      </c>
      <c r="G376" s="21" t="inlineStr">
        <is>
          <t>High</t>
        </is>
      </c>
      <c r="H376" s="23">
        <f>VLOOKUP(F376,'Internal Cost Model'!$B$6:$F$15,5,FALSE)</f>
        <v/>
      </c>
      <c r="I376" s="24">
        <f>H376*VLOOKUP(G376,Assumptions!$B$43:$C$45,2,FALSE)</f>
        <v/>
      </c>
      <c r="J376" s="25">
        <f>VLOOKUP(F376,Assumptions!$B$50:$D$59,2,FALSE)*VLOOKUP("SI-T1",Assumptions!$B$27:$C$31,2,FALSE)*VLOOKUP(G376,Assumptions!$B$43:$C$45,2,FALSE)</f>
        <v/>
      </c>
    </row>
    <row r="377">
      <c r="B377" s="7" t="inlineStr">
        <is>
          <t>RC-0372</t>
        </is>
      </c>
      <c r="C377" s="11" t="inlineStr">
        <is>
          <t>Change Management</t>
        </is>
      </c>
      <c r="D377" s="7" t="inlineStr">
        <is>
          <t>OCM Lead</t>
        </is>
      </c>
      <c r="E377" s="11" t="inlineStr">
        <is>
          <t>Organizational Change</t>
        </is>
      </c>
      <c r="F377" s="11" t="inlineStr">
        <is>
          <t>Director</t>
        </is>
      </c>
      <c r="G377" s="21" t="inlineStr">
        <is>
          <t>Medium</t>
        </is>
      </c>
      <c r="H377" s="23">
        <f>VLOOKUP(F377,'Internal Cost Model'!$B$6:$F$15,5,FALSE)</f>
        <v/>
      </c>
      <c r="I377" s="24">
        <f>H377*VLOOKUP(G377,Assumptions!$B$43:$C$45,2,FALSE)</f>
        <v/>
      </c>
      <c r="J377" s="25">
        <f>VLOOKUP(F377,Assumptions!$B$50:$D$59,2,FALSE)*VLOOKUP("SI-T1",Assumptions!$B$27:$C$31,2,FALSE)*VLOOKUP(G377,Assumptions!$B$43:$C$45,2,FALSE)</f>
        <v/>
      </c>
    </row>
    <row r="378">
      <c r="B378" s="7" t="inlineStr">
        <is>
          <t>RC-0373</t>
        </is>
      </c>
      <c r="C378" s="11" t="inlineStr">
        <is>
          <t>Change Management</t>
        </is>
      </c>
      <c r="D378" s="7" t="inlineStr">
        <is>
          <t>OCM Lead</t>
        </is>
      </c>
      <c r="E378" s="11" t="inlineStr">
        <is>
          <t>Organizational Change</t>
        </is>
      </c>
      <c r="F378" s="11" t="inlineStr">
        <is>
          <t>Senior Manager</t>
        </is>
      </c>
      <c r="G378" s="21" t="inlineStr">
        <is>
          <t>Medium</t>
        </is>
      </c>
      <c r="H378" s="23">
        <f>VLOOKUP(F378,'Internal Cost Model'!$B$6:$F$15,5,FALSE)</f>
        <v/>
      </c>
      <c r="I378" s="24">
        <f>H378*VLOOKUP(G378,Assumptions!$B$43:$C$45,2,FALSE)</f>
        <v/>
      </c>
      <c r="J378" s="25">
        <f>VLOOKUP(F378,Assumptions!$B$50:$D$59,2,FALSE)*VLOOKUP("SI-T1",Assumptions!$B$27:$C$31,2,FALSE)*VLOOKUP(G378,Assumptions!$B$43:$C$45,2,FALSE)</f>
        <v/>
      </c>
    </row>
    <row r="379">
      <c r="B379" s="7" t="inlineStr">
        <is>
          <t>RC-0374</t>
        </is>
      </c>
      <c r="C379" s="11" t="inlineStr">
        <is>
          <t>Change Management</t>
        </is>
      </c>
      <c r="D379" s="7" t="inlineStr">
        <is>
          <t>OCM Lead</t>
        </is>
      </c>
      <c r="E379" s="11" t="inlineStr">
        <is>
          <t>Organizational Change</t>
        </is>
      </c>
      <c r="F379" s="11" t="inlineStr">
        <is>
          <t>Manager</t>
        </is>
      </c>
      <c r="G379" s="21" t="inlineStr">
        <is>
          <t>Medium</t>
        </is>
      </c>
      <c r="H379" s="23">
        <f>VLOOKUP(F379,'Internal Cost Model'!$B$6:$F$15,5,FALSE)</f>
        <v/>
      </c>
      <c r="I379" s="24">
        <f>H379*VLOOKUP(G379,Assumptions!$B$43:$C$45,2,FALSE)</f>
        <v/>
      </c>
      <c r="J379" s="25">
        <f>VLOOKUP(F379,Assumptions!$B$50:$D$59,2,FALSE)*VLOOKUP("SI-T1",Assumptions!$B$27:$C$31,2,FALSE)*VLOOKUP(G379,Assumptions!$B$43:$C$45,2,FALSE)</f>
        <v/>
      </c>
    </row>
    <row r="380">
      <c r="B380" s="7" t="inlineStr">
        <is>
          <t>RC-0375</t>
        </is>
      </c>
      <c r="C380" s="11" t="inlineStr">
        <is>
          <t>Change Management</t>
        </is>
      </c>
      <c r="D380" s="7" t="inlineStr">
        <is>
          <t>Training Lead</t>
        </is>
      </c>
      <c r="E380" s="11" t="inlineStr">
        <is>
          <t>Training</t>
        </is>
      </c>
      <c r="F380" s="11" t="inlineStr">
        <is>
          <t>Senior Manager</t>
        </is>
      </c>
      <c r="G380" s="21" t="inlineStr">
        <is>
          <t>Low</t>
        </is>
      </c>
      <c r="H380" s="23">
        <f>VLOOKUP(F380,'Internal Cost Model'!$B$6:$F$15,5,FALSE)</f>
        <v/>
      </c>
      <c r="I380" s="24">
        <f>H380*VLOOKUP(G380,Assumptions!$B$43:$C$45,2,FALSE)</f>
        <v/>
      </c>
      <c r="J380" s="25">
        <f>VLOOKUP(F380,Assumptions!$B$50:$D$59,2,FALSE)*VLOOKUP("SI-T1",Assumptions!$B$27:$C$31,2,FALSE)*VLOOKUP(G380,Assumptions!$B$43:$C$45,2,FALSE)</f>
        <v/>
      </c>
    </row>
    <row r="381">
      <c r="B381" s="7" t="inlineStr">
        <is>
          <t>RC-0376</t>
        </is>
      </c>
      <c r="C381" s="11" t="inlineStr">
        <is>
          <t>Change Management</t>
        </is>
      </c>
      <c r="D381" s="7" t="inlineStr">
        <is>
          <t>Training Lead</t>
        </is>
      </c>
      <c r="E381" s="11" t="inlineStr">
        <is>
          <t>Training</t>
        </is>
      </c>
      <c r="F381" s="11" t="inlineStr">
        <is>
          <t>Manager</t>
        </is>
      </c>
      <c r="G381" s="21" t="inlineStr">
        <is>
          <t>Low</t>
        </is>
      </c>
      <c r="H381" s="23">
        <f>VLOOKUP(F381,'Internal Cost Model'!$B$6:$F$15,5,FALSE)</f>
        <v/>
      </c>
      <c r="I381" s="24">
        <f>H381*VLOOKUP(G381,Assumptions!$B$43:$C$45,2,FALSE)</f>
        <v/>
      </c>
      <c r="J381" s="25">
        <f>VLOOKUP(F381,Assumptions!$B$50:$D$59,2,FALSE)*VLOOKUP("SI-T1",Assumptions!$B$27:$C$31,2,FALSE)*VLOOKUP(G381,Assumptions!$B$43:$C$45,2,FALSE)</f>
        <v/>
      </c>
    </row>
    <row r="382">
      <c r="B382" s="7" t="inlineStr">
        <is>
          <t>RC-0377</t>
        </is>
      </c>
      <c r="C382" s="11" t="inlineStr">
        <is>
          <t>Change Management</t>
        </is>
      </c>
      <c r="D382" s="7" t="inlineStr">
        <is>
          <t>Training Lead</t>
        </is>
      </c>
      <c r="E382" s="11" t="inlineStr">
        <is>
          <t>Training</t>
        </is>
      </c>
      <c r="F382" s="11" t="inlineStr">
        <is>
          <t>Lead</t>
        </is>
      </c>
      <c r="G382" s="21" t="inlineStr">
        <is>
          <t>Low</t>
        </is>
      </c>
      <c r="H382" s="23">
        <f>VLOOKUP(F382,'Internal Cost Model'!$B$6:$F$15,5,FALSE)</f>
        <v/>
      </c>
      <c r="I382" s="24">
        <f>H382*VLOOKUP(G382,Assumptions!$B$43:$C$45,2,FALSE)</f>
        <v/>
      </c>
      <c r="J382" s="25">
        <f>VLOOKUP(F382,Assumptions!$B$50:$D$59,2,FALSE)*VLOOKUP("SI-T1",Assumptions!$B$27:$C$31,2,FALSE)*VLOOKUP(G382,Assumptions!$B$43:$C$45,2,FALSE)</f>
        <v/>
      </c>
    </row>
    <row r="383">
      <c r="B383" s="7" t="inlineStr">
        <is>
          <t>RC-0378</t>
        </is>
      </c>
      <c r="C383" s="11" t="inlineStr">
        <is>
          <t>Change Management</t>
        </is>
      </c>
      <c r="D383" s="7" t="inlineStr">
        <is>
          <t>Communications Lead</t>
        </is>
      </c>
      <c r="E383" s="11" t="inlineStr">
        <is>
          <t>Communications</t>
        </is>
      </c>
      <c r="F383" s="11" t="inlineStr">
        <is>
          <t>Senior Manager</t>
        </is>
      </c>
      <c r="G383" s="21" t="inlineStr">
        <is>
          <t>Low</t>
        </is>
      </c>
      <c r="H383" s="23">
        <f>VLOOKUP(F383,'Internal Cost Model'!$B$6:$F$15,5,FALSE)</f>
        <v/>
      </c>
      <c r="I383" s="24">
        <f>H383*VLOOKUP(G383,Assumptions!$B$43:$C$45,2,FALSE)</f>
        <v/>
      </c>
      <c r="J383" s="25">
        <f>VLOOKUP(F383,Assumptions!$B$50:$D$59,2,FALSE)*VLOOKUP("SI-T1",Assumptions!$B$27:$C$31,2,FALSE)*VLOOKUP(G383,Assumptions!$B$43:$C$45,2,FALSE)</f>
        <v/>
      </c>
    </row>
    <row r="384">
      <c r="B384" s="7" t="inlineStr">
        <is>
          <t>RC-0379</t>
        </is>
      </c>
      <c r="C384" s="11" t="inlineStr">
        <is>
          <t>Change Management</t>
        </is>
      </c>
      <c r="D384" s="7" t="inlineStr">
        <is>
          <t>Communications Lead</t>
        </is>
      </c>
      <c r="E384" s="11" t="inlineStr">
        <is>
          <t>Communications</t>
        </is>
      </c>
      <c r="F384" s="11" t="inlineStr">
        <is>
          <t>Manager</t>
        </is>
      </c>
      <c r="G384" s="21" t="inlineStr">
        <is>
          <t>Low</t>
        </is>
      </c>
      <c r="H384" s="23">
        <f>VLOOKUP(F384,'Internal Cost Model'!$B$6:$F$15,5,FALSE)</f>
        <v/>
      </c>
      <c r="I384" s="24">
        <f>H384*VLOOKUP(G384,Assumptions!$B$43:$C$45,2,FALSE)</f>
        <v/>
      </c>
      <c r="J384" s="25">
        <f>VLOOKUP(F384,Assumptions!$B$50:$D$59,2,FALSE)*VLOOKUP("SI-T1",Assumptions!$B$27:$C$31,2,FALSE)*VLOOKUP(G384,Assumptions!$B$43:$C$45,2,FALSE)</f>
        <v/>
      </c>
    </row>
    <row r="385">
      <c r="B385" s="7" t="inlineStr">
        <is>
          <t>RC-0380</t>
        </is>
      </c>
      <c r="C385" s="11" t="inlineStr">
        <is>
          <t>Change Management</t>
        </is>
      </c>
      <c r="D385" s="7" t="inlineStr">
        <is>
          <t>Communications Lead</t>
        </is>
      </c>
      <c r="E385" s="11" t="inlineStr">
        <is>
          <t>Communications</t>
        </is>
      </c>
      <c r="F385" s="11" t="inlineStr">
        <is>
          <t>Lead</t>
        </is>
      </c>
      <c r="G385" s="21" t="inlineStr">
        <is>
          <t>Low</t>
        </is>
      </c>
      <c r="H385" s="23">
        <f>VLOOKUP(F385,'Internal Cost Model'!$B$6:$F$15,5,FALSE)</f>
        <v/>
      </c>
      <c r="I385" s="24">
        <f>H385*VLOOKUP(G385,Assumptions!$B$43:$C$45,2,FALSE)</f>
        <v/>
      </c>
      <c r="J385" s="25">
        <f>VLOOKUP(F385,Assumptions!$B$50:$D$59,2,FALSE)*VLOOKUP("SI-T1",Assumptions!$B$27:$C$31,2,FALSE)*VLOOKUP(G385,Assumptions!$B$43:$C$45,2,FALSE)</f>
        <v/>
      </c>
    </row>
    <row r="386">
      <c r="B386" s="7" t="inlineStr">
        <is>
          <t>RC-0381</t>
        </is>
      </c>
      <c r="C386" s="11" t="inlineStr">
        <is>
          <t>Change Management</t>
        </is>
      </c>
      <c r="D386" s="7" t="inlineStr">
        <is>
          <t>Adoption Consultant</t>
        </is>
      </c>
      <c r="E386" s="11" t="inlineStr">
        <is>
          <t>Adoption</t>
        </is>
      </c>
      <c r="F386" s="11" t="inlineStr">
        <is>
          <t>Manager</t>
        </is>
      </c>
      <c r="G386" s="21" t="inlineStr">
        <is>
          <t>Medium</t>
        </is>
      </c>
      <c r="H386" s="23">
        <f>VLOOKUP(F386,'Internal Cost Model'!$B$6:$F$15,5,FALSE)</f>
        <v/>
      </c>
      <c r="I386" s="24">
        <f>H386*VLOOKUP(G386,Assumptions!$B$43:$C$45,2,FALSE)</f>
        <v/>
      </c>
      <c r="J386" s="25">
        <f>VLOOKUP(F386,Assumptions!$B$50:$D$59,2,FALSE)*VLOOKUP("SI-T1",Assumptions!$B$27:$C$31,2,FALSE)*VLOOKUP(G386,Assumptions!$B$43:$C$45,2,FALSE)</f>
        <v/>
      </c>
    </row>
    <row r="387">
      <c r="B387" s="7" t="inlineStr">
        <is>
          <t>RC-0382</t>
        </is>
      </c>
      <c r="C387" s="11" t="inlineStr">
        <is>
          <t>Change Management</t>
        </is>
      </c>
      <c r="D387" s="7" t="inlineStr">
        <is>
          <t>Adoption Consultant</t>
        </is>
      </c>
      <c r="E387" s="11" t="inlineStr">
        <is>
          <t>Adoption</t>
        </is>
      </c>
      <c r="F387" s="11" t="inlineStr">
        <is>
          <t>Lead</t>
        </is>
      </c>
      <c r="G387" s="21" t="inlineStr">
        <is>
          <t>Medium</t>
        </is>
      </c>
      <c r="H387" s="23">
        <f>VLOOKUP(F387,'Internal Cost Model'!$B$6:$F$15,5,FALSE)</f>
        <v/>
      </c>
      <c r="I387" s="24">
        <f>H387*VLOOKUP(G387,Assumptions!$B$43:$C$45,2,FALSE)</f>
        <v/>
      </c>
      <c r="J387" s="25">
        <f>VLOOKUP(F387,Assumptions!$B$50:$D$59,2,FALSE)*VLOOKUP("SI-T1",Assumptions!$B$27:$C$31,2,FALSE)*VLOOKUP(G387,Assumptions!$B$43:$C$45,2,FALSE)</f>
        <v/>
      </c>
    </row>
    <row r="388">
      <c r="B388" s="7" t="inlineStr">
        <is>
          <t>RC-0383</t>
        </is>
      </c>
      <c r="C388" s="11" t="inlineStr">
        <is>
          <t>Change Management</t>
        </is>
      </c>
      <c r="D388" s="7" t="inlineStr">
        <is>
          <t>Adoption Consultant</t>
        </is>
      </c>
      <c r="E388" s="11" t="inlineStr">
        <is>
          <t>Adoption</t>
        </is>
      </c>
      <c r="F388" s="11" t="inlineStr">
        <is>
          <t>Senior</t>
        </is>
      </c>
      <c r="G388" s="21" t="inlineStr">
        <is>
          <t>Medium</t>
        </is>
      </c>
      <c r="H388" s="23">
        <f>VLOOKUP(F388,'Internal Cost Model'!$B$6:$F$15,5,FALSE)</f>
        <v/>
      </c>
      <c r="I388" s="24">
        <f>H388*VLOOKUP(G388,Assumptions!$B$43:$C$45,2,FALSE)</f>
        <v/>
      </c>
      <c r="J388" s="25">
        <f>VLOOKUP(F388,Assumptions!$B$50:$D$59,2,FALSE)*VLOOKUP("SI-T1",Assumptions!$B$27:$C$31,2,FALSE)*VLOOKUP(G388,Assumptions!$B$43:$C$45,2,FALSE)</f>
        <v/>
      </c>
    </row>
    <row r="389">
      <c r="B389" s="7" t="inlineStr">
        <is>
          <t>RC-0384</t>
        </is>
      </c>
      <c r="C389" s="11" t="inlineStr">
        <is>
          <t>Program Management</t>
        </is>
      </c>
      <c r="D389" s="7" t="inlineStr">
        <is>
          <t>Program Director</t>
        </is>
      </c>
      <c r="E389" s="11" t="inlineStr">
        <is>
          <t>Program Delivery</t>
        </is>
      </c>
      <c r="F389" s="11" t="inlineStr">
        <is>
          <t>Principal</t>
        </is>
      </c>
      <c r="G389" s="21" t="inlineStr">
        <is>
          <t>Medium</t>
        </is>
      </c>
      <c r="H389" s="23">
        <f>VLOOKUP(F389,'Internal Cost Model'!$B$6:$F$15,5,FALSE)</f>
        <v/>
      </c>
      <c r="I389" s="24">
        <f>H389*VLOOKUP(G389,Assumptions!$B$43:$C$45,2,FALSE)</f>
        <v/>
      </c>
      <c r="J389" s="25">
        <f>VLOOKUP(F389,Assumptions!$B$50:$D$59,2,FALSE)*VLOOKUP("SI-T1",Assumptions!$B$27:$C$31,2,FALSE)*VLOOKUP(G389,Assumptions!$B$43:$C$45,2,FALSE)</f>
        <v/>
      </c>
    </row>
    <row r="390">
      <c r="B390" s="7" t="inlineStr">
        <is>
          <t>RC-0385</t>
        </is>
      </c>
      <c r="C390" s="11" t="inlineStr">
        <is>
          <t>Program Management</t>
        </is>
      </c>
      <c r="D390" s="7" t="inlineStr">
        <is>
          <t>Program Director</t>
        </is>
      </c>
      <c r="E390" s="11" t="inlineStr">
        <is>
          <t>Program Delivery</t>
        </is>
      </c>
      <c r="F390" s="11" t="inlineStr">
        <is>
          <t>Director</t>
        </is>
      </c>
      <c r="G390" s="21" t="inlineStr">
        <is>
          <t>Medium</t>
        </is>
      </c>
      <c r="H390" s="23">
        <f>VLOOKUP(F390,'Internal Cost Model'!$B$6:$F$15,5,FALSE)</f>
        <v/>
      </c>
      <c r="I390" s="24">
        <f>H390*VLOOKUP(G390,Assumptions!$B$43:$C$45,2,FALSE)</f>
        <v/>
      </c>
      <c r="J390" s="25">
        <f>VLOOKUP(F390,Assumptions!$B$50:$D$59,2,FALSE)*VLOOKUP("SI-T1",Assumptions!$B$27:$C$31,2,FALSE)*VLOOKUP(G390,Assumptions!$B$43:$C$45,2,FALSE)</f>
        <v/>
      </c>
    </row>
    <row r="391">
      <c r="B391" s="7" t="inlineStr">
        <is>
          <t>RC-0386</t>
        </is>
      </c>
      <c r="C391" s="11" t="inlineStr">
        <is>
          <t>Program Management</t>
        </is>
      </c>
      <c r="D391" s="7" t="inlineStr">
        <is>
          <t>Program Manager</t>
        </is>
      </c>
      <c r="E391" s="11" t="inlineStr">
        <is>
          <t>Program Delivery</t>
        </is>
      </c>
      <c r="F391" s="11" t="inlineStr">
        <is>
          <t>Director</t>
        </is>
      </c>
      <c r="G391" s="21" t="inlineStr">
        <is>
          <t>Medium</t>
        </is>
      </c>
      <c r="H391" s="23">
        <f>VLOOKUP(F391,'Internal Cost Model'!$B$6:$F$15,5,FALSE)</f>
        <v/>
      </c>
      <c r="I391" s="24">
        <f>H391*VLOOKUP(G391,Assumptions!$B$43:$C$45,2,FALSE)</f>
        <v/>
      </c>
      <c r="J391" s="25">
        <f>VLOOKUP(F391,Assumptions!$B$50:$D$59,2,FALSE)*VLOOKUP("SI-T1",Assumptions!$B$27:$C$31,2,FALSE)*VLOOKUP(G391,Assumptions!$B$43:$C$45,2,FALSE)</f>
        <v/>
      </c>
    </row>
    <row r="392">
      <c r="B392" s="7" t="inlineStr">
        <is>
          <t>RC-0387</t>
        </is>
      </c>
      <c r="C392" s="11" t="inlineStr">
        <is>
          <t>Program Management</t>
        </is>
      </c>
      <c r="D392" s="7" t="inlineStr">
        <is>
          <t>Program Manager</t>
        </is>
      </c>
      <c r="E392" s="11" t="inlineStr">
        <is>
          <t>Program Delivery</t>
        </is>
      </c>
      <c r="F392" s="11" t="inlineStr">
        <is>
          <t>Senior Manager</t>
        </is>
      </c>
      <c r="G392" s="21" t="inlineStr">
        <is>
          <t>Medium</t>
        </is>
      </c>
      <c r="H392" s="23">
        <f>VLOOKUP(F392,'Internal Cost Model'!$B$6:$F$15,5,FALSE)</f>
        <v/>
      </c>
      <c r="I392" s="24">
        <f>H392*VLOOKUP(G392,Assumptions!$B$43:$C$45,2,FALSE)</f>
        <v/>
      </c>
      <c r="J392" s="25">
        <f>VLOOKUP(F392,Assumptions!$B$50:$D$59,2,FALSE)*VLOOKUP("SI-T1",Assumptions!$B$27:$C$31,2,FALSE)*VLOOKUP(G392,Assumptions!$B$43:$C$45,2,FALSE)</f>
        <v/>
      </c>
    </row>
    <row r="393">
      <c r="B393" s="7" t="inlineStr">
        <is>
          <t>RC-0388</t>
        </is>
      </c>
      <c r="C393" s="11" t="inlineStr">
        <is>
          <t>Program Management</t>
        </is>
      </c>
      <c r="D393" s="7" t="inlineStr">
        <is>
          <t>Project Manager</t>
        </is>
      </c>
      <c r="E393" s="11" t="inlineStr">
        <is>
          <t>PMO</t>
        </is>
      </c>
      <c r="F393" s="11" t="inlineStr">
        <is>
          <t>Senior Manager</t>
        </is>
      </c>
      <c r="G393" s="21" t="inlineStr">
        <is>
          <t>Medium</t>
        </is>
      </c>
      <c r="H393" s="23">
        <f>VLOOKUP(F393,'Internal Cost Model'!$B$6:$F$15,5,FALSE)</f>
        <v/>
      </c>
      <c r="I393" s="24">
        <f>H393*VLOOKUP(G393,Assumptions!$B$43:$C$45,2,FALSE)</f>
        <v/>
      </c>
      <c r="J393" s="25">
        <f>VLOOKUP(F393,Assumptions!$B$50:$D$59,2,FALSE)*VLOOKUP("SI-T1",Assumptions!$B$27:$C$31,2,FALSE)*VLOOKUP(G393,Assumptions!$B$43:$C$45,2,FALSE)</f>
        <v/>
      </c>
    </row>
    <row r="394">
      <c r="B394" s="7" t="inlineStr">
        <is>
          <t>RC-0389</t>
        </is>
      </c>
      <c r="C394" s="11" t="inlineStr">
        <is>
          <t>Program Management</t>
        </is>
      </c>
      <c r="D394" s="7" t="inlineStr">
        <is>
          <t>Project Manager</t>
        </is>
      </c>
      <c r="E394" s="11" t="inlineStr">
        <is>
          <t>PMO</t>
        </is>
      </c>
      <c r="F394" s="11" t="inlineStr">
        <is>
          <t>Manager</t>
        </is>
      </c>
      <c r="G394" s="21" t="inlineStr">
        <is>
          <t>Medium</t>
        </is>
      </c>
      <c r="H394" s="23">
        <f>VLOOKUP(F394,'Internal Cost Model'!$B$6:$F$15,5,FALSE)</f>
        <v/>
      </c>
      <c r="I394" s="24">
        <f>H394*VLOOKUP(G394,Assumptions!$B$43:$C$45,2,FALSE)</f>
        <v/>
      </c>
      <c r="J394" s="25">
        <f>VLOOKUP(F394,Assumptions!$B$50:$D$59,2,FALSE)*VLOOKUP("SI-T1",Assumptions!$B$27:$C$31,2,FALSE)*VLOOKUP(G394,Assumptions!$B$43:$C$45,2,FALSE)</f>
        <v/>
      </c>
    </row>
    <row r="395">
      <c r="B395" s="7" t="inlineStr">
        <is>
          <t>RC-0390</t>
        </is>
      </c>
      <c r="C395" s="11" t="inlineStr">
        <is>
          <t>Program Management</t>
        </is>
      </c>
      <c r="D395" s="7" t="inlineStr">
        <is>
          <t>Scrum Master</t>
        </is>
      </c>
      <c r="E395" s="11" t="inlineStr">
        <is>
          <t>Agile Delivery</t>
        </is>
      </c>
      <c r="F395" s="11" t="inlineStr">
        <is>
          <t>Manager</t>
        </is>
      </c>
      <c r="G395" s="21" t="inlineStr">
        <is>
          <t>Medium</t>
        </is>
      </c>
      <c r="H395" s="23">
        <f>VLOOKUP(F395,'Internal Cost Model'!$B$6:$F$15,5,FALSE)</f>
        <v/>
      </c>
      <c r="I395" s="24">
        <f>H395*VLOOKUP(G395,Assumptions!$B$43:$C$45,2,FALSE)</f>
        <v/>
      </c>
      <c r="J395" s="25">
        <f>VLOOKUP(F395,Assumptions!$B$50:$D$59,2,FALSE)*VLOOKUP("SI-T1",Assumptions!$B$27:$C$31,2,FALSE)*VLOOKUP(G395,Assumptions!$B$43:$C$45,2,FALSE)</f>
        <v/>
      </c>
    </row>
    <row r="396">
      <c r="B396" s="7" t="inlineStr">
        <is>
          <t>RC-0391</t>
        </is>
      </c>
      <c r="C396" s="11" t="inlineStr">
        <is>
          <t>Program Management</t>
        </is>
      </c>
      <c r="D396" s="7" t="inlineStr">
        <is>
          <t>Scrum Master</t>
        </is>
      </c>
      <c r="E396" s="11" t="inlineStr">
        <is>
          <t>Agile Delivery</t>
        </is>
      </c>
      <c r="F396" s="11" t="inlineStr">
        <is>
          <t>Lead</t>
        </is>
      </c>
      <c r="G396" s="21" t="inlineStr">
        <is>
          <t>Medium</t>
        </is>
      </c>
      <c r="H396" s="23">
        <f>VLOOKUP(F396,'Internal Cost Model'!$B$6:$F$15,5,FALSE)</f>
        <v/>
      </c>
      <c r="I396" s="24">
        <f>H396*VLOOKUP(G396,Assumptions!$B$43:$C$45,2,FALSE)</f>
        <v/>
      </c>
      <c r="J396" s="25">
        <f>VLOOKUP(F396,Assumptions!$B$50:$D$59,2,FALSE)*VLOOKUP("SI-T1",Assumptions!$B$27:$C$31,2,FALSE)*VLOOKUP(G396,Assumptions!$B$43:$C$45,2,FALSE)</f>
        <v/>
      </c>
    </row>
    <row r="397">
      <c r="B397" s="7" t="inlineStr">
        <is>
          <t>RC-0392</t>
        </is>
      </c>
      <c r="C397" s="11" t="inlineStr">
        <is>
          <t>Program Management</t>
        </is>
      </c>
      <c r="D397" s="7" t="inlineStr">
        <is>
          <t>Scrum Master</t>
        </is>
      </c>
      <c r="E397" s="11" t="inlineStr">
        <is>
          <t>Agile Delivery</t>
        </is>
      </c>
      <c r="F397" s="11" t="inlineStr">
        <is>
          <t>Senior</t>
        </is>
      </c>
      <c r="G397" s="21" t="inlineStr">
        <is>
          <t>Medium</t>
        </is>
      </c>
      <c r="H397" s="23">
        <f>VLOOKUP(F397,'Internal Cost Model'!$B$6:$F$15,5,FALSE)</f>
        <v/>
      </c>
      <c r="I397" s="24">
        <f>H397*VLOOKUP(G397,Assumptions!$B$43:$C$45,2,FALSE)</f>
        <v/>
      </c>
      <c r="J397" s="25">
        <f>VLOOKUP(F397,Assumptions!$B$50:$D$59,2,FALSE)*VLOOKUP("SI-T1",Assumptions!$B$27:$C$31,2,FALSE)*VLOOKUP(G397,Assumptions!$B$43:$C$45,2,FALSE)</f>
        <v/>
      </c>
    </row>
    <row r="398">
      <c r="B398" s="7" t="inlineStr">
        <is>
          <t>RC-0393</t>
        </is>
      </c>
      <c r="C398" s="11" t="inlineStr">
        <is>
          <t>Program Management</t>
        </is>
      </c>
      <c r="D398" s="7" t="inlineStr">
        <is>
          <t>PMO Analyst</t>
        </is>
      </c>
      <c r="E398" s="11" t="inlineStr">
        <is>
          <t>PMO</t>
        </is>
      </c>
      <c r="F398" s="11" t="inlineStr">
        <is>
          <t>Intermediate</t>
        </is>
      </c>
      <c r="G398" s="21" t="inlineStr">
        <is>
          <t>Low</t>
        </is>
      </c>
      <c r="H398" s="23">
        <f>VLOOKUP(F398,'Internal Cost Model'!$B$6:$F$15,5,FALSE)</f>
        <v/>
      </c>
      <c r="I398" s="24">
        <f>H398*VLOOKUP(G398,Assumptions!$B$43:$C$45,2,FALSE)</f>
        <v/>
      </c>
      <c r="J398" s="25">
        <f>VLOOKUP(F398,Assumptions!$B$50:$D$59,2,FALSE)*VLOOKUP("SI-T1",Assumptions!$B$27:$C$31,2,FALSE)*VLOOKUP(G398,Assumptions!$B$43:$C$45,2,FALSE)</f>
        <v/>
      </c>
    </row>
    <row r="399">
      <c r="B399" s="7" t="inlineStr">
        <is>
          <t>RC-0394</t>
        </is>
      </c>
      <c r="C399" s="11" t="inlineStr">
        <is>
          <t>Program Management</t>
        </is>
      </c>
      <c r="D399" s="7" t="inlineStr">
        <is>
          <t>PMO Analyst</t>
        </is>
      </c>
      <c r="E399" s="11" t="inlineStr">
        <is>
          <t>PMO</t>
        </is>
      </c>
      <c r="F399" s="11" t="inlineStr">
        <is>
          <t>Junior</t>
        </is>
      </c>
      <c r="G399" s="21" t="inlineStr">
        <is>
          <t>Low</t>
        </is>
      </c>
      <c r="H399" s="23">
        <f>VLOOKUP(F399,'Internal Cost Model'!$B$6:$F$15,5,FALSE)</f>
        <v/>
      </c>
      <c r="I399" s="24">
        <f>H399*VLOOKUP(G399,Assumptions!$B$43:$C$45,2,FALSE)</f>
        <v/>
      </c>
      <c r="J399" s="25">
        <f>VLOOKUP(F399,Assumptions!$B$50:$D$59,2,FALSE)*VLOOKUP("SI-T1",Assumptions!$B$27:$C$31,2,FALSE)*VLOOKUP(G399,Assumptions!$B$43:$C$45,2,FALSE)</f>
        <v/>
      </c>
    </row>
    <row r="400">
      <c r="B400" s="7" t="inlineStr">
        <is>
          <t>RC-0395</t>
        </is>
      </c>
      <c r="C400" s="11" t="inlineStr">
        <is>
          <t>Enterprise Architecture</t>
        </is>
      </c>
      <c r="D400" s="7" t="inlineStr">
        <is>
          <t>Chief Architect</t>
        </is>
      </c>
      <c r="E400" s="11" t="inlineStr">
        <is>
          <t>Enterprise Architecture</t>
        </is>
      </c>
      <c r="F400" s="11" t="inlineStr">
        <is>
          <t>Managing Director</t>
        </is>
      </c>
      <c r="G400" s="21" t="inlineStr">
        <is>
          <t>High</t>
        </is>
      </c>
      <c r="H400" s="23">
        <f>VLOOKUP(F400,'Internal Cost Model'!$B$6:$F$15,5,FALSE)</f>
        <v/>
      </c>
      <c r="I400" s="24">
        <f>H400*VLOOKUP(G400,Assumptions!$B$43:$C$45,2,FALSE)</f>
        <v/>
      </c>
      <c r="J400" s="25">
        <f>VLOOKUP(F400,Assumptions!$B$50:$D$59,2,FALSE)*VLOOKUP("SI-T1",Assumptions!$B$27:$C$31,2,FALSE)*VLOOKUP(G400,Assumptions!$B$43:$C$45,2,FALSE)</f>
        <v/>
      </c>
    </row>
    <row r="401">
      <c r="B401" s="7" t="inlineStr">
        <is>
          <t>RC-0396</t>
        </is>
      </c>
      <c r="C401" s="11" t="inlineStr">
        <is>
          <t>Enterprise Architecture</t>
        </is>
      </c>
      <c r="D401" s="7" t="inlineStr">
        <is>
          <t>Chief Architect</t>
        </is>
      </c>
      <c r="E401" s="11" t="inlineStr">
        <is>
          <t>Enterprise Architecture</t>
        </is>
      </c>
      <c r="F401" s="11" t="inlineStr">
        <is>
          <t>Principal</t>
        </is>
      </c>
      <c r="G401" s="21" t="inlineStr">
        <is>
          <t>High</t>
        </is>
      </c>
      <c r="H401" s="23">
        <f>VLOOKUP(F401,'Internal Cost Model'!$B$6:$F$15,5,FALSE)</f>
        <v/>
      </c>
      <c r="I401" s="24">
        <f>H401*VLOOKUP(G401,Assumptions!$B$43:$C$45,2,FALSE)</f>
        <v/>
      </c>
      <c r="J401" s="25">
        <f>VLOOKUP(F401,Assumptions!$B$50:$D$59,2,FALSE)*VLOOKUP("SI-T1",Assumptions!$B$27:$C$31,2,FALSE)*VLOOKUP(G401,Assumptions!$B$43:$C$45,2,FALSE)</f>
        <v/>
      </c>
    </row>
    <row r="402">
      <c r="B402" s="7" t="inlineStr">
        <is>
          <t>RC-0397</t>
        </is>
      </c>
      <c r="C402" s="11" t="inlineStr">
        <is>
          <t>Enterprise Architecture</t>
        </is>
      </c>
      <c r="D402" s="7" t="inlineStr">
        <is>
          <t>Chief Architect</t>
        </is>
      </c>
      <c r="E402" s="11" t="inlineStr">
        <is>
          <t>Enterprise Architecture</t>
        </is>
      </c>
      <c r="F402" s="11" t="inlineStr">
        <is>
          <t>Director</t>
        </is>
      </c>
      <c r="G402" s="21" t="inlineStr">
        <is>
          <t>High</t>
        </is>
      </c>
      <c r="H402" s="23">
        <f>VLOOKUP(F402,'Internal Cost Model'!$B$6:$F$15,5,FALSE)</f>
        <v/>
      </c>
      <c r="I402" s="24">
        <f>H402*VLOOKUP(G402,Assumptions!$B$43:$C$45,2,FALSE)</f>
        <v/>
      </c>
      <c r="J402" s="25">
        <f>VLOOKUP(F402,Assumptions!$B$50:$D$59,2,FALSE)*VLOOKUP("SI-T1",Assumptions!$B$27:$C$31,2,FALSE)*VLOOKUP(G402,Assumptions!$B$43:$C$45,2,FALSE)</f>
        <v/>
      </c>
    </row>
    <row r="403">
      <c r="B403" s="7" t="inlineStr">
        <is>
          <t>RC-0398</t>
        </is>
      </c>
      <c r="C403" s="11" t="inlineStr">
        <is>
          <t>Enterprise Architecture</t>
        </is>
      </c>
      <c r="D403" s="7" t="inlineStr">
        <is>
          <t>Enterprise Architect</t>
        </is>
      </c>
      <c r="E403" s="11" t="inlineStr">
        <is>
          <t>Enterprise Architecture</t>
        </is>
      </c>
      <c r="F403" s="11" t="inlineStr">
        <is>
          <t>Principal</t>
        </is>
      </c>
      <c r="G403" s="21" t="inlineStr">
        <is>
          <t>High</t>
        </is>
      </c>
      <c r="H403" s="23">
        <f>VLOOKUP(F403,'Internal Cost Model'!$B$6:$F$15,5,FALSE)</f>
        <v/>
      </c>
      <c r="I403" s="24">
        <f>H403*VLOOKUP(G403,Assumptions!$B$43:$C$45,2,FALSE)</f>
        <v/>
      </c>
      <c r="J403" s="25">
        <f>VLOOKUP(F403,Assumptions!$B$50:$D$59,2,FALSE)*VLOOKUP("SI-T1",Assumptions!$B$27:$C$31,2,FALSE)*VLOOKUP(G403,Assumptions!$B$43:$C$45,2,FALSE)</f>
        <v/>
      </c>
    </row>
    <row r="404">
      <c r="B404" s="7" t="inlineStr">
        <is>
          <t>RC-0399</t>
        </is>
      </c>
      <c r="C404" s="11" t="inlineStr">
        <is>
          <t>Enterprise Architecture</t>
        </is>
      </c>
      <c r="D404" s="7" t="inlineStr">
        <is>
          <t>Enterprise Architect</t>
        </is>
      </c>
      <c r="E404" s="11" t="inlineStr">
        <is>
          <t>Enterprise Architecture</t>
        </is>
      </c>
      <c r="F404" s="11" t="inlineStr">
        <is>
          <t>Director</t>
        </is>
      </c>
      <c r="G404" s="21" t="inlineStr">
        <is>
          <t>High</t>
        </is>
      </c>
      <c r="H404" s="23">
        <f>VLOOKUP(F404,'Internal Cost Model'!$B$6:$F$15,5,FALSE)</f>
        <v/>
      </c>
      <c r="I404" s="24">
        <f>H404*VLOOKUP(G404,Assumptions!$B$43:$C$45,2,FALSE)</f>
        <v/>
      </c>
      <c r="J404" s="25">
        <f>VLOOKUP(F404,Assumptions!$B$50:$D$59,2,FALSE)*VLOOKUP("SI-T1",Assumptions!$B$27:$C$31,2,FALSE)*VLOOKUP(G404,Assumptions!$B$43:$C$45,2,FALSE)</f>
        <v/>
      </c>
    </row>
    <row r="405">
      <c r="B405" s="7" t="inlineStr">
        <is>
          <t>RC-0400</t>
        </is>
      </c>
      <c r="C405" s="11" t="inlineStr">
        <is>
          <t>Enterprise Architecture</t>
        </is>
      </c>
      <c r="D405" s="7" t="inlineStr">
        <is>
          <t>Solution Architect</t>
        </is>
      </c>
      <c r="E405" s="11" t="inlineStr">
        <is>
          <t>Solution Architecture</t>
        </is>
      </c>
      <c r="F405" s="11" t="inlineStr">
        <is>
          <t>Director</t>
        </is>
      </c>
      <c r="G405" s="21" t="inlineStr">
        <is>
          <t>High</t>
        </is>
      </c>
      <c r="H405" s="23">
        <f>VLOOKUP(F405,'Internal Cost Model'!$B$6:$F$15,5,FALSE)</f>
        <v/>
      </c>
      <c r="I405" s="24">
        <f>H405*VLOOKUP(G405,Assumptions!$B$43:$C$45,2,FALSE)</f>
        <v/>
      </c>
      <c r="J405" s="25">
        <f>VLOOKUP(F405,Assumptions!$B$50:$D$59,2,FALSE)*VLOOKUP("SI-T1",Assumptions!$B$27:$C$31,2,FALSE)*VLOOKUP(G405,Assumptions!$B$43:$C$45,2,FALSE)</f>
        <v/>
      </c>
    </row>
    <row r="406">
      <c r="B406" s="7" t="inlineStr">
        <is>
          <t>RC-0401</t>
        </is>
      </c>
      <c r="C406" s="11" t="inlineStr">
        <is>
          <t>Enterprise Architecture</t>
        </is>
      </c>
      <c r="D406" s="7" t="inlineStr">
        <is>
          <t>Solution Architect</t>
        </is>
      </c>
      <c r="E406" s="11" t="inlineStr">
        <is>
          <t>Solution Architecture</t>
        </is>
      </c>
      <c r="F406" s="11" t="inlineStr">
        <is>
          <t>Senior Manager</t>
        </is>
      </c>
      <c r="G406" s="21" t="inlineStr">
        <is>
          <t>High</t>
        </is>
      </c>
      <c r="H406" s="23">
        <f>VLOOKUP(F406,'Internal Cost Model'!$B$6:$F$15,5,FALSE)</f>
        <v/>
      </c>
      <c r="I406" s="24">
        <f>H406*VLOOKUP(G406,Assumptions!$B$43:$C$45,2,FALSE)</f>
        <v/>
      </c>
      <c r="J406" s="25">
        <f>VLOOKUP(F406,Assumptions!$B$50:$D$59,2,FALSE)*VLOOKUP("SI-T1",Assumptions!$B$27:$C$31,2,FALSE)*VLOOKUP(G406,Assumptions!$B$43:$C$45,2,FALSE)</f>
        <v/>
      </c>
    </row>
    <row r="407">
      <c r="B407" s="7" t="inlineStr">
        <is>
          <t>RC-0402</t>
        </is>
      </c>
      <c r="C407" s="11" t="inlineStr">
        <is>
          <t>Enterprise Architecture</t>
        </is>
      </c>
      <c r="D407" s="7" t="inlineStr">
        <is>
          <t>Solution Architect</t>
        </is>
      </c>
      <c r="E407" s="11" t="inlineStr">
        <is>
          <t>Solution Architecture</t>
        </is>
      </c>
      <c r="F407" s="11" t="inlineStr">
        <is>
          <t>Manager</t>
        </is>
      </c>
      <c r="G407" s="21" t="inlineStr">
        <is>
          <t>High</t>
        </is>
      </c>
      <c r="H407" s="23">
        <f>VLOOKUP(F407,'Internal Cost Model'!$B$6:$F$15,5,FALSE)</f>
        <v/>
      </c>
      <c r="I407" s="24">
        <f>H407*VLOOKUP(G407,Assumptions!$B$43:$C$45,2,FALSE)</f>
        <v/>
      </c>
      <c r="J407" s="25">
        <f>VLOOKUP(F407,Assumptions!$B$50:$D$59,2,FALSE)*VLOOKUP("SI-T1",Assumptions!$B$27:$C$31,2,FALSE)*VLOOKUP(G407,Assumptions!$B$43:$C$45,2,FALSE)</f>
        <v/>
      </c>
    </row>
    <row r="408">
      <c r="B408" s="7" t="inlineStr">
        <is>
          <t>RC-0403</t>
        </is>
      </c>
      <c r="C408" s="11" t="inlineStr">
        <is>
          <t>Enterprise Architecture</t>
        </is>
      </c>
      <c r="D408" s="7" t="inlineStr">
        <is>
          <t>Solution Architect</t>
        </is>
      </c>
      <c r="E408" s="11" t="inlineStr">
        <is>
          <t>Solution Architecture</t>
        </is>
      </c>
      <c r="F408" s="11" t="inlineStr">
        <is>
          <t>Lead</t>
        </is>
      </c>
      <c r="G408" s="21" t="inlineStr">
        <is>
          <t>High</t>
        </is>
      </c>
      <c r="H408" s="23">
        <f>VLOOKUP(F408,'Internal Cost Model'!$B$6:$F$15,5,FALSE)</f>
        <v/>
      </c>
      <c r="I408" s="24">
        <f>H408*VLOOKUP(G408,Assumptions!$B$43:$C$45,2,FALSE)</f>
        <v/>
      </c>
      <c r="J408" s="25">
        <f>VLOOKUP(F408,Assumptions!$B$50:$D$59,2,FALSE)*VLOOKUP("SI-T1",Assumptions!$B$27:$C$31,2,FALSE)*VLOOKUP(G408,Assumptions!$B$43:$C$45,2,FALSE)</f>
        <v/>
      </c>
    </row>
    <row r="409">
      <c r="B409" s="7" t="inlineStr">
        <is>
          <t>RC-0404</t>
        </is>
      </c>
      <c r="C409" s="11" t="inlineStr">
        <is>
          <t>Enterprise Architecture</t>
        </is>
      </c>
      <c r="D409" s="7" t="inlineStr">
        <is>
          <t>Technical Architect</t>
        </is>
      </c>
      <c r="E409" s="11" t="inlineStr">
        <is>
          <t>Technical Architecture</t>
        </is>
      </c>
      <c r="F409" s="11" t="inlineStr">
        <is>
          <t>Senior Manager</t>
        </is>
      </c>
      <c r="G409" s="21" t="inlineStr">
        <is>
          <t>High</t>
        </is>
      </c>
      <c r="H409" s="23">
        <f>VLOOKUP(F409,'Internal Cost Model'!$B$6:$F$15,5,FALSE)</f>
        <v/>
      </c>
      <c r="I409" s="24">
        <f>H409*VLOOKUP(G409,Assumptions!$B$43:$C$45,2,FALSE)</f>
        <v/>
      </c>
      <c r="J409" s="25">
        <f>VLOOKUP(F409,Assumptions!$B$50:$D$59,2,FALSE)*VLOOKUP("SI-T1",Assumptions!$B$27:$C$31,2,FALSE)*VLOOKUP(G409,Assumptions!$B$43:$C$45,2,FALSE)</f>
        <v/>
      </c>
    </row>
    <row r="410">
      <c r="B410" s="7" t="inlineStr">
        <is>
          <t>RC-0405</t>
        </is>
      </c>
      <c r="C410" s="11" t="inlineStr">
        <is>
          <t>Enterprise Architecture</t>
        </is>
      </c>
      <c r="D410" s="7" t="inlineStr">
        <is>
          <t>Technical Architect</t>
        </is>
      </c>
      <c r="E410" s="11" t="inlineStr">
        <is>
          <t>Technical Architecture</t>
        </is>
      </c>
      <c r="F410" s="11" t="inlineStr">
        <is>
          <t>Manager</t>
        </is>
      </c>
      <c r="G410" s="21" t="inlineStr">
        <is>
          <t>High</t>
        </is>
      </c>
      <c r="H410" s="23">
        <f>VLOOKUP(F410,'Internal Cost Model'!$B$6:$F$15,5,FALSE)</f>
        <v/>
      </c>
      <c r="I410" s="24">
        <f>H410*VLOOKUP(G410,Assumptions!$B$43:$C$45,2,FALSE)</f>
        <v/>
      </c>
      <c r="J410" s="25">
        <f>VLOOKUP(F410,Assumptions!$B$50:$D$59,2,FALSE)*VLOOKUP("SI-T1",Assumptions!$B$27:$C$31,2,FALSE)*VLOOKUP(G410,Assumptions!$B$43:$C$45,2,FALSE)</f>
        <v/>
      </c>
    </row>
    <row r="411">
      <c r="B411" s="7" t="inlineStr">
        <is>
          <t>RC-0406</t>
        </is>
      </c>
      <c r="C411" s="11" t="inlineStr">
        <is>
          <t>Enterprise Architecture</t>
        </is>
      </c>
      <c r="D411" s="7" t="inlineStr">
        <is>
          <t>Technical Architect</t>
        </is>
      </c>
      <c r="E411" s="11" t="inlineStr">
        <is>
          <t>Technical Architecture</t>
        </is>
      </c>
      <c r="F411" s="11" t="inlineStr">
        <is>
          <t>Lead</t>
        </is>
      </c>
      <c r="G411" s="21" t="inlineStr">
        <is>
          <t>High</t>
        </is>
      </c>
      <c r="H411" s="23">
        <f>VLOOKUP(F411,'Internal Cost Model'!$B$6:$F$15,5,FALSE)</f>
        <v/>
      </c>
      <c r="I411" s="24">
        <f>H411*VLOOKUP(G411,Assumptions!$B$43:$C$45,2,FALSE)</f>
        <v/>
      </c>
      <c r="J411" s="25">
        <f>VLOOKUP(F411,Assumptions!$B$50:$D$59,2,FALSE)*VLOOKUP("SI-T1",Assumptions!$B$27:$C$31,2,FALSE)*VLOOKUP(G411,Assumptions!$B$43:$C$45,2,FALSE)</f>
        <v/>
      </c>
    </row>
    <row r="412">
      <c r="B412" s="7" t="inlineStr">
        <is>
          <t>RC-0407</t>
        </is>
      </c>
      <c r="C412" s="11" t="inlineStr">
        <is>
          <t>Strategy &amp; Transformation</t>
        </is>
      </c>
      <c r="D412" s="7" t="inlineStr">
        <is>
          <t>Sourcing Strategy Lead</t>
        </is>
      </c>
      <c r="E412" s="11" t="inlineStr">
        <is>
          <t>Business Case &amp; ROI</t>
        </is>
      </c>
      <c r="F412" s="11" t="inlineStr">
        <is>
          <t>Director</t>
        </is>
      </c>
      <c r="G412" s="21" t="inlineStr">
        <is>
          <t>Medium</t>
        </is>
      </c>
      <c r="H412" s="23">
        <f>VLOOKUP(F412,'Internal Cost Model'!$B$6:$F$15,5,FALSE)</f>
        <v/>
      </c>
      <c r="I412" s="24">
        <f>H412*VLOOKUP(G412,Assumptions!$B$43:$C$45,2,FALSE)</f>
        <v/>
      </c>
      <c r="J412" s="25">
        <f>VLOOKUP(F412,Assumptions!$B$50:$D$59,2,FALSE)*VLOOKUP("SI-T1",Assumptions!$B$27:$C$31,2,FALSE)*VLOOKUP(G412,Assumptions!$B$43:$C$45,2,FALSE)</f>
        <v/>
      </c>
    </row>
    <row r="413">
      <c r="B413" s="7" t="inlineStr">
        <is>
          <t>RC-0408</t>
        </is>
      </c>
      <c r="C413" s="11" t="inlineStr">
        <is>
          <t>Strategy &amp; Transformation</t>
        </is>
      </c>
      <c r="D413" s="7" t="inlineStr">
        <is>
          <t>Sourcing Strategy Lead</t>
        </is>
      </c>
      <c r="E413" s="11" t="inlineStr">
        <is>
          <t>Business Case &amp; ROI</t>
        </is>
      </c>
      <c r="F413" s="11" t="inlineStr">
        <is>
          <t>Senior Manager</t>
        </is>
      </c>
      <c r="G413" s="21" t="inlineStr">
        <is>
          <t>Medium</t>
        </is>
      </c>
      <c r="H413" s="23">
        <f>VLOOKUP(F413,'Internal Cost Model'!$B$6:$F$15,5,FALSE)</f>
        <v/>
      </c>
      <c r="I413" s="24">
        <f>H413*VLOOKUP(G413,Assumptions!$B$43:$C$45,2,FALSE)</f>
        <v/>
      </c>
      <c r="J413" s="25">
        <f>VLOOKUP(F413,Assumptions!$B$50:$D$59,2,FALSE)*VLOOKUP("SI-T1",Assumptions!$B$27:$C$31,2,FALSE)*VLOOKUP(G413,Assumptions!$B$43:$C$45,2,FALSE)</f>
        <v/>
      </c>
    </row>
    <row r="414">
      <c r="B414" s="7" t="inlineStr">
        <is>
          <t>RC-0409</t>
        </is>
      </c>
      <c r="C414" s="11" t="inlineStr">
        <is>
          <t>Strategy &amp; Transformation</t>
        </is>
      </c>
      <c r="D414" s="7" t="inlineStr">
        <is>
          <t>Sourcing Strategy Lead</t>
        </is>
      </c>
      <c r="E414" s="11" t="inlineStr">
        <is>
          <t>Business Case &amp; ROI</t>
        </is>
      </c>
      <c r="F414" s="11" t="inlineStr">
        <is>
          <t>Manager</t>
        </is>
      </c>
      <c r="G414" s="21" t="inlineStr">
        <is>
          <t>Medium</t>
        </is>
      </c>
      <c r="H414" s="23">
        <f>VLOOKUP(F414,'Internal Cost Model'!$B$6:$F$15,5,FALSE)</f>
        <v/>
      </c>
      <c r="I414" s="24">
        <f>H414*VLOOKUP(G414,Assumptions!$B$43:$C$45,2,FALSE)</f>
        <v/>
      </c>
      <c r="J414" s="25">
        <f>VLOOKUP(F414,Assumptions!$B$50:$D$59,2,FALSE)*VLOOKUP("SI-T1",Assumptions!$B$27:$C$31,2,FALSE)*VLOOKUP(G414,Assumptions!$B$43:$C$45,2,FALSE)</f>
        <v/>
      </c>
    </row>
    <row r="415">
      <c r="B415" s="7" t="inlineStr">
        <is>
          <t>RC-0410</t>
        </is>
      </c>
      <c r="C415" s="11" t="inlineStr">
        <is>
          <t>Strategy &amp; Transformation</t>
        </is>
      </c>
      <c r="D415" s="7" t="inlineStr">
        <is>
          <t>Vendor Management Advisor</t>
        </is>
      </c>
      <c r="E415" s="11" t="inlineStr">
        <is>
          <t>Operating Model Design</t>
        </is>
      </c>
      <c r="F415" s="11" t="inlineStr">
        <is>
          <t>Director</t>
        </is>
      </c>
      <c r="G415" s="21" t="inlineStr">
        <is>
          <t>Medium</t>
        </is>
      </c>
      <c r="H415" s="23">
        <f>VLOOKUP(F415,'Internal Cost Model'!$B$6:$F$15,5,FALSE)</f>
        <v/>
      </c>
      <c r="I415" s="24">
        <f>H415*VLOOKUP(G415,Assumptions!$B$43:$C$45,2,FALSE)</f>
        <v/>
      </c>
      <c r="J415" s="25">
        <f>VLOOKUP(F415,Assumptions!$B$50:$D$59,2,FALSE)*VLOOKUP("SI-T1",Assumptions!$B$27:$C$31,2,FALSE)*VLOOKUP(G415,Assumptions!$B$43:$C$45,2,FALSE)</f>
        <v/>
      </c>
    </row>
    <row r="416">
      <c r="B416" s="7" t="inlineStr">
        <is>
          <t>RC-0411</t>
        </is>
      </c>
      <c r="C416" s="11" t="inlineStr">
        <is>
          <t>Strategy &amp; Transformation</t>
        </is>
      </c>
      <c r="D416" s="7" t="inlineStr">
        <is>
          <t>Vendor Management Advisor</t>
        </is>
      </c>
      <c r="E416" s="11" t="inlineStr">
        <is>
          <t>Operating Model Design</t>
        </is>
      </c>
      <c r="F416" s="11" t="inlineStr">
        <is>
          <t>Senior Manager</t>
        </is>
      </c>
      <c r="G416" s="21" t="inlineStr">
        <is>
          <t>Medium</t>
        </is>
      </c>
      <c r="H416" s="23">
        <f>VLOOKUP(F416,'Internal Cost Model'!$B$6:$F$15,5,FALSE)</f>
        <v/>
      </c>
      <c r="I416" s="24">
        <f>H416*VLOOKUP(G416,Assumptions!$B$43:$C$45,2,FALSE)</f>
        <v/>
      </c>
      <c r="J416" s="25">
        <f>VLOOKUP(F416,Assumptions!$B$50:$D$59,2,FALSE)*VLOOKUP("SI-T1",Assumptions!$B$27:$C$31,2,FALSE)*VLOOKUP(G416,Assumptions!$B$43:$C$45,2,FALSE)</f>
        <v/>
      </c>
    </row>
    <row r="417">
      <c r="B417" s="7" t="inlineStr">
        <is>
          <t>RC-0412</t>
        </is>
      </c>
      <c r="C417" s="11" t="inlineStr">
        <is>
          <t>Strategy &amp; Transformation</t>
        </is>
      </c>
      <c r="D417" s="7" t="inlineStr">
        <is>
          <t>Cost Optimization Lead</t>
        </is>
      </c>
      <c r="E417" s="11" t="inlineStr">
        <is>
          <t>Business Case &amp; ROI</t>
        </is>
      </c>
      <c r="F417" s="11" t="inlineStr">
        <is>
          <t>Director</t>
        </is>
      </c>
      <c r="G417" s="21" t="inlineStr">
        <is>
          <t>Medium</t>
        </is>
      </c>
      <c r="H417" s="23">
        <f>VLOOKUP(F417,'Internal Cost Model'!$B$6:$F$15,5,FALSE)</f>
        <v/>
      </c>
      <c r="I417" s="24">
        <f>H417*VLOOKUP(G417,Assumptions!$B$43:$C$45,2,FALSE)</f>
        <v/>
      </c>
      <c r="J417" s="25">
        <f>VLOOKUP(F417,Assumptions!$B$50:$D$59,2,FALSE)*VLOOKUP("SI-T1",Assumptions!$B$27:$C$31,2,FALSE)*VLOOKUP(G417,Assumptions!$B$43:$C$45,2,FALSE)</f>
        <v/>
      </c>
    </row>
    <row r="418">
      <c r="B418" s="7" t="inlineStr">
        <is>
          <t>RC-0413</t>
        </is>
      </c>
      <c r="C418" s="11" t="inlineStr">
        <is>
          <t>Strategy &amp; Transformation</t>
        </is>
      </c>
      <c r="D418" s="7" t="inlineStr">
        <is>
          <t>Cost Optimization Lead</t>
        </is>
      </c>
      <c r="E418" s="11" t="inlineStr">
        <is>
          <t>Business Case &amp; ROI</t>
        </is>
      </c>
      <c r="F418" s="11" t="inlineStr">
        <is>
          <t>Senior Manager</t>
        </is>
      </c>
      <c r="G418" s="21" t="inlineStr">
        <is>
          <t>Medium</t>
        </is>
      </c>
      <c r="H418" s="23">
        <f>VLOOKUP(F418,'Internal Cost Model'!$B$6:$F$15,5,FALSE)</f>
        <v/>
      </c>
      <c r="I418" s="24">
        <f>H418*VLOOKUP(G418,Assumptions!$B$43:$C$45,2,FALSE)</f>
        <v/>
      </c>
      <c r="J418" s="25">
        <f>VLOOKUP(F418,Assumptions!$B$50:$D$59,2,FALSE)*VLOOKUP("SI-T1",Assumptions!$B$27:$C$31,2,FALSE)*VLOOKUP(G418,Assumptions!$B$43:$C$45,2,FALSE)</f>
        <v/>
      </c>
    </row>
    <row r="419">
      <c r="B419" s="7" t="inlineStr">
        <is>
          <t>RC-0414</t>
        </is>
      </c>
      <c r="C419" s="11" t="inlineStr">
        <is>
          <t>Strategy &amp; Transformation</t>
        </is>
      </c>
      <c r="D419" s="7" t="inlineStr">
        <is>
          <t>Cost Optimization Lead</t>
        </is>
      </c>
      <c r="E419" s="11" t="inlineStr">
        <is>
          <t>Business Case &amp; ROI</t>
        </is>
      </c>
      <c r="F419" s="11" t="inlineStr">
        <is>
          <t>Manager</t>
        </is>
      </c>
      <c r="G419" s="21" t="inlineStr">
        <is>
          <t>Medium</t>
        </is>
      </c>
      <c r="H419" s="23">
        <f>VLOOKUP(F419,'Internal Cost Model'!$B$6:$F$15,5,FALSE)</f>
        <v/>
      </c>
      <c r="I419" s="24">
        <f>H419*VLOOKUP(G419,Assumptions!$B$43:$C$45,2,FALSE)</f>
        <v/>
      </c>
      <c r="J419" s="25">
        <f>VLOOKUP(F419,Assumptions!$B$50:$D$59,2,FALSE)*VLOOKUP("SI-T1",Assumptions!$B$27:$C$31,2,FALSE)*VLOOKUP(G419,Assumptions!$B$43:$C$45,2,FALSE)</f>
        <v/>
      </c>
    </row>
    <row r="420">
      <c r="B420" s="7" t="inlineStr">
        <is>
          <t>RC-0415</t>
        </is>
      </c>
      <c r="C420" s="11" t="inlineStr">
        <is>
          <t>Strategy &amp; Transformation</t>
        </is>
      </c>
      <c r="D420" s="7" t="inlineStr">
        <is>
          <t>M&amp;A Integration Lead</t>
        </is>
      </c>
      <c r="E420" s="11" t="inlineStr">
        <is>
          <t>Transformation Strategy</t>
        </is>
      </c>
      <c r="F420" s="11" t="inlineStr">
        <is>
          <t>Principal</t>
        </is>
      </c>
      <c r="G420" s="21" t="inlineStr">
        <is>
          <t>High</t>
        </is>
      </c>
      <c r="H420" s="23">
        <f>VLOOKUP(F420,'Internal Cost Model'!$B$6:$F$15,5,FALSE)</f>
        <v/>
      </c>
      <c r="I420" s="24">
        <f>H420*VLOOKUP(G420,Assumptions!$B$43:$C$45,2,FALSE)</f>
        <v/>
      </c>
      <c r="J420" s="25">
        <f>VLOOKUP(F420,Assumptions!$B$50:$D$59,2,FALSE)*VLOOKUP("SI-T1",Assumptions!$B$27:$C$31,2,FALSE)*VLOOKUP(G420,Assumptions!$B$43:$C$45,2,FALSE)</f>
        <v/>
      </c>
    </row>
    <row r="421">
      <c r="B421" s="7" t="inlineStr">
        <is>
          <t>RC-0416</t>
        </is>
      </c>
      <c r="C421" s="11" t="inlineStr">
        <is>
          <t>Strategy &amp; Transformation</t>
        </is>
      </c>
      <c r="D421" s="7" t="inlineStr">
        <is>
          <t>M&amp;A Integration Lead</t>
        </is>
      </c>
      <c r="E421" s="11" t="inlineStr">
        <is>
          <t>Transformation Strategy</t>
        </is>
      </c>
      <c r="F421" s="11" t="inlineStr">
        <is>
          <t>Director</t>
        </is>
      </c>
      <c r="G421" s="21" t="inlineStr">
        <is>
          <t>High</t>
        </is>
      </c>
      <c r="H421" s="23">
        <f>VLOOKUP(F421,'Internal Cost Model'!$B$6:$F$15,5,FALSE)</f>
        <v/>
      </c>
      <c r="I421" s="24">
        <f>H421*VLOOKUP(G421,Assumptions!$B$43:$C$45,2,FALSE)</f>
        <v/>
      </c>
      <c r="J421" s="25">
        <f>VLOOKUP(F421,Assumptions!$B$50:$D$59,2,FALSE)*VLOOKUP("SI-T1",Assumptions!$B$27:$C$31,2,FALSE)*VLOOKUP(G421,Assumptions!$B$43:$C$45,2,FALSE)</f>
        <v/>
      </c>
    </row>
    <row r="422">
      <c r="B422" s="7" t="inlineStr">
        <is>
          <t>RC-0417</t>
        </is>
      </c>
      <c r="C422" s="11" t="inlineStr">
        <is>
          <t>Strategy &amp; Transformation</t>
        </is>
      </c>
      <c r="D422" s="7" t="inlineStr">
        <is>
          <t>M&amp;A Integration Lead</t>
        </is>
      </c>
      <c r="E422" s="11" t="inlineStr">
        <is>
          <t>Transformation Strategy</t>
        </is>
      </c>
      <c r="F422" s="11" t="inlineStr">
        <is>
          <t>Senior Manager</t>
        </is>
      </c>
      <c r="G422" s="21" t="inlineStr">
        <is>
          <t>High</t>
        </is>
      </c>
      <c r="H422" s="23">
        <f>VLOOKUP(F422,'Internal Cost Model'!$B$6:$F$15,5,FALSE)</f>
        <v/>
      </c>
      <c r="I422" s="24">
        <f>H422*VLOOKUP(G422,Assumptions!$B$43:$C$45,2,FALSE)</f>
        <v/>
      </c>
      <c r="J422" s="25">
        <f>VLOOKUP(F422,Assumptions!$B$50:$D$59,2,FALSE)*VLOOKUP("SI-T1",Assumptions!$B$27:$C$31,2,FALSE)*VLOOKUP(G422,Assumptions!$B$43:$C$45,2,FALSE)</f>
        <v/>
      </c>
    </row>
    <row r="423">
      <c r="B423" s="7" t="inlineStr">
        <is>
          <t>RC-0418</t>
        </is>
      </c>
      <c r="C423" s="11" t="inlineStr">
        <is>
          <t>Strategy &amp; Transformation</t>
        </is>
      </c>
      <c r="D423" s="7" t="inlineStr">
        <is>
          <t>Cloud Economics Advisor</t>
        </is>
      </c>
      <c r="E423" s="11" t="inlineStr">
        <is>
          <t>Value Architecture</t>
        </is>
      </c>
      <c r="F423" s="11" t="inlineStr">
        <is>
          <t>Director</t>
        </is>
      </c>
      <c r="G423" s="21" t="inlineStr">
        <is>
          <t>Medium</t>
        </is>
      </c>
      <c r="H423" s="23">
        <f>VLOOKUP(F423,'Internal Cost Model'!$B$6:$F$15,5,FALSE)</f>
        <v/>
      </c>
      <c r="I423" s="24">
        <f>H423*VLOOKUP(G423,Assumptions!$B$43:$C$45,2,FALSE)</f>
        <v/>
      </c>
      <c r="J423" s="25">
        <f>VLOOKUP(F423,Assumptions!$B$50:$D$59,2,FALSE)*VLOOKUP("SI-T1",Assumptions!$B$27:$C$31,2,FALSE)*VLOOKUP(G423,Assumptions!$B$43:$C$45,2,FALSE)</f>
        <v/>
      </c>
    </row>
    <row r="424">
      <c r="B424" s="7" t="inlineStr">
        <is>
          <t>RC-0419</t>
        </is>
      </c>
      <c r="C424" s="11" t="inlineStr">
        <is>
          <t>Strategy &amp; Transformation</t>
        </is>
      </c>
      <c r="D424" s="7" t="inlineStr">
        <is>
          <t>Cloud Economics Advisor</t>
        </is>
      </c>
      <c r="E424" s="11" t="inlineStr">
        <is>
          <t>Value Architecture</t>
        </is>
      </c>
      <c r="F424" s="11" t="inlineStr">
        <is>
          <t>Senior Manager</t>
        </is>
      </c>
      <c r="G424" s="21" t="inlineStr">
        <is>
          <t>Medium</t>
        </is>
      </c>
      <c r="H424" s="23">
        <f>VLOOKUP(F424,'Internal Cost Model'!$B$6:$F$15,5,FALSE)</f>
        <v/>
      </c>
      <c r="I424" s="24">
        <f>H424*VLOOKUP(G424,Assumptions!$B$43:$C$45,2,FALSE)</f>
        <v/>
      </c>
      <c r="J424" s="25">
        <f>VLOOKUP(F424,Assumptions!$B$50:$D$59,2,FALSE)*VLOOKUP("SI-T1",Assumptions!$B$27:$C$31,2,FALSE)*VLOOKUP(G424,Assumptions!$B$43:$C$45,2,FALSE)</f>
        <v/>
      </c>
    </row>
    <row r="425">
      <c r="B425" s="7" t="inlineStr">
        <is>
          <t>RC-0420</t>
        </is>
      </c>
      <c r="C425" s="11" t="inlineStr">
        <is>
          <t>Strategy &amp; Transformation</t>
        </is>
      </c>
      <c r="D425" s="7" t="inlineStr">
        <is>
          <t>Cloud Economics Advisor</t>
        </is>
      </c>
      <c r="E425" s="11" t="inlineStr">
        <is>
          <t>Value Architecture</t>
        </is>
      </c>
      <c r="F425" s="11" t="inlineStr">
        <is>
          <t>Manager</t>
        </is>
      </c>
      <c r="G425" s="21" t="inlineStr">
        <is>
          <t>Medium</t>
        </is>
      </c>
      <c r="H425" s="23">
        <f>VLOOKUP(F425,'Internal Cost Model'!$B$6:$F$15,5,FALSE)</f>
        <v/>
      </c>
      <c r="I425" s="24">
        <f>H425*VLOOKUP(G425,Assumptions!$B$43:$C$45,2,FALSE)</f>
        <v/>
      </c>
      <c r="J425" s="25">
        <f>VLOOKUP(F425,Assumptions!$B$50:$D$59,2,FALSE)*VLOOKUP("SI-T1",Assumptions!$B$27:$C$31,2,FALSE)*VLOOKUP(G425,Assumptions!$B$43:$C$45,2,FALSE)</f>
        <v/>
      </c>
    </row>
    <row r="426">
      <c r="B426" s="7" t="inlineStr">
        <is>
          <t>RC-0421</t>
        </is>
      </c>
      <c r="C426" s="11" t="inlineStr">
        <is>
          <t>Industry SMEs</t>
        </is>
      </c>
      <c r="D426" s="7" t="inlineStr">
        <is>
          <t>Banking Principal SME</t>
        </is>
      </c>
      <c r="E426" s="11" t="inlineStr">
        <is>
          <t>Banking Domain</t>
        </is>
      </c>
      <c r="F426" s="11" t="inlineStr">
        <is>
          <t>Managing Director</t>
        </is>
      </c>
      <c r="G426" s="21" t="inlineStr">
        <is>
          <t>High</t>
        </is>
      </c>
      <c r="H426" s="23">
        <f>VLOOKUP(F426,'Internal Cost Model'!$B$6:$F$15,5,FALSE)</f>
        <v/>
      </c>
      <c r="I426" s="24">
        <f>H426*VLOOKUP(G426,Assumptions!$B$43:$C$45,2,FALSE)</f>
        <v/>
      </c>
      <c r="J426" s="25">
        <f>VLOOKUP(F426,Assumptions!$B$50:$D$59,2,FALSE)*VLOOKUP("SI-T1",Assumptions!$B$27:$C$31,2,FALSE)*VLOOKUP(G426,Assumptions!$B$43:$C$45,2,FALSE)</f>
        <v/>
      </c>
    </row>
    <row r="427">
      <c r="B427" s="7" t="inlineStr">
        <is>
          <t>RC-0422</t>
        </is>
      </c>
      <c r="C427" s="11" t="inlineStr">
        <is>
          <t>Industry SMEs</t>
        </is>
      </c>
      <c r="D427" s="7" t="inlineStr">
        <is>
          <t>Banking Principal SME</t>
        </is>
      </c>
      <c r="E427" s="11" t="inlineStr">
        <is>
          <t>Banking Domain</t>
        </is>
      </c>
      <c r="F427" s="11" t="inlineStr">
        <is>
          <t>Principal</t>
        </is>
      </c>
      <c r="G427" s="21" t="inlineStr">
        <is>
          <t>High</t>
        </is>
      </c>
      <c r="H427" s="23">
        <f>VLOOKUP(F427,'Internal Cost Model'!$B$6:$F$15,5,FALSE)</f>
        <v/>
      </c>
      <c r="I427" s="24">
        <f>H427*VLOOKUP(G427,Assumptions!$B$43:$C$45,2,FALSE)</f>
        <v/>
      </c>
      <c r="J427" s="25">
        <f>VLOOKUP(F427,Assumptions!$B$50:$D$59,2,FALSE)*VLOOKUP("SI-T1",Assumptions!$B$27:$C$31,2,FALSE)*VLOOKUP(G427,Assumptions!$B$43:$C$45,2,FALSE)</f>
        <v/>
      </c>
    </row>
    <row r="428">
      <c r="B428" s="7" t="inlineStr">
        <is>
          <t>RC-0423</t>
        </is>
      </c>
      <c r="C428" s="11" t="inlineStr">
        <is>
          <t>Industry SMEs</t>
        </is>
      </c>
      <c r="D428" s="7" t="inlineStr">
        <is>
          <t>Banking Consultant</t>
        </is>
      </c>
      <c r="E428" s="11" t="inlineStr">
        <is>
          <t>Banking Domain</t>
        </is>
      </c>
      <c r="F428" s="11" t="inlineStr">
        <is>
          <t>Senior Manager</t>
        </is>
      </c>
      <c r="G428" s="21" t="inlineStr">
        <is>
          <t>Medium</t>
        </is>
      </c>
      <c r="H428" s="23">
        <f>VLOOKUP(F428,'Internal Cost Model'!$B$6:$F$15,5,FALSE)</f>
        <v/>
      </c>
      <c r="I428" s="24">
        <f>H428*VLOOKUP(G428,Assumptions!$B$43:$C$45,2,FALSE)</f>
        <v/>
      </c>
      <c r="J428" s="25">
        <f>VLOOKUP(F428,Assumptions!$B$50:$D$59,2,FALSE)*VLOOKUP("SI-T1",Assumptions!$B$27:$C$31,2,FALSE)*VLOOKUP(G428,Assumptions!$B$43:$C$45,2,FALSE)</f>
        <v/>
      </c>
    </row>
    <row r="429">
      <c r="B429" s="7" t="inlineStr">
        <is>
          <t>RC-0424</t>
        </is>
      </c>
      <c r="C429" s="11" t="inlineStr">
        <is>
          <t>Industry SMEs</t>
        </is>
      </c>
      <c r="D429" s="7" t="inlineStr">
        <is>
          <t>Banking Consultant</t>
        </is>
      </c>
      <c r="E429" s="11" t="inlineStr">
        <is>
          <t>Banking Domain</t>
        </is>
      </c>
      <c r="F429" s="11" t="inlineStr">
        <is>
          <t>Manager</t>
        </is>
      </c>
      <c r="G429" s="21" t="inlineStr">
        <is>
          <t>Medium</t>
        </is>
      </c>
      <c r="H429" s="23">
        <f>VLOOKUP(F429,'Internal Cost Model'!$B$6:$F$15,5,FALSE)</f>
        <v/>
      </c>
      <c r="I429" s="24">
        <f>H429*VLOOKUP(G429,Assumptions!$B$43:$C$45,2,FALSE)</f>
        <v/>
      </c>
      <c r="J429" s="25">
        <f>VLOOKUP(F429,Assumptions!$B$50:$D$59,2,FALSE)*VLOOKUP("SI-T1",Assumptions!$B$27:$C$31,2,FALSE)*VLOOKUP(G429,Assumptions!$B$43:$C$45,2,FALSE)</f>
        <v/>
      </c>
    </row>
    <row r="430">
      <c r="B430" s="7" t="inlineStr">
        <is>
          <t>RC-0425</t>
        </is>
      </c>
      <c r="C430" s="11" t="inlineStr">
        <is>
          <t>Industry SMEs</t>
        </is>
      </c>
      <c r="D430" s="7" t="inlineStr">
        <is>
          <t>Banking Consultant</t>
        </is>
      </c>
      <c r="E430" s="11" t="inlineStr">
        <is>
          <t>Banking Domain</t>
        </is>
      </c>
      <c r="F430" s="11" t="inlineStr">
        <is>
          <t>Lead</t>
        </is>
      </c>
      <c r="G430" s="21" t="inlineStr">
        <is>
          <t>Medium</t>
        </is>
      </c>
      <c r="H430" s="23">
        <f>VLOOKUP(F430,'Internal Cost Model'!$B$6:$F$15,5,FALSE)</f>
        <v/>
      </c>
      <c r="I430" s="24">
        <f>H430*VLOOKUP(G430,Assumptions!$B$43:$C$45,2,FALSE)</f>
        <v/>
      </c>
      <c r="J430" s="25">
        <f>VLOOKUP(F430,Assumptions!$B$50:$D$59,2,FALSE)*VLOOKUP("SI-T1",Assumptions!$B$27:$C$31,2,FALSE)*VLOOKUP(G430,Assumptions!$B$43:$C$45,2,FALSE)</f>
        <v/>
      </c>
    </row>
    <row r="431">
      <c r="B431" s="7" t="inlineStr">
        <is>
          <t>RC-0426</t>
        </is>
      </c>
      <c r="C431" s="11" t="inlineStr">
        <is>
          <t>Industry SMEs</t>
        </is>
      </c>
      <c r="D431" s="7" t="inlineStr">
        <is>
          <t>Banking Consultant</t>
        </is>
      </c>
      <c r="E431" s="11" t="inlineStr">
        <is>
          <t>Banking Domain</t>
        </is>
      </c>
      <c r="F431" s="11" t="inlineStr">
        <is>
          <t>Senior</t>
        </is>
      </c>
      <c r="G431" s="21" t="inlineStr">
        <is>
          <t>Medium</t>
        </is>
      </c>
      <c r="H431" s="23">
        <f>VLOOKUP(F431,'Internal Cost Model'!$B$6:$F$15,5,FALSE)</f>
        <v/>
      </c>
      <c r="I431" s="24">
        <f>H431*VLOOKUP(G431,Assumptions!$B$43:$C$45,2,FALSE)</f>
        <v/>
      </c>
      <c r="J431" s="25">
        <f>VLOOKUP(F431,Assumptions!$B$50:$D$59,2,FALSE)*VLOOKUP("SI-T1",Assumptions!$B$27:$C$31,2,FALSE)*VLOOKUP(G431,Assumptions!$B$43:$C$45,2,FALSE)</f>
        <v/>
      </c>
    </row>
    <row r="432">
      <c r="B432" s="7" t="inlineStr">
        <is>
          <t>RC-0427</t>
        </is>
      </c>
      <c r="C432" s="11" t="inlineStr">
        <is>
          <t>Industry SMEs</t>
        </is>
      </c>
      <c r="D432" s="7" t="inlineStr">
        <is>
          <t>Capital Markets Principal SME</t>
        </is>
      </c>
      <c r="E432" s="11" t="inlineStr">
        <is>
          <t>Capital Markets Domain</t>
        </is>
      </c>
      <c r="F432" s="11" t="inlineStr">
        <is>
          <t>Managing Director</t>
        </is>
      </c>
      <c r="G432" s="21" t="inlineStr">
        <is>
          <t>High</t>
        </is>
      </c>
      <c r="H432" s="23">
        <f>VLOOKUP(F432,'Internal Cost Model'!$B$6:$F$15,5,FALSE)</f>
        <v/>
      </c>
      <c r="I432" s="24">
        <f>H432*VLOOKUP(G432,Assumptions!$B$43:$C$45,2,FALSE)</f>
        <v/>
      </c>
      <c r="J432" s="25">
        <f>VLOOKUP(F432,Assumptions!$B$50:$D$59,2,FALSE)*VLOOKUP("SI-T1",Assumptions!$B$27:$C$31,2,FALSE)*VLOOKUP(G432,Assumptions!$B$43:$C$45,2,FALSE)</f>
        <v/>
      </c>
    </row>
    <row r="433">
      <c r="B433" s="7" t="inlineStr">
        <is>
          <t>RC-0428</t>
        </is>
      </c>
      <c r="C433" s="11" t="inlineStr">
        <is>
          <t>Industry SMEs</t>
        </is>
      </c>
      <c r="D433" s="7" t="inlineStr">
        <is>
          <t>Capital Markets Principal SME</t>
        </is>
      </c>
      <c r="E433" s="11" t="inlineStr">
        <is>
          <t>Capital Markets Domain</t>
        </is>
      </c>
      <c r="F433" s="11" t="inlineStr">
        <is>
          <t>Principal</t>
        </is>
      </c>
      <c r="G433" s="21" t="inlineStr">
        <is>
          <t>High</t>
        </is>
      </c>
      <c r="H433" s="23">
        <f>VLOOKUP(F433,'Internal Cost Model'!$B$6:$F$15,5,FALSE)</f>
        <v/>
      </c>
      <c r="I433" s="24">
        <f>H433*VLOOKUP(G433,Assumptions!$B$43:$C$45,2,FALSE)</f>
        <v/>
      </c>
      <c r="J433" s="25">
        <f>VLOOKUP(F433,Assumptions!$B$50:$D$59,2,FALSE)*VLOOKUP("SI-T1",Assumptions!$B$27:$C$31,2,FALSE)*VLOOKUP(G433,Assumptions!$B$43:$C$45,2,FALSE)</f>
        <v/>
      </c>
    </row>
    <row r="434">
      <c r="B434" s="7" t="inlineStr">
        <is>
          <t>RC-0429</t>
        </is>
      </c>
      <c r="C434" s="11" t="inlineStr">
        <is>
          <t>Industry SMEs</t>
        </is>
      </c>
      <c r="D434" s="7" t="inlineStr">
        <is>
          <t>Capital Markets Consultant</t>
        </is>
      </c>
      <c r="E434" s="11" t="inlineStr">
        <is>
          <t>Capital Markets Domain</t>
        </is>
      </c>
      <c r="F434" s="11" t="inlineStr">
        <is>
          <t>Senior Manager</t>
        </is>
      </c>
      <c r="G434" s="21" t="inlineStr">
        <is>
          <t>Medium</t>
        </is>
      </c>
      <c r="H434" s="23">
        <f>VLOOKUP(F434,'Internal Cost Model'!$B$6:$F$15,5,FALSE)</f>
        <v/>
      </c>
      <c r="I434" s="24">
        <f>H434*VLOOKUP(G434,Assumptions!$B$43:$C$45,2,FALSE)</f>
        <v/>
      </c>
      <c r="J434" s="25">
        <f>VLOOKUP(F434,Assumptions!$B$50:$D$59,2,FALSE)*VLOOKUP("SI-T1",Assumptions!$B$27:$C$31,2,FALSE)*VLOOKUP(G434,Assumptions!$B$43:$C$45,2,FALSE)</f>
        <v/>
      </c>
    </row>
    <row r="435">
      <c r="B435" s="7" t="inlineStr">
        <is>
          <t>RC-0430</t>
        </is>
      </c>
      <c r="C435" s="11" t="inlineStr">
        <is>
          <t>Industry SMEs</t>
        </is>
      </c>
      <c r="D435" s="7" t="inlineStr">
        <is>
          <t>Capital Markets Consultant</t>
        </is>
      </c>
      <c r="E435" s="11" t="inlineStr">
        <is>
          <t>Capital Markets Domain</t>
        </is>
      </c>
      <c r="F435" s="11" t="inlineStr">
        <is>
          <t>Manager</t>
        </is>
      </c>
      <c r="G435" s="21" t="inlineStr">
        <is>
          <t>Medium</t>
        </is>
      </c>
      <c r="H435" s="23">
        <f>VLOOKUP(F435,'Internal Cost Model'!$B$6:$F$15,5,FALSE)</f>
        <v/>
      </c>
      <c r="I435" s="24">
        <f>H435*VLOOKUP(G435,Assumptions!$B$43:$C$45,2,FALSE)</f>
        <v/>
      </c>
      <c r="J435" s="25">
        <f>VLOOKUP(F435,Assumptions!$B$50:$D$59,2,FALSE)*VLOOKUP("SI-T1",Assumptions!$B$27:$C$31,2,FALSE)*VLOOKUP(G435,Assumptions!$B$43:$C$45,2,FALSE)</f>
        <v/>
      </c>
    </row>
    <row r="436">
      <c r="B436" s="7" t="inlineStr">
        <is>
          <t>RC-0431</t>
        </is>
      </c>
      <c r="C436" s="11" t="inlineStr">
        <is>
          <t>Industry SMEs</t>
        </is>
      </c>
      <c r="D436" s="7" t="inlineStr">
        <is>
          <t>Capital Markets Consultant</t>
        </is>
      </c>
      <c r="E436" s="11" t="inlineStr">
        <is>
          <t>Capital Markets Domain</t>
        </is>
      </c>
      <c r="F436" s="11" t="inlineStr">
        <is>
          <t>Lead</t>
        </is>
      </c>
      <c r="G436" s="21" t="inlineStr">
        <is>
          <t>Medium</t>
        </is>
      </c>
      <c r="H436" s="23">
        <f>VLOOKUP(F436,'Internal Cost Model'!$B$6:$F$15,5,FALSE)</f>
        <v/>
      </c>
      <c r="I436" s="24">
        <f>H436*VLOOKUP(G436,Assumptions!$B$43:$C$45,2,FALSE)</f>
        <v/>
      </c>
      <c r="J436" s="25">
        <f>VLOOKUP(F436,Assumptions!$B$50:$D$59,2,FALSE)*VLOOKUP("SI-T1",Assumptions!$B$27:$C$31,2,FALSE)*VLOOKUP(G436,Assumptions!$B$43:$C$45,2,FALSE)</f>
        <v/>
      </c>
    </row>
    <row r="437">
      <c r="B437" s="7" t="inlineStr">
        <is>
          <t>RC-0432</t>
        </is>
      </c>
      <c r="C437" s="11" t="inlineStr">
        <is>
          <t>Industry SMEs</t>
        </is>
      </c>
      <c r="D437" s="7" t="inlineStr">
        <is>
          <t>Capital Markets Consultant</t>
        </is>
      </c>
      <c r="E437" s="11" t="inlineStr">
        <is>
          <t>Capital Markets Domain</t>
        </is>
      </c>
      <c r="F437" s="11" t="inlineStr">
        <is>
          <t>Senior</t>
        </is>
      </c>
      <c r="G437" s="21" t="inlineStr">
        <is>
          <t>Medium</t>
        </is>
      </c>
      <c r="H437" s="23">
        <f>VLOOKUP(F437,'Internal Cost Model'!$B$6:$F$15,5,FALSE)</f>
        <v/>
      </c>
      <c r="I437" s="24">
        <f>H437*VLOOKUP(G437,Assumptions!$B$43:$C$45,2,FALSE)</f>
        <v/>
      </c>
      <c r="J437" s="25">
        <f>VLOOKUP(F437,Assumptions!$B$50:$D$59,2,FALSE)*VLOOKUP("SI-T1",Assumptions!$B$27:$C$31,2,FALSE)*VLOOKUP(G437,Assumptions!$B$43:$C$45,2,FALSE)</f>
        <v/>
      </c>
    </row>
    <row r="438">
      <c r="B438" s="7" t="inlineStr">
        <is>
          <t>RC-0433</t>
        </is>
      </c>
      <c r="C438" s="11" t="inlineStr">
        <is>
          <t>Industry SMEs</t>
        </is>
      </c>
      <c r="D438" s="7" t="inlineStr">
        <is>
          <t>Insurance Principal SME</t>
        </is>
      </c>
      <c r="E438" s="11" t="inlineStr">
        <is>
          <t>Insurance Domain</t>
        </is>
      </c>
      <c r="F438" s="11" t="inlineStr">
        <is>
          <t>Managing Director</t>
        </is>
      </c>
      <c r="G438" s="21" t="inlineStr">
        <is>
          <t>High</t>
        </is>
      </c>
      <c r="H438" s="23">
        <f>VLOOKUP(F438,'Internal Cost Model'!$B$6:$F$15,5,FALSE)</f>
        <v/>
      </c>
      <c r="I438" s="24">
        <f>H438*VLOOKUP(G438,Assumptions!$B$43:$C$45,2,FALSE)</f>
        <v/>
      </c>
      <c r="J438" s="25">
        <f>VLOOKUP(F438,Assumptions!$B$50:$D$59,2,FALSE)*VLOOKUP("SI-T1",Assumptions!$B$27:$C$31,2,FALSE)*VLOOKUP(G438,Assumptions!$B$43:$C$45,2,FALSE)</f>
        <v/>
      </c>
    </row>
    <row r="439">
      <c r="B439" s="7" t="inlineStr">
        <is>
          <t>RC-0434</t>
        </is>
      </c>
      <c r="C439" s="11" t="inlineStr">
        <is>
          <t>Industry SMEs</t>
        </is>
      </c>
      <c r="D439" s="7" t="inlineStr">
        <is>
          <t>Insurance Principal SME</t>
        </is>
      </c>
      <c r="E439" s="11" t="inlineStr">
        <is>
          <t>Insurance Domain</t>
        </is>
      </c>
      <c r="F439" s="11" t="inlineStr">
        <is>
          <t>Principal</t>
        </is>
      </c>
      <c r="G439" s="21" t="inlineStr">
        <is>
          <t>High</t>
        </is>
      </c>
      <c r="H439" s="23">
        <f>VLOOKUP(F439,'Internal Cost Model'!$B$6:$F$15,5,FALSE)</f>
        <v/>
      </c>
      <c r="I439" s="24">
        <f>H439*VLOOKUP(G439,Assumptions!$B$43:$C$45,2,FALSE)</f>
        <v/>
      </c>
      <c r="J439" s="25">
        <f>VLOOKUP(F439,Assumptions!$B$50:$D$59,2,FALSE)*VLOOKUP("SI-T1",Assumptions!$B$27:$C$31,2,FALSE)*VLOOKUP(G439,Assumptions!$B$43:$C$45,2,FALSE)</f>
        <v/>
      </c>
    </row>
    <row r="440">
      <c r="B440" s="7" t="inlineStr">
        <is>
          <t>RC-0435</t>
        </is>
      </c>
      <c r="C440" s="11" t="inlineStr">
        <is>
          <t>Industry SMEs</t>
        </is>
      </c>
      <c r="D440" s="7" t="inlineStr">
        <is>
          <t>Insurance Consultant</t>
        </is>
      </c>
      <c r="E440" s="11" t="inlineStr">
        <is>
          <t>Insurance Domain</t>
        </is>
      </c>
      <c r="F440" s="11" t="inlineStr">
        <is>
          <t>Senior Manager</t>
        </is>
      </c>
      <c r="G440" s="21" t="inlineStr">
        <is>
          <t>Medium</t>
        </is>
      </c>
      <c r="H440" s="23">
        <f>VLOOKUP(F440,'Internal Cost Model'!$B$6:$F$15,5,FALSE)</f>
        <v/>
      </c>
      <c r="I440" s="24">
        <f>H440*VLOOKUP(G440,Assumptions!$B$43:$C$45,2,FALSE)</f>
        <v/>
      </c>
      <c r="J440" s="25">
        <f>VLOOKUP(F440,Assumptions!$B$50:$D$59,2,FALSE)*VLOOKUP("SI-T1",Assumptions!$B$27:$C$31,2,FALSE)*VLOOKUP(G440,Assumptions!$B$43:$C$45,2,FALSE)</f>
        <v/>
      </c>
    </row>
    <row r="441">
      <c r="B441" s="7" t="inlineStr">
        <is>
          <t>RC-0436</t>
        </is>
      </c>
      <c r="C441" s="11" t="inlineStr">
        <is>
          <t>Industry SMEs</t>
        </is>
      </c>
      <c r="D441" s="7" t="inlineStr">
        <is>
          <t>Insurance Consultant</t>
        </is>
      </c>
      <c r="E441" s="11" t="inlineStr">
        <is>
          <t>Insurance Domain</t>
        </is>
      </c>
      <c r="F441" s="11" t="inlineStr">
        <is>
          <t>Manager</t>
        </is>
      </c>
      <c r="G441" s="21" t="inlineStr">
        <is>
          <t>Medium</t>
        </is>
      </c>
      <c r="H441" s="23">
        <f>VLOOKUP(F441,'Internal Cost Model'!$B$6:$F$15,5,FALSE)</f>
        <v/>
      </c>
      <c r="I441" s="24">
        <f>H441*VLOOKUP(G441,Assumptions!$B$43:$C$45,2,FALSE)</f>
        <v/>
      </c>
      <c r="J441" s="25">
        <f>VLOOKUP(F441,Assumptions!$B$50:$D$59,2,FALSE)*VLOOKUP("SI-T1",Assumptions!$B$27:$C$31,2,FALSE)*VLOOKUP(G441,Assumptions!$B$43:$C$45,2,FALSE)</f>
        <v/>
      </c>
    </row>
    <row r="442">
      <c r="B442" s="7" t="inlineStr">
        <is>
          <t>RC-0437</t>
        </is>
      </c>
      <c r="C442" s="11" t="inlineStr">
        <is>
          <t>Industry SMEs</t>
        </is>
      </c>
      <c r="D442" s="7" t="inlineStr">
        <is>
          <t>Insurance Consultant</t>
        </is>
      </c>
      <c r="E442" s="11" t="inlineStr">
        <is>
          <t>Insurance Domain</t>
        </is>
      </c>
      <c r="F442" s="11" t="inlineStr">
        <is>
          <t>Lead</t>
        </is>
      </c>
      <c r="G442" s="21" t="inlineStr">
        <is>
          <t>Medium</t>
        </is>
      </c>
      <c r="H442" s="23">
        <f>VLOOKUP(F442,'Internal Cost Model'!$B$6:$F$15,5,FALSE)</f>
        <v/>
      </c>
      <c r="I442" s="24">
        <f>H442*VLOOKUP(G442,Assumptions!$B$43:$C$45,2,FALSE)</f>
        <v/>
      </c>
      <c r="J442" s="25">
        <f>VLOOKUP(F442,Assumptions!$B$50:$D$59,2,FALSE)*VLOOKUP("SI-T1",Assumptions!$B$27:$C$31,2,FALSE)*VLOOKUP(G442,Assumptions!$B$43:$C$45,2,FALSE)</f>
        <v/>
      </c>
    </row>
    <row r="443">
      <c r="B443" s="7" t="inlineStr">
        <is>
          <t>RC-0438</t>
        </is>
      </c>
      <c r="C443" s="11" t="inlineStr">
        <is>
          <t>Industry SMEs</t>
        </is>
      </c>
      <c r="D443" s="7" t="inlineStr">
        <is>
          <t>Insurance Consultant</t>
        </is>
      </c>
      <c r="E443" s="11" t="inlineStr">
        <is>
          <t>Insurance Domain</t>
        </is>
      </c>
      <c r="F443" s="11" t="inlineStr">
        <is>
          <t>Senior</t>
        </is>
      </c>
      <c r="G443" s="21" t="inlineStr">
        <is>
          <t>Medium</t>
        </is>
      </c>
      <c r="H443" s="23">
        <f>VLOOKUP(F443,'Internal Cost Model'!$B$6:$F$15,5,FALSE)</f>
        <v/>
      </c>
      <c r="I443" s="24">
        <f>H443*VLOOKUP(G443,Assumptions!$B$43:$C$45,2,FALSE)</f>
        <v/>
      </c>
      <c r="J443" s="25">
        <f>VLOOKUP(F443,Assumptions!$B$50:$D$59,2,FALSE)*VLOOKUP("SI-T1",Assumptions!$B$27:$C$31,2,FALSE)*VLOOKUP(G443,Assumptions!$B$43:$C$45,2,FALSE)</f>
        <v/>
      </c>
    </row>
    <row r="444">
      <c r="B444" s="7" t="inlineStr">
        <is>
          <t>RC-0439</t>
        </is>
      </c>
      <c r="C444" s="11" t="inlineStr">
        <is>
          <t>Industry SMEs</t>
        </is>
      </c>
      <c r="D444" s="7" t="inlineStr">
        <is>
          <t>Payments Principal SME</t>
        </is>
      </c>
      <c r="E444" s="11" t="inlineStr">
        <is>
          <t>Payments Domain</t>
        </is>
      </c>
      <c r="F444" s="11" t="inlineStr">
        <is>
          <t>Managing Director</t>
        </is>
      </c>
      <c r="G444" s="21" t="inlineStr">
        <is>
          <t>High</t>
        </is>
      </c>
      <c r="H444" s="23">
        <f>VLOOKUP(F444,'Internal Cost Model'!$B$6:$F$15,5,FALSE)</f>
        <v/>
      </c>
      <c r="I444" s="24">
        <f>H444*VLOOKUP(G444,Assumptions!$B$43:$C$45,2,FALSE)</f>
        <v/>
      </c>
      <c r="J444" s="25">
        <f>VLOOKUP(F444,Assumptions!$B$50:$D$59,2,FALSE)*VLOOKUP("SI-T1",Assumptions!$B$27:$C$31,2,FALSE)*VLOOKUP(G444,Assumptions!$B$43:$C$45,2,FALSE)</f>
        <v/>
      </c>
    </row>
    <row r="445">
      <c r="B445" s="7" t="inlineStr">
        <is>
          <t>RC-0440</t>
        </is>
      </c>
      <c r="C445" s="11" t="inlineStr">
        <is>
          <t>Industry SMEs</t>
        </is>
      </c>
      <c r="D445" s="7" t="inlineStr">
        <is>
          <t>Payments Principal SME</t>
        </is>
      </c>
      <c r="E445" s="11" t="inlineStr">
        <is>
          <t>Payments Domain</t>
        </is>
      </c>
      <c r="F445" s="11" t="inlineStr">
        <is>
          <t>Principal</t>
        </is>
      </c>
      <c r="G445" s="21" t="inlineStr">
        <is>
          <t>High</t>
        </is>
      </c>
      <c r="H445" s="23">
        <f>VLOOKUP(F445,'Internal Cost Model'!$B$6:$F$15,5,FALSE)</f>
        <v/>
      </c>
      <c r="I445" s="24">
        <f>H445*VLOOKUP(G445,Assumptions!$B$43:$C$45,2,FALSE)</f>
        <v/>
      </c>
      <c r="J445" s="25">
        <f>VLOOKUP(F445,Assumptions!$B$50:$D$59,2,FALSE)*VLOOKUP("SI-T1",Assumptions!$B$27:$C$31,2,FALSE)*VLOOKUP(G445,Assumptions!$B$43:$C$45,2,FALSE)</f>
        <v/>
      </c>
    </row>
    <row r="446">
      <c r="B446" s="7" t="inlineStr">
        <is>
          <t>RC-0441</t>
        </is>
      </c>
      <c r="C446" s="11" t="inlineStr">
        <is>
          <t>Industry SMEs</t>
        </is>
      </c>
      <c r="D446" s="7" t="inlineStr">
        <is>
          <t>Payments Consultant</t>
        </is>
      </c>
      <c r="E446" s="11" t="inlineStr">
        <is>
          <t>Payments Domain</t>
        </is>
      </c>
      <c r="F446" s="11" t="inlineStr">
        <is>
          <t>Senior Manager</t>
        </is>
      </c>
      <c r="G446" s="21" t="inlineStr">
        <is>
          <t>Medium</t>
        </is>
      </c>
      <c r="H446" s="23">
        <f>VLOOKUP(F446,'Internal Cost Model'!$B$6:$F$15,5,FALSE)</f>
        <v/>
      </c>
      <c r="I446" s="24">
        <f>H446*VLOOKUP(G446,Assumptions!$B$43:$C$45,2,FALSE)</f>
        <v/>
      </c>
      <c r="J446" s="25">
        <f>VLOOKUP(F446,Assumptions!$B$50:$D$59,2,FALSE)*VLOOKUP("SI-T1",Assumptions!$B$27:$C$31,2,FALSE)*VLOOKUP(G446,Assumptions!$B$43:$C$45,2,FALSE)</f>
        <v/>
      </c>
    </row>
    <row r="447">
      <c r="B447" s="7" t="inlineStr">
        <is>
          <t>RC-0442</t>
        </is>
      </c>
      <c r="C447" s="11" t="inlineStr">
        <is>
          <t>Industry SMEs</t>
        </is>
      </c>
      <c r="D447" s="7" t="inlineStr">
        <is>
          <t>Payments Consultant</t>
        </is>
      </c>
      <c r="E447" s="11" t="inlineStr">
        <is>
          <t>Payments Domain</t>
        </is>
      </c>
      <c r="F447" s="11" t="inlineStr">
        <is>
          <t>Manager</t>
        </is>
      </c>
      <c r="G447" s="21" t="inlineStr">
        <is>
          <t>Medium</t>
        </is>
      </c>
      <c r="H447" s="23">
        <f>VLOOKUP(F447,'Internal Cost Model'!$B$6:$F$15,5,FALSE)</f>
        <v/>
      </c>
      <c r="I447" s="24">
        <f>H447*VLOOKUP(G447,Assumptions!$B$43:$C$45,2,FALSE)</f>
        <v/>
      </c>
      <c r="J447" s="25">
        <f>VLOOKUP(F447,Assumptions!$B$50:$D$59,2,FALSE)*VLOOKUP("SI-T1",Assumptions!$B$27:$C$31,2,FALSE)*VLOOKUP(G447,Assumptions!$B$43:$C$45,2,FALSE)</f>
        <v/>
      </c>
    </row>
    <row r="448">
      <c r="B448" s="7" t="inlineStr">
        <is>
          <t>RC-0443</t>
        </is>
      </c>
      <c r="C448" s="11" t="inlineStr">
        <is>
          <t>Industry SMEs</t>
        </is>
      </c>
      <c r="D448" s="7" t="inlineStr">
        <is>
          <t>Payments Consultant</t>
        </is>
      </c>
      <c r="E448" s="11" t="inlineStr">
        <is>
          <t>Payments Domain</t>
        </is>
      </c>
      <c r="F448" s="11" t="inlineStr">
        <is>
          <t>Lead</t>
        </is>
      </c>
      <c r="G448" s="21" t="inlineStr">
        <is>
          <t>Medium</t>
        </is>
      </c>
      <c r="H448" s="23">
        <f>VLOOKUP(F448,'Internal Cost Model'!$B$6:$F$15,5,FALSE)</f>
        <v/>
      </c>
      <c r="I448" s="24">
        <f>H448*VLOOKUP(G448,Assumptions!$B$43:$C$45,2,FALSE)</f>
        <v/>
      </c>
      <c r="J448" s="25">
        <f>VLOOKUP(F448,Assumptions!$B$50:$D$59,2,FALSE)*VLOOKUP("SI-T1",Assumptions!$B$27:$C$31,2,FALSE)*VLOOKUP(G448,Assumptions!$B$43:$C$45,2,FALSE)</f>
        <v/>
      </c>
    </row>
    <row r="449">
      <c r="B449" s="7" t="inlineStr">
        <is>
          <t>RC-0444</t>
        </is>
      </c>
      <c r="C449" s="11" t="inlineStr">
        <is>
          <t>Industry SMEs</t>
        </is>
      </c>
      <c r="D449" s="7" t="inlineStr">
        <is>
          <t>Payments Consultant</t>
        </is>
      </c>
      <c r="E449" s="11" t="inlineStr">
        <is>
          <t>Payments Domain</t>
        </is>
      </c>
      <c r="F449" s="11" t="inlineStr">
        <is>
          <t>Senior</t>
        </is>
      </c>
      <c r="G449" s="21" t="inlineStr">
        <is>
          <t>Medium</t>
        </is>
      </c>
      <c r="H449" s="23">
        <f>VLOOKUP(F449,'Internal Cost Model'!$B$6:$F$15,5,FALSE)</f>
        <v/>
      </c>
      <c r="I449" s="24">
        <f>H449*VLOOKUP(G449,Assumptions!$B$43:$C$45,2,FALSE)</f>
        <v/>
      </c>
      <c r="J449" s="25">
        <f>VLOOKUP(F449,Assumptions!$B$50:$D$59,2,FALSE)*VLOOKUP("SI-T1",Assumptions!$B$27:$C$31,2,FALSE)*VLOOKUP(G449,Assumptions!$B$43:$C$45,2,FALSE)</f>
        <v/>
      </c>
    </row>
    <row r="450">
      <c r="B450" s="7" t="inlineStr">
        <is>
          <t>RC-0445</t>
        </is>
      </c>
      <c r="C450" s="11" t="inlineStr">
        <is>
          <t>Industry SMEs</t>
        </is>
      </c>
      <c r="D450" s="7" t="inlineStr">
        <is>
          <t>Payer Principal SME</t>
        </is>
      </c>
      <c r="E450" s="11" t="inlineStr">
        <is>
          <t>Payer Domain</t>
        </is>
      </c>
      <c r="F450" s="11" t="inlineStr">
        <is>
          <t>Managing Director</t>
        </is>
      </c>
      <c r="G450" s="21" t="inlineStr">
        <is>
          <t>High</t>
        </is>
      </c>
      <c r="H450" s="23">
        <f>VLOOKUP(F450,'Internal Cost Model'!$B$6:$F$15,5,FALSE)</f>
        <v/>
      </c>
      <c r="I450" s="24">
        <f>H450*VLOOKUP(G450,Assumptions!$B$43:$C$45,2,FALSE)</f>
        <v/>
      </c>
      <c r="J450" s="25">
        <f>VLOOKUP(F450,Assumptions!$B$50:$D$59,2,FALSE)*VLOOKUP("SI-T1",Assumptions!$B$27:$C$31,2,FALSE)*VLOOKUP(G450,Assumptions!$B$43:$C$45,2,FALSE)</f>
        <v/>
      </c>
    </row>
    <row r="451">
      <c r="B451" s="7" t="inlineStr">
        <is>
          <t>RC-0446</t>
        </is>
      </c>
      <c r="C451" s="11" t="inlineStr">
        <is>
          <t>Industry SMEs</t>
        </is>
      </c>
      <c r="D451" s="7" t="inlineStr">
        <is>
          <t>Payer Principal SME</t>
        </is>
      </c>
      <c r="E451" s="11" t="inlineStr">
        <is>
          <t>Payer Domain</t>
        </is>
      </c>
      <c r="F451" s="11" t="inlineStr">
        <is>
          <t>Principal</t>
        </is>
      </c>
      <c r="G451" s="21" t="inlineStr">
        <is>
          <t>High</t>
        </is>
      </c>
      <c r="H451" s="23">
        <f>VLOOKUP(F451,'Internal Cost Model'!$B$6:$F$15,5,FALSE)</f>
        <v/>
      </c>
      <c r="I451" s="24">
        <f>H451*VLOOKUP(G451,Assumptions!$B$43:$C$45,2,FALSE)</f>
        <v/>
      </c>
      <c r="J451" s="25">
        <f>VLOOKUP(F451,Assumptions!$B$50:$D$59,2,FALSE)*VLOOKUP("SI-T1",Assumptions!$B$27:$C$31,2,FALSE)*VLOOKUP(G451,Assumptions!$B$43:$C$45,2,FALSE)</f>
        <v/>
      </c>
    </row>
    <row r="452">
      <c r="B452" s="7" t="inlineStr">
        <is>
          <t>RC-0447</t>
        </is>
      </c>
      <c r="C452" s="11" t="inlineStr">
        <is>
          <t>Industry SMEs</t>
        </is>
      </c>
      <c r="D452" s="7" t="inlineStr">
        <is>
          <t>Payer Consultant</t>
        </is>
      </c>
      <c r="E452" s="11" t="inlineStr">
        <is>
          <t>Payer Domain</t>
        </is>
      </c>
      <c r="F452" s="11" t="inlineStr">
        <is>
          <t>Senior Manager</t>
        </is>
      </c>
      <c r="G452" s="21" t="inlineStr">
        <is>
          <t>Medium</t>
        </is>
      </c>
      <c r="H452" s="23">
        <f>VLOOKUP(F452,'Internal Cost Model'!$B$6:$F$15,5,FALSE)</f>
        <v/>
      </c>
      <c r="I452" s="24">
        <f>H452*VLOOKUP(G452,Assumptions!$B$43:$C$45,2,FALSE)</f>
        <v/>
      </c>
      <c r="J452" s="25">
        <f>VLOOKUP(F452,Assumptions!$B$50:$D$59,2,FALSE)*VLOOKUP("SI-T1",Assumptions!$B$27:$C$31,2,FALSE)*VLOOKUP(G452,Assumptions!$B$43:$C$45,2,FALSE)</f>
        <v/>
      </c>
    </row>
    <row r="453">
      <c r="B453" s="7" t="inlineStr">
        <is>
          <t>RC-0448</t>
        </is>
      </c>
      <c r="C453" s="11" t="inlineStr">
        <is>
          <t>Industry SMEs</t>
        </is>
      </c>
      <c r="D453" s="7" t="inlineStr">
        <is>
          <t>Payer Consultant</t>
        </is>
      </c>
      <c r="E453" s="11" t="inlineStr">
        <is>
          <t>Payer Domain</t>
        </is>
      </c>
      <c r="F453" s="11" t="inlineStr">
        <is>
          <t>Manager</t>
        </is>
      </c>
      <c r="G453" s="21" t="inlineStr">
        <is>
          <t>Medium</t>
        </is>
      </c>
      <c r="H453" s="23">
        <f>VLOOKUP(F453,'Internal Cost Model'!$B$6:$F$15,5,FALSE)</f>
        <v/>
      </c>
      <c r="I453" s="24">
        <f>H453*VLOOKUP(G453,Assumptions!$B$43:$C$45,2,FALSE)</f>
        <v/>
      </c>
      <c r="J453" s="25">
        <f>VLOOKUP(F453,Assumptions!$B$50:$D$59,2,FALSE)*VLOOKUP("SI-T1",Assumptions!$B$27:$C$31,2,FALSE)*VLOOKUP(G453,Assumptions!$B$43:$C$45,2,FALSE)</f>
        <v/>
      </c>
    </row>
    <row r="454">
      <c r="B454" s="7" t="inlineStr">
        <is>
          <t>RC-0449</t>
        </is>
      </c>
      <c r="C454" s="11" t="inlineStr">
        <is>
          <t>Industry SMEs</t>
        </is>
      </c>
      <c r="D454" s="7" t="inlineStr">
        <is>
          <t>Payer Consultant</t>
        </is>
      </c>
      <c r="E454" s="11" t="inlineStr">
        <is>
          <t>Payer Domain</t>
        </is>
      </c>
      <c r="F454" s="11" t="inlineStr">
        <is>
          <t>Lead</t>
        </is>
      </c>
      <c r="G454" s="21" t="inlineStr">
        <is>
          <t>Medium</t>
        </is>
      </c>
      <c r="H454" s="23">
        <f>VLOOKUP(F454,'Internal Cost Model'!$B$6:$F$15,5,FALSE)</f>
        <v/>
      </c>
      <c r="I454" s="24">
        <f>H454*VLOOKUP(G454,Assumptions!$B$43:$C$45,2,FALSE)</f>
        <v/>
      </c>
      <c r="J454" s="25">
        <f>VLOOKUP(F454,Assumptions!$B$50:$D$59,2,FALSE)*VLOOKUP("SI-T1",Assumptions!$B$27:$C$31,2,FALSE)*VLOOKUP(G454,Assumptions!$B$43:$C$45,2,FALSE)</f>
        <v/>
      </c>
    </row>
    <row r="455">
      <c r="B455" s="7" t="inlineStr">
        <is>
          <t>RC-0450</t>
        </is>
      </c>
      <c r="C455" s="11" t="inlineStr">
        <is>
          <t>Industry SMEs</t>
        </is>
      </c>
      <c r="D455" s="7" t="inlineStr">
        <is>
          <t>Payer Consultant</t>
        </is>
      </c>
      <c r="E455" s="11" t="inlineStr">
        <is>
          <t>Payer Domain</t>
        </is>
      </c>
      <c r="F455" s="11" t="inlineStr">
        <is>
          <t>Senior</t>
        </is>
      </c>
      <c r="G455" s="21" t="inlineStr">
        <is>
          <t>Medium</t>
        </is>
      </c>
      <c r="H455" s="23">
        <f>VLOOKUP(F455,'Internal Cost Model'!$B$6:$F$15,5,FALSE)</f>
        <v/>
      </c>
      <c r="I455" s="24">
        <f>H455*VLOOKUP(G455,Assumptions!$B$43:$C$45,2,FALSE)</f>
        <v/>
      </c>
      <c r="J455" s="25">
        <f>VLOOKUP(F455,Assumptions!$B$50:$D$59,2,FALSE)*VLOOKUP("SI-T1",Assumptions!$B$27:$C$31,2,FALSE)*VLOOKUP(G455,Assumptions!$B$43:$C$45,2,FALSE)</f>
        <v/>
      </c>
    </row>
    <row r="456">
      <c r="B456" s="7" t="inlineStr">
        <is>
          <t>RC-0451</t>
        </is>
      </c>
      <c r="C456" s="11" t="inlineStr">
        <is>
          <t>Industry SMEs</t>
        </is>
      </c>
      <c r="D456" s="7" t="inlineStr">
        <is>
          <t>Provider Principal SME</t>
        </is>
      </c>
      <c r="E456" s="11" t="inlineStr">
        <is>
          <t>Provider Domain</t>
        </is>
      </c>
      <c r="F456" s="11" t="inlineStr">
        <is>
          <t>Managing Director</t>
        </is>
      </c>
      <c r="G456" s="21" t="inlineStr">
        <is>
          <t>High</t>
        </is>
      </c>
      <c r="H456" s="23">
        <f>VLOOKUP(F456,'Internal Cost Model'!$B$6:$F$15,5,FALSE)</f>
        <v/>
      </c>
      <c r="I456" s="24">
        <f>H456*VLOOKUP(G456,Assumptions!$B$43:$C$45,2,FALSE)</f>
        <v/>
      </c>
      <c r="J456" s="25">
        <f>VLOOKUP(F456,Assumptions!$B$50:$D$59,2,FALSE)*VLOOKUP("SI-T1",Assumptions!$B$27:$C$31,2,FALSE)*VLOOKUP(G456,Assumptions!$B$43:$C$45,2,FALSE)</f>
        <v/>
      </c>
    </row>
    <row r="457">
      <c r="B457" s="7" t="inlineStr">
        <is>
          <t>RC-0452</t>
        </is>
      </c>
      <c r="C457" s="11" t="inlineStr">
        <is>
          <t>Industry SMEs</t>
        </is>
      </c>
      <c r="D457" s="7" t="inlineStr">
        <is>
          <t>Provider Principal SME</t>
        </is>
      </c>
      <c r="E457" s="11" t="inlineStr">
        <is>
          <t>Provider Domain</t>
        </is>
      </c>
      <c r="F457" s="11" t="inlineStr">
        <is>
          <t>Principal</t>
        </is>
      </c>
      <c r="G457" s="21" t="inlineStr">
        <is>
          <t>High</t>
        </is>
      </c>
      <c r="H457" s="23">
        <f>VLOOKUP(F457,'Internal Cost Model'!$B$6:$F$15,5,FALSE)</f>
        <v/>
      </c>
      <c r="I457" s="24">
        <f>H457*VLOOKUP(G457,Assumptions!$B$43:$C$45,2,FALSE)</f>
        <v/>
      </c>
      <c r="J457" s="25">
        <f>VLOOKUP(F457,Assumptions!$B$50:$D$59,2,FALSE)*VLOOKUP("SI-T1",Assumptions!$B$27:$C$31,2,FALSE)*VLOOKUP(G457,Assumptions!$B$43:$C$45,2,FALSE)</f>
        <v/>
      </c>
    </row>
    <row r="458">
      <c r="B458" s="7" t="inlineStr">
        <is>
          <t>RC-0453</t>
        </is>
      </c>
      <c r="C458" s="11" t="inlineStr">
        <is>
          <t>Industry SMEs</t>
        </is>
      </c>
      <c r="D458" s="7" t="inlineStr">
        <is>
          <t>Provider Consultant</t>
        </is>
      </c>
      <c r="E458" s="11" t="inlineStr">
        <is>
          <t>Provider Domain</t>
        </is>
      </c>
      <c r="F458" s="11" t="inlineStr">
        <is>
          <t>Senior Manager</t>
        </is>
      </c>
      <c r="G458" s="21" t="inlineStr">
        <is>
          <t>Medium</t>
        </is>
      </c>
      <c r="H458" s="23">
        <f>VLOOKUP(F458,'Internal Cost Model'!$B$6:$F$15,5,FALSE)</f>
        <v/>
      </c>
      <c r="I458" s="24">
        <f>H458*VLOOKUP(G458,Assumptions!$B$43:$C$45,2,FALSE)</f>
        <v/>
      </c>
      <c r="J458" s="25">
        <f>VLOOKUP(F458,Assumptions!$B$50:$D$59,2,FALSE)*VLOOKUP("SI-T1",Assumptions!$B$27:$C$31,2,FALSE)*VLOOKUP(G458,Assumptions!$B$43:$C$45,2,FALSE)</f>
        <v/>
      </c>
    </row>
    <row r="459">
      <c r="B459" s="7" t="inlineStr">
        <is>
          <t>RC-0454</t>
        </is>
      </c>
      <c r="C459" s="11" t="inlineStr">
        <is>
          <t>Industry SMEs</t>
        </is>
      </c>
      <c r="D459" s="7" t="inlineStr">
        <is>
          <t>Provider Consultant</t>
        </is>
      </c>
      <c r="E459" s="11" t="inlineStr">
        <is>
          <t>Provider Domain</t>
        </is>
      </c>
      <c r="F459" s="11" t="inlineStr">
        <is>
          <t>Manager</t>
        </is>
      </c>
      <c r="G459" s="21" t="inlineStr">
        <is>
          <t>Medium</t>
        </is>
      </c>
      <c r="H459" s="23">
        <f>VLOOKUP(F459,'Internal Cost Model'!$B$6:$F$15,5,FALSE)</f>
        <v/>
      </c>
      <c r="I459" s="24">
        <f>H459*VLOOKUP(G459,Assumptions!$B$43:$C$45,2,FALSE)</f>
        <v/>
      </c>
      <c r="J459" s="25">
        <f>VLOOKUP(F459,Assumptions!$B$50:$D$59,2,FALSE)*VLOOKUP("SI-T1",Assumptions!$B$27:$C$31,2,FALSE)*VLOOKUP(G459,Assumptions!$B$43:$C$45,2,FALSE)</f>
        <v/>
      </c>
    </row>
    <row r="460">
      <c r="B460" s="7" t="inlineStr">
        <is>
          <t>RC-0455</t>
        </is>
      </c>
      <c r="C460" s="11" t="inlineStr">
        <is>
          <t>Industry SMEs</t>
        </is>
      </c>
      <c r="D460" s="7" t="inlineStr">
        <is>
          <t>Provider Consultant</t>
        </is>
      </c>
      <c r="E460" s="11" t="inlineStr">
        <is>
          <t>Provider Domain</t>
        </is>
      </c>
      <c r="F460" s="11" t="inlineStr">
        <is>
          <t>Lead</t>
        </is>
      </c>
      <c r="G460" s="21" t="inlineStr">
        <is>
          <t>Medium</t>
        </is>
      </c>
      <c r="H460" s="23">
        <f>VLOOKUP(F460,'Internal Cost Model'!$B$6:$F$15,5,FALSE)</f>
        <v/>
      </c>
      <c r="I460" s="24">
        <f>H460*VLOOKUP(G460,Assumptions!$B$43:$C$45,2,FALSE)</f>
        <v/>
      </c>
      <c r="J460" s="25">
        <f>VLOOKUP(F460,Assumptions!$B$50:$D$59,2,FALSE)*VLOOKUP("SI-T1",Assumptions!$B$27:$C$31,2,FALSE)*VLOOKUP(G460,Assumptions!$B$43:$C$45,2,FALSE)</f>
        <v/>
      </c>
    </row>
    <row r="461">
      <c r="B461" s="7" t="inlineStr">
        <is>
          <t>RC-0456</t>
        </is>
      </c>
      <c r="C461" s="11" t="inlineStr">
        <is>
          <t>Industry SMEs</t>
        </is>
      </c>
      <c r="D461" s="7" t="inlineStr">
        <is>
          <t>Provider Consultant</t>
        </is>
      </c>
      <c r="E461" s="11" t="inlineStr">
        <is>
          <t>Provider Domain</t>
        </is>
      </c>
      <c r="F461" s="11" t="inlineStr">
        <is>
          <t>Senior</t>
        </is>
      </c>
      <c r="G461" s="21" t="inlineStr">
        <is>
          <t>Medium</t>
        </is>
      </c>
      <c r="H461" s="23">
        <f>VLOOKUP(F461,'Internal Cost Model'!$B$6:$F$15,5,FALSE)</f>
        <v/>
      </c>
      <c r="I461" s="24">
        <f>H461*VLOOKUP(G461,Assumptions!$B$43:$C$45,2,FALSE)</f>
        <v/>
      </c>
      <c r="J461" s="25">
        <f>VLOOKUP(F461,Assumptions!$B$50:$D$59,2,FALSE)*VLOOKUP("SI-T1",Assumptions!$B$27:$C$31,2,FALSE)*VLOOKUP(G461,Assumptions!$B$43:$C$45,2,FALSE)</f>
        <v/>
      </c>
    </row>
    <row r="462">
      <c r="B462" s="7" t="inlineStr">
        <is>
          <t>RC-0457</t>
        </is>
      </c>
      <c r="C462" s="11" t="inlineStr">
        <is>
          <t>Industry SMEs</t>
        </is>
      </c>
      <c r="D462" s="7" t="inlineStr">
        <is>
          <t>Life Sciences Principal SME</t>
        </is>
      </c>
      <c r="E462" s="11" t="inlineStr">
        <is>
          <t>Life Sciences Domain</t>
        </is>
      </c>
      <c r="F462" s="11" t="inlineStr">
        <is>
          <t>Managing Director</t>
        </is>
      </c>
      <c r="G462" s="21" t="inlineStr">
        <is>
          <t>High</t>
        </is>
      </c>
      <c r="H462" s="23">
        <f>VLOOKUP(F462,'Internal Cost Model'!$B$6:$F$15,5,FALSE)</f>
        <v/>
      </c>
      <c r="I462" s="24">
        <f>H462*VLOOKUP(G462,Assumptions!$B$43:$C$45,2,FALSE)</f>
        <v/>
      </c>
      <c r="J462" s="25">
        <f>VLOOKUP(F462,Assumptions!$B$50:$D$59,2,FALSE)*VLOOKUP("SI-T1",Assumptions!$B$27:$C$31,2,FALSE)*VLOOKUP(G462,Assumptions!$B$43:$C$45,2,FALSE)</f>
        <v/>
      </c>
    </row>
    <row r="463">
      <c r="B463" s="7" t="inlineStr">
        <is>
          <t>RC-0458</t>
        </is>
      </c>
      <c r="C463" s="11" t="inlineStr">
        <is>
          <t>Industry SMEs</t>
        </is>
      </c>
      <c r="D463" s="7" t="inlineStr">
        <is>
          <t>Life Sciences Principal SME</t>
        </is>
      </c>
      <c r="E463" s="11" t="inlineStr">
        <is>
          <t>Life Sciences Domain</t>
        </is>
      </c>
      <c r="F463" s="11" t="inlineStr">
        <is>
          <t>Principal</t>
        </is>
      </c>
      <c r="G463" s="21" t="inlineStr">
        <is>
          <t>High</t>
        </is>
      </c>
      <c r="H463" s="23">
        <f>VLOOKUP(F463,'Internal Cost Model'!$B$6:$F$15,5,FALSE)</f>
        <v/>
      </c>
      <c r="I463" s="24">
        <f>H463*VLOOKUP(G463,Assumptions!$B$43:$C$45,2,FALSE)</f>
        <v/>
      </c>
      <c r="J463" s="25">
        <f>VLOOKUP(F463,Assumptions!$B$50:$D$59,2,FALSE)*VLOOKUP("SI-T1",Assumptions!$B$27:$C$31,2,FALSE)*VLOOKUP(G463,Assumptions!$B$43:$C$45,2,FALSE)</f>
        <v/>
      </c>
    </row>
    <row r="464">
      <c r="B464" s="7" t="inlineStr">
        <is>
          <t>RC-0459</t>
        </is>
      </c>
      <c r="C464" s="11" t="inlineStr">
        <is>
          <t>Industry SMEs</t>
        </is>
      </c>
      <c r="D464" s="7" t="inlineStr">
        <is>
          <t>Life Sciences Consultant</t>
        </is>
      </c>
      <c r="E464" s="11" t="inlineStr">
        <is>
          <t>Life Sciences Domain</t>
        </is>
      </c>
      <c r="F464" s="11" t="inlineStr">
        <is>
          <t>Senior Manager</t>
        </is>
      </c>
      <c r="G464" s="21" t="inlineStr">
        <is>
          <t>Medium</t>
        </is>
      </c>
      <c r="H464" s="23">
        <f>VLOOKUP(F464,'Internal Cost Model'!$B$6:$F$15,5,FALSE)</f>
        <v/>
      </c>
      <c r="I464" s="24">
        <f>H464*VLOOKUP(G464,Assumptions!$B$43:$C$45,2,FALSE)</f>
        <v/>
      </c>
      <c r="J464" s="25">
        <f>VLOOKUP(F464,Assumptions!$B$50:$D$59,2,FALSE)*VLOOKUP("SI-T1",Assumptions!$B$27:$C$31,2,FALSE)*VLOOKUP(G464,Assumptions!$B$43:$C$45,2,FALSE)</f>
        <v/>
      </c>
    </row>
    <row r="465">
      <c r="B465" s="7" t="inlineStr">
        <is>
          <t>RC-0460</t>
        </is>
      </c>
      <c r="C465" s="11" t="inlineStr">
        <is>
          <t>Industry SMEs</t>
        </is>
      </c>
      <c r="D465" s="7" t="inlineStr">
        <is>
          <t>Life Sciences Consultant</t>
        </is>
      </c>
      <c r="E465" s="11" t="inlineStr">
        <is>
          <t>Life Sciences Domain</t>
        </is>
      </c>
      <c r="F465" s="11" t="inlineStr">
        <is>
          <t>Manager</t>
        </is>
      </c>
      <c r="G465" s="21" t="inlineStr">
        <is>
          <t>Medium</t>
        </is>
      </c>
      <c r="H465" s="23">
        <f>VLOOKUP(F465,'Internal Cost Model'!$B$6:$F$15,5,FALSE)</f>
        <v/>
      </c>
      <c r="I465" s="24">
        <f>H465*VLOOKUP(G465,Assumptions!$B$43:$C$45,2,FALSE)</f>
        <v/>
      </c>
      <c r="J465" s="25">
        <f>VLOOKUP(F465,Assumptions!$B$50:$D$59,2,FALSE)*VLOOKUP("SI-T1",Assumptions!$B$27:$C$31,2,FALSE)*VLOOKUP(G465,Assumptions!$B$43:$C$45,2,FALSE)</f>
        <v/>
      </c>
    </row>
    <row r="466">
      <c r="B466" s="7" t="inlineStr">
        <is>
          <t>RC-0461</t>
        </is>
      </c>
      <c r="C466" s="11" t="inlineStr">
        <is>
          <t>Industry SMEs</t>
        </is>
      </c>
      <c r="D466" s="7" t="inlineStr">
        <is>
          <t>Life Sciences Consultant</t>
        </is>
      </c>
      <c r="E466" s="11" t="inlineStr">
        <is>
          <t>Life Sciences Domain</t>
        </is>
      </c>
      <c r="F466" s="11" t="inlineStr">
        <is>
          <t>Lead</t>
        </is>
      </c>
      <c r="G466" s="21" t="inlineStr">
        <is>
          <t>Medium</t>
        </is>
      </c>
      <c r="H466" s="23">
        <f>VLOOKUP(F466,'Internal Cost Model'!$B$6:$F$15,5,FALSE)</f>
        <v/>
      </c>
      <c r="I466" s="24">
        <f>H466*VLOOKUP(G466,Assumptions!$B$43:$C$45,2,FALSE)</f>
        <v/>
      </c>
      <c r="J466" s="25">
        <f>VLOOKUP(F466,Assumptions!$B$50:$D$59,2,FALSE)*VLOOKUP("SI-T1",Assumptions!$B$27:$C$31,2,FALSE)*VLOOKUP(G466,Assumptions!$B$43:$C$45,2,FALSE)</f>
        <v/>
      </c>
    </row>
    <row r="467">
      <c r="B467" s="7" t="inlineStr">
        <is>
          <t>RC-0462</t>
        </is>
      </c>
      <c r="C467" s="11" t="inlineStr">
        <is>
          <t>Industry SMEs</t>
        </is>
      </c>
      <c r="D467" s="7" t="inlineStr">
        <is>
          <t>Life Sciences Consultant</t>
        </is>
      </c>
      <c r="E467" s="11" t="inlineStr">
        <is>
          <t>Life Sciences Domain</t>
        </is>
      </c>
      <c r="F467" s="11" t="inlineStr">
        <is>
          <t>Senior</t>
        </is>
      </c>
      <c r="G467" s="21" t="inlineStr">
        <is>
          <t>Medium</t>
        </is>
      </c>
      <c r="H467" s="23">
        <f>VLOOKUP(F467,'Internal Cost Model'!$B$6:$F$15,5,FALSE)</f>
        <v/>
      </c>
      <c r="I467" s="24">
        <f>H467*VLOOKUP(G467,Assumptions!$B$43:$C$45,2,FALSE)</f>
        <v/>
      </c>
      <c r="J467" s="25">
        <f>VLOOKUP(F467,Assumptions!$B$50:$D$59,2,FALSE)*VLOOKUP("SI-T1",Assumptions!$B$27:$C$31,2,FALSE)*VLOOKUP(G467,Assumptions!$B$43:$C$45,2,FALSE)</f>
        <v/>
      </c>
    </row>
    <row r="468">
      <c r="B468" s="7" t="inlineStr">
        <is>
          <t>RC-0463</t>
        </is>
      </c>
      <c r="C468" s="11" t="inlineStr">
        <is>
          <t>Industry SMEs</t>
        </is>
      </c>
      <c r="D468" s="7" t="inlineStr">
        <is>
          <t>Energy &amp; Utilities Principal SME</t>
        </is>
      </c>
      <c r="E468" s="11" t="inlineStr">
        <is>
          <t>Energy &amp; Utilities Domain</t>
        </is>
      </c>
      <c r="F468" s="11" t="inlineStr">
        <is>
          <t>Managing Director</t>
        </is>
      </c>
      <c r="G468" s="21" t="inlineStr">
        <is>
          <t>High</t>
        </is>
      </c>
      <c r="H468" s="23">
        <f>VLOOKUP(F468,'Internal Cost Model'!$B$6:$F$15,5,FALSE)</f>
        <v/>
      </c>
      <c r="I468" s="24">
        <f>H468*VLOOKUP(G468,Assumptions!$B$43:$C$45,2,FALSE)</f>
        <v/>
      </c>
      <c r="J468" s="25">
        <f>VLOOKUP(F468,Assumptions!$B$50:$D$59,2,FALSE)*VLOOKUP("SI-T1",Assumptions!$B$27:$C$31,2,FALSE)*VLOOKUP(G468,Assumptions!$B$43:$C$45,2,FALSE)</f>
        <v/>
      </c>
    </row>
    <row r="469">
      <c r="B469" s="7" t="inlineStr">
        <is>
          <t>RC-0464</t>
        </is>
      </c>
      <c r="C469" s="11" t="inlineStr">
        <is>
          <t>Industry SMEs</t>
        </is>
      </c>
      <c r="D469" s="7" t="inlineStr">
        <is>
          <t>Energy &amp; Utilities Principal SME</t>
        </is>
      </c>
      <c r="E469" s="11" t="inlineStr">
        <is>
          <t>Energy &amp; Utilities Domain</t>
        </is>
      </c>
      <c r="F469" s="11" t="inlineStr">
        <is>
          <t>Principal</t>
        </is>
      </c>
      <c r="G469" s="21" t="inlineStr">
        <is>
          <t>High</t>
        </is>
      </c>
      <c r="H469" s="23">
        <f>VLOOKUP(F469,'Internal Cost Model'!$B$6:$F$15,5,FALSE)</f>
        <v/>
      </c>
      <c r="I469" s="24">
        <f>H469*VLOOKUP(G469,Assumptions!$B$43:$C$45,2,FALSE)</f>
        <v/>
      </c>
      <c r="J469" s="25">
        <f>VLOOKUP(F469,Assumptions!$B$50:$D$59,2,FALSE)*VLOOKUP("SI-T1",Assumptions!$B$27:$C$31,2,FALSE)*VLOOKUP(G469,Assumptions!$B$43:$C$45,2,FALSE)</f>
        <v/>
      </c>
    </row>
    <row r="470">
      <c r="B470" s="7" t="inlineStr">
        <is>
          <t>RC-0465</t>
        </is>
      </c>
      <c r="C470" s="11" t="inlineStr">
        <is>
          <t>Industry SMEs</t>
        </is>
      </c>
      <c r="D470" s="7" t="inlineStr">
        <is>
          <t>Energy &amp; Utilities Consultant</t>
        </is>
      </c>
      <c r="E470" s="11" t="inlineStr">
        <is>
          <t>Energy &amp; Utilities Domain</t>
        </is>
      </c>
      <c r="F470" s="11" t="inlineStr">
        <is>
          <t>Senior Manager</t>
        </is>
      </c>
      <c r="G470" s="21" t="inlineStr">
        <is>
          <t>Medium</t>
        </is>
      </c>
      <c r="H470" s="23">
        <f>VLOOKUP(F470,'Internal Cost Model'!$B$6:$F$15,5,FALSE)</f>
        <v/>
      </c>
      <c r="I470" s="24">
        <f>H470*VLOOKUP(G470,Assumptions!$B$43:$C$45,2,FALSE)</f>
        <v/>
      </c>
      <c r="J470" s="25">
        <f>VLOOKUP(F470,Assumptions!$B$50:$D$59,2,FALSE)*VLOOKUP("SI-T1",Assumptions!$B$27:$C$31,2,FALSE)*VLOOKUP(G470,Assumptions!$B$43:$C$45,2,FALSE)</f>
        <v/>
      </c>
    </row>
    <row r="471">
      <c r="B471" s="7" t="inlineStr">
        <is>
          <t>RC-0466</t>
        </is>
      </c>
      <c r="C471" s="11" t="inlineStr">
        <is>
          <t>Industry SMEs</t>
        </is>
      </c>
      <c r="D471" s="7" t="inlineStr">
        <is>
          <t>Energy &amp; Utilities Consultant</t>
        </is>
      </c>
      <c r="E471" s="11" t="inlineStr">
        <is>
          <t>Energy &amp; Utilities Domain</t>
        </is>
      </c>
      <c r="F471" s="11" t="inlineStr">
        <is>
          <t>Manager</t>
        </is>
      </c>
      <c r="G471" s="21" t="inlineStr">
        <is>
          <t>Medium</t>
        </is>
      </c>
      <c r="H471" s="23">
        <f>VLOOKUP(F471,'Internal Cost Model'!$B$6:$F$15,5,FALSE)</f>
        <v/>
      </c>
      <c r="I471" s="24">
        <f>H471*VLOOKUP(G471,Assumptions!$B$43:$C$45,2,FALSE)</f>
        <v/>
      </c>
      <c r="J471" s="25">
        <f>VLOOKUP(F471,Assumptions!$B$50:$D$59,2,FALSE)*VLOOKUP("SI-T1",Assumptions!$B$27:$C$31,2,FALSE)*VLOOKUP(G471,Assumptions!$B$43:$C$45,2,FALSE)</f>
        <v/>
      </c>
    </row>
    <row r="472">
      <c r="B472" s="7" t="inlineStr">
        <is>
          <t>RC-0467</t>
        </is>
      </c>
      <c r="C472" s="11" t="inlineStr">
        <is>
          <t>Industry SMEs</t>
        </is>
      </c>
      <c r="D472" s="7" t="inlineStr">
        <is>
          <t>Energy &amp; Utilities Consultant</t>
        </is>
      </c>
      <c r="E472" s="11" t="inlineStr">
        <is>
          <t>Energy &amp; Utilities Domain</t>
        </is>
      </c>
      <c r="F472" s="11" t="inlineStr">
        <is>
          <t>Lead</t>
        </is>
      </c>
      <c r="G472" s="21" t="inlineStr">
        <is>
          <t>Medium</t>
        </is>
      </c>
      <c r="H472" s="23">
        <f>VLOOKUP(F472,'Internal Cost Model'!$B$6:$F$15,5,FALSE)</f>
        <v/>
      </c>
      <c r="I472" s="24">
        <f>H472*VLOOKUP(G472,Assumptions!$B$43:$C$45,2,FALSE)</f>
        <v/>
      </c>
      <c r="J472" s="25">
        <f>VLOOKUP(F472,Assumptions!$B$50:$D$59,2,FALSE)*VLOOKUP("SI-T1",Assumptions!$B$27:$C$31,2,FALSE)*VLOOKUP(G472,Assumptions!$B$43:$C$45,2,FALSE)</f>
        <v/>
      </c>
    </row>
    <row r="473">
      <c r="B473" s="7" t="inlineStr">
        <is>
          <t>RC-0468</t>
        </is>
      </c>
      <c r="C473" s="11" t="inlineStr">
        <is>
          <t>Industry SMEs</t>
        </is>
      </c>
      <c r="D473" s="7" t="inlineStr">
        <is>
          <t>Energy &amp; Utilities Consultant</t>
        </is>
      </c>
      <c r="E473" s="11" t="inlineStr">
        <is>
          <t>Energy &amp; Utilities Domain</t>
        </is>
      </c>
      <c r="F473" s="11" t="inlineStr">
        <is>
          <t>Senior</t>
        </is>
      </c>
      <c r="G473" s="21" t="inlineStr">
        <is>
          <t>Medium</t>
        </is>
      </c>
      <c r="H473" s="23">
        <f>VLOOKUP(F473,'Internal Cost Model'!$B$6:$F$15,5,FALSE)</f>
        <v/>
      </c>
      <c r="I473" s="24">
        <f>H473*VLOOKUP(G473,Assumptions!$B$43:$C$45,2,FALSE)</f>
        <v/>
      </c>
      <c r="J473" s="25">
        <f>VLOOKUP(F473,Assumptions!$B$50:$D$59,2,FALSE)*VLOOKUP("SI-T1",Assumptions!$B$27:$C$31,2,FALSE)*VLOOKUP(G473,Assumptions!$B$43:$C$45,2,FALSE)</f>
        <v/>
      </c>
    </row>
    <row r="474">
      <c r="B474" s="7" t="inlineStr">
        <is>
          <t>RC-0469</t>
        </is>
      </c>
      <c r="C474" s="11" t="inlineStr">
        <is>
          <t>Industry SMEs</t>
        </is>
      </c>
      <c r="D474" s="7" t="inlineStr">
        <is>
          <t>Telecom Principal SME</t>
        </is>
      </c>
      <c r="E474" s="11" t="inlineStr">
        <is>
          <t>Telecom Domain</t>
        </is>
      </c>
      <c r="F474" s="11" t="inlineStr">
        <is>
          <t>Managing Director</t>
        </is>
      </c>
      <c r="G474" s="21" t="inlineStr">
        <is>
          <t>High</t>
        </is>
      </c>
      <c r="H474" s="23">
        <f>VLOOKUP(F474,'Internal Cost Model'!$B$6:$F$15,5,FALSE)</f>
        <v/>
      </c>
      <c r="I474" s="24">
        <f>H474*VLOOKUP(G474,Assumptions!$B$43:$C$45,2,FALSE)</f>
        <v/>
      </c>
      <c r="J474" s="25">
        <f>VLOOKUP(F474,Assumptions!$B$50:$D$59,2,FALSE)*VLOOKUP("SI-T1",Assumptions!$B$27:$C$31,2,FALSE)*VLOOKUP(G474,Assumptions!$B$43:$C$45,2,FALSE)</f>
        <v/>
      </c>
    </row>
    <row r="475">
      <c r="B475" s="7" t="inlineStr">
        <is>
          <t>RC-0470</t>
        </is>
      </c>
      <c r="C475" s="11" t="inlineStr">
        <is>
          <t>Industry SMEs</t>
        </is>
      </c>
      <c r="D475" s="7" t="inlineStr">
        <is>
          <t>Telecom Principal SME</t>
        </is>
      </c>
      <c r="E475" s="11" t="inlineStr">
        <is>
          <t>Telecom Domain</t>
        </is>
      </c>
      <c r="F475" s="11" t="inlineStr">
        <is>
          <t>Principal</t>
        </is>
      </c>
      <c r="G475" s="21" t="inlineStr">
        <is>
          <t>High</t>
        </is>
      </c>
      <c r="H475" s="23">
        <f>VLOOKUP(F475,'Internal Cost Model'!$B$6:$F$15,5,FALSE)</f>
        <v/>
      </c>
      <c r="I475" s="24">
        <f>H475*VLOOKUP(G475,Assumptions!$B$43:$C$45,2,FALSE)</f>
        <v/>
      </c>
      <c r="J475" s="25">
        <f>VLOOKUP(F475,Assumptions!$B$50:$D$59,2,FALSE)*VLOOKUP("SI-T1",Assumptions!$B$27:$C$31,2,FALSE)*VLOOKUP(G475,Assumptions!$B$43:$C$45,2,FALSE)</f>
        <v/>
      </c>
    </row>
    <row r="476">
      <c r="B476" s="7" t="inlineStr">
        <is>
          <t>RC-0471</t>
        </is>
      </c>
      <c r="C476" s="11" t="inlineStr">
        <is>
          <t>Industry SMEs</t>
        </is>
      </c>
      <c r="D476" s="7" t="inlineStr">
        <is>
          <t>Telecom Consultant</t>
        </is>
      </c>
      <c r="E476" s="11" t="inlineStr">
        <is>
          <t>Telecom Domain</t>
        </is>
      </c>
      <c r="F476" s="11" t="inlineStr">
        <is>
          <t>Senior Manager</t>
        </is>
      </c>
      <c r="G476" s="21" t="inlineStr">
        <is>
          <t>Medium</t>
        </is>
      </c>
      <c r="H476" s="23">
        <f>VLOOKUP(F476,'Internal Cost Model'!$B$6:$F$15,5,FALSE)</f>
        <v/>
      </c>
      <c r="I476" s="24">
        <f>H476*VLOOKUP(G476,Assumptions!$B$43:$C$45,2,FALSE)</f>
        <v/>
      </c>
      <c r="J476" s="25">
        <f>VLOOKUP(F476,Assumptions!$B$50:$D$59,2,FALSE)*VLOOKUP("SI-T1",Assumptions!$B$27:$C$31,2,FALSE)*VLOOKUP(G476,Assumptions!$B$43:$C$45,2,FALSE)</f>
        <v/>
      </c>
    </row>
    <row r="477">
      <c r="B477" s="7" t="inlineStr">
        <is>
          <t>RC-0472</t>
        </is>
      </c>
      <c r="C477" s="11" t="inlineStr">
        <is>
          <t>Industry SMEs</t>
        </is>
      </c>
      <c r="D477" s="7" t="inlineStr">
        <is>
          <t>Telecom Consultant</t>
        </is>
      </c>
      <c r="E477" s="11" t="inlineStr">
        <is>
          <t>Telecom Domain</t>
        </is>
      </c>
      <c r="F477" s="11" t="inlineStr">
        <is>
          <t>Manager</t>
        </is>
      </c>
      <c r="G477" s="21" t="inlineStr">
        <is>
          <t>Medium</t>
        </is>
      </c>
      <c r="H477" s="23">
        <f>VLOOKUP(F477,'Internal Cost Model'!$B$6:$F$15,5,FALSE)</f>
        <v/>
      </c>
      <c r="I477" s="24">
        <f>H477*VLOOKUP(G477,Assumptions!$B$43:$C$45,2,FALSE)</f>
        <v/>
      </c>
      <c r="J477" s="25">
        <f>VLOOKUP(F477,Assumptions!$B$50:$D$59,2,FALSE)*VLOOKUP("SI-T1",Assumptions!$B$27:$C$31,2,FALSE)*VLOOKUP(G477,Assumptions!$B$43:$C$45,2,FALSE)</f>
        <v/>
      </c>
    </row>
    <row r="478">
      <c r="B478" s="7" t="inlineStr">
        <is>
          <t>RC-0473</t>
        </is>
      </c>
      <c r="C478" s="11" t="inlineStr">
        <is>
          <t>Industry SMEs</t>
        </is>
      </c>
      <c r="D478" s="7" t="inlineStr">
        <is>
          <t>Telecom Consultant</t>
        </is>
      </c>
      <c r="E478" s="11" t="inlineStr">
        <is>
          <t>Telecom Domain</t>
        </is>
      </c>
      <c r="F478" s="11" t="inlineStr">
        <is>
          <t>Lead</t>
        </is>
      </c>
      <c r="G478" s="21" t="inlineStr">
        <is>
          <t>Medium</t>
        </is>
      </c>
      <c r="H478" s="23">
        <f>VLOOKUP(F478,'Internal Cost Model'!$B$6:$F$15,5,FALSE)</f>
        <v/>
      </c>
      <c r="I478" s="24">
        <f>H478*VLOOKUP(G478,Assumptions!$B$43:$C$45,2,FALSE)</f>
        <v/>
      </c>
      <c r="J478" s="25">
        <f>VLOOKUP(F478,Assumptions!$B$50:$D$59,2,FALSE)*VLOOKUP("SI-T1",Assumptions!$B$27:$C$31,2,FALSE)*VLOOKUP(G478,Assumptions!$B$43:$C$45,2,FALSE)</f>
        <v/>
      </c>
    </row>
    <row r="479">
      <c r="B479" s="7" t="inlineStr">
        <is>
          <t>RC-0474</t>
        </is>
      </c>
      <c r="C479" s="11" t="inlineStr">
        <is>
          <t>Industry SMEs</t>
        </is>
      </c>
      <c r="D479" s="7" t="inlineStr">
        <is>
          <t>Telecom Consultant</t>
        </is>
      </c>
      <c r="E479" s="11" t="inlineStr">
        <is>
          <t>Telecom Domain</t>
        </is>
      </c>
      <c r="F479" s="11" t="inlineStr">
        <is>
          <t>Senior</t>
        </is>
      </c>
      <c r="G479" s="21" t="inlineStr">
        <is>
          <t>Medium</t>
        </is>
      </c>
      <c r="H479" s="23">
        <f>VLOOKUP(F479,'Internal Cost Model'!$B$6:$F$15,5,FALSE)</f>
        <v/>
      </c>
      <c r="I479" s="24">
        <f>H479*VLOOKUP(G479,Assumptions!$B$43:$C$45,2,FALSE)</f>
        <v/>
      </c>
      <c r="J479" s="25">
        <f>VLOOKUP(F479,Assumptions!$B$50:$D$59,2,FALSE)*VLOOKUP("SI-T1",Assumptions!$B$27:$C$31,2,FALSE)*VLOOKUP(G479,Assumptions!$B$43:$C$45,2,FALSE)</f>
        <v/>
      </c>
    </row>
    <row r="480">
      <c r="B480" s="7" t="inlineStr">
        <is>
          <t>RC-0475</t>
        </is>
      </c>
      <c r="C480" s="11" t="inlineStr">
        <is>
          <t>Industry SMEs</t>
        </is>
      </c>
      <c r="D480" s="7" t="inlineStr">
        <is>
          <t>Media Principal SME</t>
        </is>
      </c>
      <c r="E480" s="11" t="inlineStr">
        <is>
          <t>Media Domain</t>
        </is>
      </c>
      <c r="F480" s="11" t="inlineStr">
        <is>
          <t>Managing Director</t>
        </is>
      </c>
      <c r="G480" s="21" t="inlineStr">
        <is>
          <t>High</t>
        </is>
      </c>
      <c r="H480" s="23">
        <f>VLOOKUP(F480,'Internal Cost Model'!$B$6:$F$15,5,FALSE)</f>
        <v/>
      </c>
      <c r="I480" s="24">
        <f>H480*VLOOKUP(G480,Assumptions!$B$43:$C$45,2,FALSE)</f>
        <v/>
      </c>
      <c r="J480" s="25">
        <f>VLOOKUP(F480,Assumptions!$B$50:$D$59,2,FALSE)*VLOOKUP("SI-T1",Assumptions!$B$27:$C$31,2,FALSE)*VLOOKUP(G480,Assumptions!$B$43:$C$45,2,FALSE)</f>
        <v/>
      </c>
    </row>
    <row r="481">
      <c r="B481" s="7" t="inlineStr">
        <is>
          <t>RC-0476</t>
        </is>
      </c>
      <c r="C481" s="11" t="inlineStr">
        <is>
          <t>Industry SMEs</t>
        </is>
      </c>
      <c r="D481" s="7" t="inlineStr">
        <is>
          <t>Media Principal SME</t>
        </is>
      </c>
      <c r="E481" s="11" t="inlineStr">
        <is>
          <t>Media Domain</t>
        </is>
      </c>
      <c r="F481" s="11" t="inlineStr">
        <is>
          <t>Principal</t>
        </is>
      </c>
      <c r="G481" s="21" t="inlineStr">
        <is>
          <t>High</t>
        </is>
      </c>
      <c r="H481" s="23">
        <f>VLOOKUP(F481,'Internal Cost Model'!$B$6:$F$15,5,FALSE)</f>
        <v/>
      </c>
      <c r="I481" s="24">
        <f>H481*VLOOKUP(G481,Assumptions!$B$43:$C$45,2,FALSE)</f>
        <v/>
      </c>
      <c r="J481" s="25">
        <f>VLOOKUP(F481,Assumptions!$B$50:$D$59,2,FALSE)*VLOOKUP("SI-T1",Assumptions!$B$27:$C$31,2,FALSE)*VLOOKUP(G481,Assumptions!$B$43:$C$45,2,FALSE)</f>
        <v/>
      </c>
    </row>
    <row r="482">
      <c r="B482" s="7" t="inlineStr">
        <is>
          <t>RC-0477</t>
        </is>
      </c>
      <c r="C482" s="11" t="inlineStr">
        <is>
          <t>Industry SMEs</t>
        </is>
      </c>
      <c r="D482" s="7" t="inlineStr">
        <is>
          <t>Media Consultant</t>
        </is>
      </c>
      <c r="E482" s="11" t="inlineStr">
        <is>
          <t>Media Domain</t>
        </is>
      </c>
      <c r="F482" s="11" t="inlineStr">
        <is>
          <t>Senior Manager</t>
        </is>
      </c>
      <c r="G482" s="21" t="inlineStr">
        <is>
          <t>Medium</t>
        </is>
      </c>
      <c r="H482" s="23">
        <f>VLOOKUP(F482,'Internal Cost Model'!$B$6:$F$15,5,FALSE)</f>
        <v/>
      </c>
      <c r="I482" s="24">
        <f>H482*VLOOKUP(G482,Assumptions!$B$43:$C$45,2,FALSE)</f>
        <v/>
      </c>
      <c r="J482" s="25">
        <f>VLOOKUP(F482,Assumptions!$B$50:$D$59,2,FALSE)*VLOOKUP("SI-T1",Assumptions!$B$27:$C$31,2,FALSE)*VLOOKUP(G482,Assumptions!$B$43:$C$45,2,FALSE)</f>
        <v/>
      </c>
    </row>
    <row r="483">
      <c r="B483" s="7" t="inlineStr">
        <is>
          <t>RC-0478</t>
        </is>
      </c>
      <c r="C483" s="11" t="inlineStr">
        <is>
          <t>Industry SMEs</t>
        </is>
      </c>
      <c r="D483" s="7" t="inlineStr">
        <is>
          <t>Media Consultant</t>
        </is>
      </c>
      <c r="E483" s="11" t="inlineStr">
        <is>
          <t>Media Domain</t>
        </is>
      </c>
      <c r="F483" s="11" t="inlineStr">
        <is>
          <t>Manager</t>
        </is>
      </c>
      <c r="G483" s="21" t="inlineStr">
        <is>
          <t>Medium</t>
        </is>
      </c>
      <c r="H483" s="23">
        <f>VLOOKUP(F483,'Internal Cost Model'!$B$6:$F$15,5,FALSE)</f>
        <v/>
      </c>
      <c r="I483" s="24">
        <f>H483*VLOOKUP(G483,Assumptions!$B$43:$C$45,2,FALSE)</f>
        <v/>
      </c>
      <c r="J483" s="25">
        <f>VLOOKUP(F483,Assumptions!$B$50:$D$59,2,FALSE)*VLOOKUP("SI-T1",Assumptions!$B$27:$C$31,2,FALSE)*VLOOKUP(G483,Assumptions!$B$43:$C$45,2,FALSE)</f>
        <v/>
      </c>
    </row>
    <row r="484">
      <c r="B484" s="7" t="inlineStr">
        <is>
          <t>RC-0479</t>
        </is>
      </c>
      <c r="C484" s="11" t="inlineStr">
        <is>
          <t>Industry SMEs</t>
        </is>
      </c>
      <c r="D484" s="7" t="inlineStr">
        <is>
          <t>Media Consultant</t>
        </is>
      </c>
      <c r="E484" s="11" t="inlineStr">
        <is>
          <t>Media Domain</t>
        </is>
      </c>
      <c r="F484" s="11" t="inlineStr">
        <is>
          <t>Lead</t>
        </is>
      </c>
      <c r="G484" s="21" t="inlineStr">
        <is>
          <t>Medium</t>
        </is>
      </c>
      <c r="H484" s="23">
        <f>VLOOKUP(F484,'Internal Cost Model'!$B$6:$F$15,5,FALSE)</f>
        <v/>
      </c>
      <c r="I484" s="24">
        <f>H484*VLOOKUP(G484,Assumptions!$B$43:$C$45,2,FALSE)</f>
        <v/>
      </c>
      <c r="J484" s="25">
        <f>VLOOKUP(F484,Assumptions!$B$50:$D$59,2,FALSE)*VLOOKUP("SI-T1",Assumptions!$B$27:$C$31,2,FALSE)*VLOOKUP(G484,Assumptions!$B$43:$C$45,2,FALSE)</f>
        <v/>
      </c>
    </row>
    <row r="485">
      <c r="B485" s="7" t="inlineStr">
        <is>
          <t>RC-0480</t>
        </is>
      </c>
      <c r="C485" s="11" t="inlineStr">
        <is>
          <t>Industry SMEs</t>
        </is>
      </c>
      <c r="D485" s="7" t="inlineStr">
        <is>
          <t>Media Consultant</t>
        </is>
      </c>
      <c r="E485" s="11" t="inlineStr">
        <is>
          <t>Media Domain</t>
        </is>
      </c>
      <c r="F485" s="11" t="inlineStr">
        <is>
          <t>Senior</t>
        </is>
      </c>
      <c r="G485" s="21" t="inlineStr">
        <is>
          <t>Medium</t>
        </is>
      </c>
      <c r="H485" s="23">
        <f>VLOOKUP(F485,'Internal Cost Model'!$B$6:$F$15,5,FALSE)</f>
        <v/>
      </c>
      <c r="I485" s="24">
        <f>H485*VLOOKUP(G485,Assumptions!$B$43:$C$45,2,FALSE)</f>
        <v/>
      </c>
      <c r="J485" s="25">
        <f>VLOOKUP(F485,Assumptions!$B$50:$D$59,2,FALSE)*VLOOKUP("SI-T1",Assumptions!$B$27:$C$31,2,FALSE)*VLOOKUP(G485,Assumptions!$B$43:$C$45,2,FALSE)</f>
        <v/>
      </c>
    </row>
    <row r="486">
      <c r="B486" s="7" t="inlineStr">
        <is>
          <t>RC-0481</t>
        </is>
      </c>
      <c r="C486" s="11" t="inlineStr">
        <is>
          <t>Business Process</t>
        </is>
      </c>
      <c r="D486" s="7" t="inlineStr">
        <is>
          <t>Process Architect</t>
        </is>
      </c>
      <c r="E486" s="11" t="inlineStr">
        <is>
          <t>Process Design</t>
        </is>
      </c>
      <c r="F486" s="11" t="inlineStr">
        <is>
          <t>Director</t>
        </is>
      </c>
      <c r="G486" s="21" t="inlineStr">
        <is>
          <t>Medium</t>
        </is>
      </c>
      <c r="H486" s="23">
        <f>VLOOKUP(F486,'Internal Cost Model'!$B$6:$F$15,5,FALSE)</f>
        <v/>
      </c>
      <c r="I486" s="24">
        <f>H486*VLOOKUP(G486,Assumptions!$B$43:$C$45,2,FALSE)</f>
        <v/>
      </c>
      <c r="J486" s="25">
        <f>VLOOKUP(F486,Assumptions!$B$50:$D$59,2,FALSE)*VLOOKUP("SI-T1",Assumptions!$B$27:$C$31,2,FALSE)*VLOOKUP(G486,Assumptions!$B$43:$C$45,2,FALSE)</f>
        <v/>
      </c>
    </row>
    <row r="487">
      <c r="B487" s="7" t="inlineStr">
        <is>
          <t>RC-0482</t>
        </is>
      </c>
      <c r="C487" s="11" t="inlineStr">
        <is>
          <t>Business Process</t>
        </is>
      </c>
      <c r="D487" s="7" t="inlineStr">
        <is>
          <t>Process Architect</t>
        </is>
      </c>
      <c r="E487" s="11" t="inlineStr">
        <is>
          <t>Process Design</t>
        </is>
      </c>
      <c r="F487" s="11" t="inlineStr">
        <is>
          <t>Senior Manager</t>
        </is>
      </c>
      <c r="G487" s="21" t="inlineStr">
        <is>
          <t>Medium</t>
        </is>
      </c>
      <c r="H487" s="23">
        <f>VLOOKUP(F487,'Internal Cost Model'!$B$6:$F$15,5,FALSE)</f>
        <v/>
      </c>
      <c r="I487" s="24">
        <f>H487*VLOOKUP(G487,Assumptions!$B$43:$C$45,2,FALSE)</f>
        <v/>
      </c>
      <c r="J487" s="25">
        <f>VLOOKUP(F487,Assumptions!$B$50:$D$59,2,FALSE)*VLOOKUP("SI-T1",Assumptions!$B$27:$C$31,2,FALSE)*VLOOKUP(G487,Assumptions!$B$43:$C$45,2,FALSE)</f>
        <v/>
      </c>
    </row>
    <row r="488">
      <c r="B488" s="7" t="inlineStr">
        <is>
          <t>RC-0483</t>
        </is>
      </c>
      <c r="C488" s="11" t="inlineStr">
        <is>
          <t>Business Process</t>
        </is>
      </c>
      <c r="D488" s="7" t="inlineStr">
        <is>
          <t>Process Architect</t>
        </is>
      </c>
      <c r="E488" s="11" t="inlineStr">
        <is>
          <t>Process Design</t>
        </is>
      </c>
      <c r="F488" s="11" t="inlineStr">
        <is>
          <t>Manager</t>
        </is>
      </c>
      <c r="G488" s="21" t="inlineStr">
        <is>
          <t>Medium</t>
        </is>
      </c>
      <c r="H488" s="23">
        <f>VLOOKUP(F488,'Internal Cost Model'!$B$6:$F$15,5,FALSE)</f>
        <v/>
      </c>
      <c r="I488" s="24">
        <f>H488*VLOOKUP(G488,Assumptions!$B$43:$C$45,2,FALSE)</f>
        <v/>
      </c>
      <c r="J488" s="25">
        <f>VLOOKUP(F488,Assumptions!$B$50:$D$59,2,FALSE)*VLOOKUP("SI-T1",Assumptions!$B$27:$C$31,2,FALSE)*VLOOKUP(G488,Assumptions!$B$43:$C$45,2,FALSE)</f>
        <v/>
      </c>
    </row>
    <row r="489">
      <c r="B489" s="7" t="inlineStr">
        <is>
          <t>RC-0484</t>
        </is>
      </c>
      <c r="C489" s="11" t="inlineStr">
        <is>
          <t>Business Process</t>
        </is>
      </c>
      <c r="D489" s="7" t="inlineStr">
        <is>
          <t>Process Architect</t>
        </is>
      </c>
      <c r="E489" s="11" t="inlineStr">
        <is>
          <t>Process Design</t>
        </is>
      </c>
      <c r="F489" s="11" t="inlineStr">
        <is>
          <t>Lead</t>
        </is>
      </c>
      <c r="G489" s="21" t="inlineStr">
        <is>
          <t>Medium</t>
        </is>
      </c>
      <c r="H489" s="23">
        <f>VLOOKUP(F489,'Internal Cost Model'!$B$6:$F$15,5,FALSE)</f>
        <v/>
      </c>
      <c r="I489" s="24">
        <f>H489*VLOOKUP(G489,Assumptions!$B$43:$C$45,2,FALSE)</f>
        <v/>
      </c>
      <c r="J489" s="25">
        <f>VLOOKUP(F489,Assumptions!$B$50:$D$59,2,FALSE)*VLOOKUP("SI-T1",Assumptions!$B$27:$C$31,2,FALSE)*VLOOKUP(G489,Assumptions!$B$43:$C$45,2,FALSE)</f>
        <v/>
      </c>
    </row>
    <row r="490">
      <c r="B490" s="7" t="inlineStr">
        <is>
          <t>RC-0485</t>
        </is>
      </c>
      <c r="C490" s="11" t="inlineStr">
        <is>
          <t>Business Process</t>
        </is>
      </c>
      <c r="D490" s="7" t="inlineStr">
        <is>
          <t>RPA Developer</t>
        </is>
      </c>
      <c r="E490" s="11" t="inlineStr">
        <is>
          <t>Robotic Process Automation</t>
        </is>
      </c>
      <c r="F490" s="11" t="inlineStr">
        <is>
          <t>Senior</t>
        </is>
      </c>
      <c r="G490" s="21" t="inlineStr">
        <is>
          <t>Medium</t>
        </is>
      </c>
      <c r="H490" s="23">
        <f>VLOOKUP(F490,'Internal Cost Model'!$B$6:$F$15,5,FALSE)</f>
        <v/>
      </c>
      <c r="I490" s="24">
        <f>H490*VLOOKUP(G490,Assumptions!$B$43:$C$45,2,FALSE)</f>
        <v/>
      </c>
      <c r="J490" s="25">
        <f>VLOOKUP(F490,Assumptions!$B$50:$D$59,2,FALSE)*VLOOKUP("SI-T1",Assumptions!$B$27:$C$31,2,FALSE)*VLOOKUP(G490,Assumptions!$B$43:$C$45,2,FALSE)</f>
        <v/>
      </c>
    </row>
    <row r="491">
      <c r="B491" s="7" t="inlineStr">
        <is>
          <t>RC-0486</t>
        </is>
      </c>
      <c r="C491" s="11" t="inlineStr">
        <is>
          <t>Business Process</t>
        </is>
      </c>
      <c r="D491" s="7" t="inlineStr">
        <is>
          <t>RPA Developer</t>
        </is>
      </c>
      <c r="E491" s="11" t="inlineStr">
        <is>
          <t>Robotic Process Automation</t>
        </is>
      </c>
      <c r="F491" s="11" t="inlineStr">
        <is>
          <t>Intermediate</t>
        </is>
      </c>
      <c r="G491" s="21" t="inlineStr">
        <is>
          <t>Medium</t>
        </is>
      </c>
      <c r="H491" s="23">
        <f>VLOOKUP(F491,'Internal Cost Model'!$B$6:$F$15,5,FALSE)</f>
        <v/>
      </c>
      <c r="I491" s="24">
        <f>H491*VLOOKUP(G491,Assumptions!$B$43:$C$45,2,FALSE)</f>
        <v/>
      </c>
      <c r="J491" s="25">
        <f>VLOOKUP(F491,Assumptions!$B$50:$D$59,2,FALSE)*VLOOKUP("SI-T1",Assumptions!$B$27:$C$31,2,FALSE)*VLOOKUP(G491,Assumptions!$B$43:$C$45,2,FALSE)</f>
        <v/>
      </c>
    </row>
    <row r="492">
      <c r="B492" s="7" t="inlineStr">
        <is>
          <t>RC-0487</t>
        </is>
      </c>
      <c r="C492" s="11" t="inlineStr">
        <is>
          <t>Business Process</t>
        </is>
      </c>
      <c r="D492" s="7" t="inlineStr">
        <is>
          <t>Workflow Designer</t>
        </is>
      </c>
      <c r="E492" s="11" t="inlineStr">
        <is>
          <t>Intelligent Automation</t>
        </is>
      </c>
      <c r="F492" s="11" t="inlineStr">
        <is>
          <t>Senior</t>
        </is>
      </c>
      <c r="G492" s="21" t="inlineStr">
        <is>
          <t>Medium</t>
        </is>
      </c>
      <c r="H492" s="23">
        <f>VLOOKUP(F492,'Internal Cost Model'!$B$6:$F$15,5,FALSE)</f>
        <v/>
      </c>
      <c r="I492" s="24">
        <f>H492*VLOOKUP(G492,Assumptions!$B$43:$C$45,2,FALSE)</f>
        <v/>
      </c>
      <c r="J492" s="25">
        <f>VLOOKUP(F492,Assumptions!$B$50:$D$59,2,FALSE)*VLOOKUP("SI-T1",Assumptions!$B$27:$C$31,2,FALSE)*VLOOKUP(G492,Assumptions!$B$43:$C$45,2,FALSE)</f>
        <v/>
      </c>
    </row>
    <row r="493">
      <c r="B493" s="7" t="inlineStr">
        <is>
          <t>RC-0488</t>
        </is>
      </c>
      <c r="C493" s="11" t="inlineStr">
        <is>
          <t>Business Process</t>
        </is>
      </c>
      <c r="D493" s="7" t="inlineStr">
        <is>
          <t>Workflow Designer</t>
        </is>
      </c>
      <c r="E493" s="11" t="inlineStr">
        <is>
          <t>Intelligent Automation</t>
        </is>
      </c>
      <c r="F493" s="11" t="inlineStr">
        <is>
          <t>Intermediate</t>
        </is>
      </c>
      <c r="G493" s="21" t="inlineStr">
        <is>
          <t>Medium</t>
        </is>
      </c>
      <c r="H493" s="23">
        <f>VLOOKUP(F493,'Internal Cost Model'!$B$6:$F$15,5,FALSE)</f>
        <v/>
      </c>
      <c r="I493" s="24">
        <f>H493*VLOOKUP(G493,Assumptions!$B$43:$C$45,2,FALSE)</f>
        <v/>
      </c>
      <c r="J493" s="25">
        <f>VLOOKUP(F493,Assumptions!$B$50:$D$59,2,FALSE)*VLOOKUP("SI-T1",Assumptions!$B$27:$C$31,2,FALSE)*VLOOKUP(G493,Assumptions!$B$43:$C$45,2,FALSE)</f>
        <v/>
      </c>
    </row>
    <row r="494">
      <c r="B494" s="7" t="inlineStr">
        <is>
          <t>RC-0489</t>
        </is>
      </c>
      <c r="C494" s="11" t="inlineStr">
        <is>
          <t>Business Process</t>
        </is>
      </c>
      <c r="D494" s="7" t="inlineStr">
        <is>
          <t>Process Analyst</t>
        </is>
      </c>
      <c r="E494" s="11" t="inlineStr">
        <is>
          <t>Process Mining</t>
        </is>
      </c>
      <c r="F494" s="11" t="inlineStr">
        <is>
          <t>Senior</t>
        </is>
      </c>
      <c r="G494" s="21" t="inlineStr">
        <is>
          <t>Low</t>
        </is>
      </c>
      <c r="H494" s="23">
        <f>VLOOKUP(F494,'Internal Cost Model'!$B$6:$F$15,5,FALSE)</f>
        <v/>
      </c>
      <c r="I494" s="24">
        <f>H494*VLOOKUP(G494,Assumptions!$B$43:$C$45,2,FALSE)</f>
        <v/>
      </c>
      <c r="J494" s="25">
        <f>VLOOKUP(F494,Assumptions!$B$50:$D$59,2,FALSE)*VLOOKUP("SI-T1",Assumptions!$B$27:$C$31,2,FALSE)*VLOOKUP(G494,Assumptions!$B$43:$C$45,2,FALSE)</f>
        <v/>
      </c>
    </row>
    <row r="495">
      <c r="B495" s="7" t="inlineStr">
        <is>
          <t>RC-0490</t>
        </is>
      </c>
      <c r="C495" s="11" t="inlineStr">
        <is>
          <t>Business Process</t>
        </is>
      </c>
      <c r="D495" s="7" t="inlineStr">
        <is>
          <t>Process Analyst</t>
        </is>
      </c>
      <c r="E495" s="11" t="inlineStr">
        <is>
          <t>Process Mining</t>
        </is>
      </c>
      <c r="F495" s="11" t="inlineStr">
        <is>
          <t>Intermediate</t>
        </is>
      </c>
      <c r="G495" s="21" t="inlineStr">
        <is>
          <t>Low</t>
        </is>
      </c>
      <c r="H495" s="23">
        <f>VLOOKUP(F495,'Internal Cost Model'!$B$6:$F$15,5,FALSE)</f>
        <v/>
      </c>
      <c r="I495" s="24">
        <f>H495*VLOOKUP(G495,Assumptions!$B$43:$C$45,2,FALSE)</f>
        <v/>
      </c>
      <c r="J495" s="25">
        <f>VLOOKUP(F495,Assumptions!$B$50:$D$59,2,FALSE)*VLOOKUP("SI-T1",Assumptions!$B$27:$C$31,2,FALSE)*VLOOKUP(G495,Assumptions!$B$43:$C$45,2,FALSE)</f>
        <v/>
      </c>
    </row>
    <row r="496">
      <c r="B496" s="7" t="inlineStr">
        <is>
          <t>RC-0491</t>
        </is>
      </c>
      <c r="C496" s="11" t="inlineStr">
        <is>
          <t>Business Process</t>
        </is>
      </c>
      <c r="D496" s="7" t="inlineStr">
        <is>
          <t>Process Analyst</t>
        </is>
      </c>
      <c r="E496" s="11" t="inlineStr">
        <is>
          <t>Process Mining</t>
        </is>
      </c>
      <c r="F496" s="11" t="inlineStr">
        <is>
          <t>Junior</t>
        </is>
      </c>
      <c r="G496" s="21" t="inlineStr">
        <is>
          <t>Low</t>
        </is>
      </c>
      <c r="H496" s="23">
        <f>VLOOKUP(F496,'Internal Cost Model'!$B$6:$F$15,5,FALSE)</f>
        <v/>
      </c>
      <c r="I496" s="24">
        <f>H496*VLOOKUP(G496,Assumptions!$B$43:$C$45,2,FALSE)</f>
        <v/>
      </c>
      <c r="J496" s="25">
        <f>VLOOKUP(F496,Assumptions!$B$50:$D$59,2,FALSE)*VLOOKUP("SI-T1",Assumptions!$B$27:$C$31,2,FALSE)*VLOOKUP(G496,Assumptions!$B$43:$C$45,2,FALSE)</f>
        <v/>
      </c>
    </row>
    <row r="497">
      <c r="B497" s="7" t="inlineStr">
        <is>
          <t>RC-0492</t>
        </is>
      </c>
      <c r="C497" s="11" t="inlineStr">
        <is>
          <t>Data &amp; Analytics</t>
        </is>
      </c>
      <c r="D497" s="7" t="inlineStr">
        <is>
          <t>Analytics Engineer (dbt)</t>
        </is>
      </c>
      <c r="E497" s="11" t="inlineStr">
        <is>
          <t>Data Engineering</t>
        </is>
      </c>
      <c r="F497" s="11" t="inlineStr">
        <is>
          <t>Lead</t>
        </is>
      </c>
      <c r="G497" s="21" t="inlineStr">
        <is>
          <t>High</t>
        </is>
      </c>
      <c r="H497" s="23">
        <f>VLOOKUP(F497,'Internal Cost Model'!$B$6:$F$15,5,FALSE)</f>
        <v/>
      </c>
      <c r="I497" s="24">
        <f>H497*VLOOKUP(G497,Assumptions!$B$43:$C$45,2,FALSE)</f>
        <v/>
      </c>
      <c r="J497" s="25">
        <f>VLOOKUP(F497,Assumptions!$B$50:$D$59,2,FALSE)*VLOOKUP("SI-T1",Assumptions!$B$27:$C$31,2,FALSE)*VLOOKUP(G497,Assumptions!$B$43:$C$45,2,FALSE)</f>
        <v/>
      </c>
    </row>
    <row r="498">
      <c r="B498" s="7" t="inlineStr">
        <is>
          <t>RC-0493</t>
        </is>
      </c>
      <c r="C498" s="11" t="inlineStr">
        <is>
          <t>Data &amp; Analytics</t>
        </is>
      </c>
      <c r="D498" s="7" t="inlineStr">
        <is>
          <t>Analytics Engineer (dbt)</t>
        </is>
      </c>
      <c r="E498" s="11" t="inlineStr">
        <is>
          <t>Data Engineering</t>
        </is>
      </c>
      <c r="F498" s="11" t="inlineStr">
        <is>
          <t>Senior</t>
        </is>
      </c>
      <c r="G498" s="21" t="inlineStr">
        <is>
          <t>High</t>
        </is>
      </c>
      <c r="H498" s="23">
        <f>VLOOKUP(F498,'Internal Cost Model'!$B$6:$F$15,5,FALSE)</f>
        <v/>
      </c>
      <c r="I498" s="24">
        <f>H498*VLOOKUP(G498,Assumptions!$B$43:$C$45,2,FALSE)</f>
        <v/>
      </c>
      <c r="J498" s="25">
        <f>VLOOKUP(F498,Assumptions!$B$50:$D$59,2,FALSE)*VLOOKUP("SI-T1",Assumptions!$B$27:$C$31,2,FALSE)*VLOOKUP(G498,Assumptions!$B$43:$C$45,2,FALSE)</f>
        <v/>
      </c>
    </row>
    <row r="499">
      <c r="B499" s="7" t="inlineStr">
        <is>
          <t>RC-0494</t>
        </is>
      </c>
      <c r="C499" s="11" t="inlineStr">
        <is>
          <t>Data &amp; Analytics</t>
        </is>
      </c>
      <c r="D499" s="7" t="inlineStr">
        <is>
          <t>Analytics Engineer (dbt)</t>
        </is>
      </c>
      <c r="E499" s="11" t="inlineStr">
        <is>
          <t>Data Engineering</t>
        </is>
      </c>
      <c r="F499" s="11" t="inlineStr">
        <is>
          <t>Intermediate</t>
        </is>
      </c>
      <c r="G499" s="21" t="inlineStr">
        <is>
          <t>High</t>
        </is>
      </c>
      <c r="H499" s="23">
        <f>VLOOKUP(F499,'Internal Cost Model'!$B$6:$F$15,5,FALSE)</f>
        <v/>
      </c>
      <c r="I499" s="24">
        <f>H499*VLOOKUP(G499,Assumptions!$B$43:$C$45,2,FALSE)</f>
        <v/>
      </c>
      <c r="J499" s="25">
        <f>VLOOKUP(F499,Assumptions!$B$50:$D$59,2,FALSE)*VLOOKUP("SI-T1",Assumptions!$B$27:$C$31,2,FALSE)*VLOOKUP(G499,Assumptions!$B$43:$C$45,2,FALSE)</f>
        <v/>
      </c>
    </row>
    <row r="500">
      <c r="B500" s="7" t="inlineStr">
        <is>
          <t>RC-0495</t>
        </is>
      </c>
      <c r="C500" s="11" t="inlineStr">
        <is>
          <t>Data &amp; Analytics</t>
        </is>
      </c>
      <c r="D500" s="7" t="inlineStr">
        <is>
          <t>Streaming Data Engineer</t>
        </is>
      </c>
      <c r="E500" s="11" t="inlineStr">
        <is>
          <t>Data Engineering</t>
        </is>
      </c>
      <c r="F500" s="11" t="inlineStr">
        <is>
          <t>Lead</t>
        </is>
      </c>
      <c r="G500" s="21" t="inlineStr">
        <is>
          <t>High</t>
        </is>
      </c>
      <c r="H500" s="23">
        <f>VLOOKUP(F500,'Internal Cost Model'!$B$6:$F$15,5,FALSE)</f>
        <v/>
      </c>
      <c r="I500" s="24">
        <f>H500*VLOOKUP(G500,Assumptions!$B$43:$C$45,2,FALSE)</f>
        <v/>
      </c>
      <c r="J500" s="25">
        <f>VLOOKUP(F500,Assumptions!$B$50:$D$59,2,FALSE)*VLOOKUP("SI-T1",Assumptions!$B$27:$C$31,2,FALSE)*VLOOKUP(G500,Assumptions!$B$43:$C$45,2,FALSE)</f>
        <v/>
      </c>
    </row>
    <row r="501">
      <c r="B501" s="7" t="inlineStr">
        <is>
          <t>RC-0496</t>
        </is>
      </c>
      <c r="C501" s="11" t="inlineStr">
        <is>
          <t>Data &amp; Analytics</t>
        </is>
      </c>
      <c r="D501" s="7" t="inlineStr">
        <is>
          <t>Streaming Data Engineer</t>
        </is>
      </c>
      <c r="E501" s="11" t="inlineStr">
        <is>
          <t>Data Engineering</t>
        </is>
      </c>
      <c r="F501" s="11" t="inlineStr">
        <is>
          <t>Senior</t>
        </is>
      </c>
      <c r="G501" s="21" t="inlineStr">
        <is>
          <t>High</t>
        </is>
      </c>
      <c r="H501" s="23">
        <f>VLOOKUP(F501,'Internal Cost Model'!$B$6:$F$15,5,FALSE)</f>
        <v/>
      </c>
      <c r="I501" s="24">
        <f>H501*VLOOKUP(G501,Assumptions!$B$43:$C$45,2,FALSE)</f>
        <v/>
      </c>
      <c r="J501" s="25">
        <f>VLOOKUP(F501,Assumptions!$B$50:$D$59,2,FALSE)*VLOOKUP("SI-T1",Assumptions!$B$27:$C$31,2,FALSE)*VLOOKUP(G501,Assumptions!$B$43:$C$45,2,FALSE)</f>
        <v/>
      </c>
    </row>
    <row r="502">
      <c r="B502" s="7" t="inlineStr">
        <is>
          <t>RC-0497</t>
        </is>
      </c>
      <c r="C502" s="11" t="inlineStr">
        <is>
          <t>Data &amp; Analytics</t>
        </is>
      </c>
      <c r="D502" s="7" t="inlineStr">
        <is>
          <t>Streaming Data Engineer</t>
        </is>
      </c>
      <c r="E502" s="11" t="inlineStr">
        <is>
          <t>Data Engineering</t>
        </is>
      </c>
      <c r="F502" s="11" t="inlineStr">
        <is>
          <t>Intermediate</t>
        </is>
      </c>
      <c r="G502" s="21" t="inlineStr">
        <is>
          <t>High</t>
        </is>
      </c>
      <c r="H502" s="23">
        <f>VLOOKUP(F502,'Internal Cost Model'!$B$6:$F$15,5,FALSE)</f>
        <v/>
      </c>
      <c r="I502" s="24">
        <f>H502*VLOOKUP(G502,Assumptions!$B$43:$C$45,2,FALSE)</f>
        <v/>
      </c>
      <c r="J502" s="25">
        <f>VLOOKUP(F502,Assumptions!$B$50:$D$59,2,FALSE)*VLOOKUP("SI-T1",Assumptions!$B$27:$C$31,2,FALSE)*VLOOKUP(G502,Assumptions!$B$43:$C$45,2,FALSE)</f>
        <v/>
      </c>
    </row>
    <row r="503">
      <c r="B503" s="7" t="inlineStr">
        <is>
          <t>RC-0498</t>
        </is>
      </c>
      <c r="C503" s="11" t="inlineStr">
        <is>
          <t>Data &amp; Analytics</t>
        </is>
      </c>
      <c r="D503" s="7" t="inlineStr">
        <is>
          <t>DataOps Engineer</t>
        </is>
      </c>
      <c r="E503" s="11" t="inlineStr">
        <is>
          <t>Data Engineering</t>
        </is>
      </c>
      <c r="F503" s="11" t="inlineStr">
        <is>
          <t>Senior</t>
        </is>
      </c>
      <c r="G503" s="21" t="inlineStr">
        <is>
          <t>High</t>
        </is>
      </c>
      <c r="H503" s="23">
        <f>VLOOKUP(F503,'Internal Cost Model'!$B$6:$F$15,5,FALSE)</f>
        <v/>
      </c>
      <c r="I503" s="24">
        <f>H503*VLOOKUP(G503,Assumptions!$B$43:$C$45,2,FALSE)</f>
        <v/>
      </c>
      <c r="J503" s="25">
        <f>VLOOKUP(F503,Assumptions!$B$50:$D$59,2,FALSE)*VLOOKUP("SI-T1",Assumptions!$B$27:$C$31,2,FALSE)*VLOOKUP(G503,Assumptions!$B$43:$C$45,2,FALSE)</f>
        <v/>
      </c>
    </row>
    <row r="504">
      <c r="B504" s="7" t="inlineStr">
        <is>
          <t>RC-0499</t>
        </is>
      </c>
      <c r="C504" s="11" t="inlineStr">
        <is>
          <t>Data &amp; Analytics</t>
        </is>
      </c>
      <c r="D504" s="7" t="inlineStr">
        <is>
          <t>DataOps Engineer</t>
        </is>
      </c>
      <c r="E504" s="11" t="inlineStr">
        <is>
          <t>Data Engineering</t>
        </is>
      </c>
      <c r="F504" s="11" t="inlineStr">
        <is>
          <t>Intermediate</t>
        </is>
      </c>
      <c r="G504" s="21" t="inlineStr">
        <is>
          <t>High</t>
        </is>
      </c>
      <c r="H504" s="23">
        <f>VLOOKUP(F504,'Internal Cost Model'!$B$6:$F$15,5,FALSE)</f>
        <v/>
      </c>
      <c r="I504" s="24">
        <f>H504*VLOOKUP(G504,Assumptions!$B$43:$C$45,2,FALSE)</f>
        <v/>
      </c>
      <c r="J504" s="25">
        <f>VLOOKUP(F504,Assumptions!$B$50:$D$59,2,FALSE)*VLOOKUP("SI-T1",Assumptions!$B$27:$C$31,2,FALSE)*VLOOKUP(G504,Assumptions!$B$43:$C$45,2,FALSE)</f>
        <v/>
      </c>
    </row>
    <row r="505">
      <c r="B505" s="7" t="inlineStr">
        <is>
          <t>RC-0500</t>
        </is>
      </c>
      <c r="C505" s="11" t="inlineStr">
        <is>
          <t>Data &amp; Analytics</t>
        </is>
      </c>
      <c r="D505" s="7" t="inlineStr">
        <is>
          <t>Data Modeler</t>
        </is>
      </c>
      <c r="E505" s="11" t="inlineStr">
        <is>
          <t>Data Strategy</t>
        </is>
      </c>
      <c r="F505" s="11" t="inlineStr">
        <is>
          <t>Lead</t>
        </is>
      </c>
      <c r="G505" s="21" t="inlineStr">
        <is>
          <t>Medium</t>
        </is>
      </c>
      <c r="H505" s="23">
        <f>VLOOKUP(F505,'Internal Cost Model'!$B$6:$F$15,5,FALSE)</f>
        <v/>
      </c>
      <c r="I505" s="24">
        <f>H505*VLOOKUP(G505,Assumptions!$B$43:$C$45,2,FALSE)</f>
        <v/>
      </c>
      <c r="J505" s="25">
        <f>VLOOKUP(F505,Assumptions!$B$50:$D$59,2,FALSE)*VLOOKUP("SI-T1",Assumptions!$B$27:$C$31,2,FALSE)*VLOOKUP(G505,Assumptions!$B$43:$C$45,2,FALSE)</f>
        <v/>
      </c>
    </row>
    <row r="506">
      <c r="B506" s="7" t="inlineStr">
        <is>
          <t>RC-0501</t>
        </is>
      </c>
      <c r="C506" s="11" t="inlineStr">
        <is>
          <t>Data &amp; Analytics</t>
        </is>
      </c>
      <c r="D506" s="7" t="inlineStr">
        <is>
          <t>Data Modeler</t>
        </is>
      </c>
      <c r="E506" s="11" t="inlineStr">
        <is>
          <t>Data Strategy</t>
        </is>
      </c>
      <c r="F506" s="11" t="inlineStr">
        <is>
          <t>Senior</t>
        </is>
      </c>
      <c r="G506" s="21" t="inlineStr">
        <is>
          <t>Medium</t>
        </is>
      </c>
      <c r="H506" s="23">
        <f>VLOOKUP(F506,'Internal Cost Model'!$B$6:$F$15,5,FALSE)</f>
        <v/>
      </c>
      <c r="I506" s="24">
        <f>H506*VLOOKUP(G506,Assumptions!$B$43:$C$45,2,FALSE)</f>
        <v/>
      </c>
      <c r="J506" s="25">
        <f>VLOOKUP(F506,Assumptions!$B$50:$D$59,2,FALSE)*VLOOKUP("SI-T1",Assumptions!$B$27:$C$31,2,FALSE)*VLOOKUP(G506,Assumptions!$B$43:$C$45,2,FALSE)</f>
        <v/>
      </c>
    </row>
    <row r="507">
      <c r="B507" s="7" t="inlineStr">
        <is>
          <t>RC-0502</t>
        </is>
      </c>
      <c r="C507" s="11" t="inlineStr">
        <is>
          <t>Data &amp; Analytics</t>
        </is>
      </c>
      <c r="D507" s="7" t="inlineStr">
        <is>
          <t>Data Modeler</t>
        </is>
      </c>
      <c r="E507" s="11" t="inlineStr">
        <is>
          <t>Data Strategy</t>
        </is>
      </c>
      <c r="F507" s="11" t="inlineStr">
        <is>
          <t>Intermediate</t>
        </is>
      </c>
      <c r="G507" s="21" t="inlineStr">
        <is>
          <t>Medium</t>
        </is>
      </c>
      <c r="H507" s="23">
        <f>VLOOKUP(F507,'Internal Cost Model'!$B$6:$F$15,5,FALSE)</f>
        <v/>
      </c>
      <c r="I507" s="24">
        <f>H507*VLOOKUP(G507,Assumptions!$B$43:$C$45,2,FALSE)</f>
        <v/>
      </c>
      <c r="J507" s="25">
        <f>VLOOKUP(F507,Assumptions!$B$50:$D$59,2,FALSE)*VLOOKUP("SI-T1",Assumptions!$B$27:$C$31,2,FALSE)*VLOOKUP(G507,Assumptions!$B$43:$C$45,2,FALSE)</f>
        <v/>
      </c>
    </row>
    <row r="508">
      <c r="B508" s="7" t="inlineStr">
        <is>
          <t>RC-0503</t>
        </is>
      </c>
      <c r="C508" s="11" t="inlineStr">
        <is>
          <t>Data &amp; Analytics</t>
        </is>
      </c>
      <c r="D508" s="7" t="inlineStr">
        <is>
          <t>Data Privacy Lead</t>
        </is>
      </c>
      <c r="E508" s="11" t="inlineStr">
        <is>
          <t>Data Governance</t>
        </is>
      </c>
      <c r="F508" s="11" t="inlineStr">
        <is>
          <t>Director</t>
        </is>
      </c>
      <c r="G508" s="21" t="inlineStr">
        <is>
          <t>High</t>
        </is>
      </c>
      <c r="H508" s="23">
        <f>VLOOKUP(F508,'Internal Cost Model'!$B$6:$F$15,5,FALSE)</f>
        <v/>
      </c>
      <c r="I508" s="24">
        <f>H508*VLOOKUP(G508,Assumptions!$B$43:$C$45,2,FALSE)</f>
        <v/>
      </c>
      <c r="J508" s="25">
        <f>VLOOKUP(F508,Assumptions!$B$50:$D$59,2,FALSE)*VLOOKUP("SI-T1",Assumptions!$B$27:$C$31,2,FALSE)*VLOOKUP(G508,Assumptions!$B$43:$C$45,2,FALSE)</f>
        <v/>
      </c>
    </row>
    <row r="509">
      <c r="B509" s="7" t="inlineStr">
        <is>
          <t>RC-0504</t>
        </is>
      </c>
      <c r="C509" s="11" t="inlineStr">
        <is>
          <t>Data &amp; Analytics</t>
        </is>
      </c>
      <c r="D509" s="7" t="inlineStr">
        <is>
          <t>Data Privacy Lead</t>
        </is>
      </c>
      <c r="E509" s="11" t="inlineStr">
        <is>
          <t>Data Governance</t>
        </is>
      </c>
      <c r="F509" s="11" t="inlineStr">
        <is>
          <t>Senior Manager</t>
        </is>
      </c>
      <c r="G509" s="21" t="inlineStr">
        <is>
          <t>High</t>
        </is>
      </c>
      <c r="H509" s="23">
        <f>VLOOKUP(F509,'Internal Cost Model'!$B$6:$F$15,5,FALSE)</f>
        <v/>
      </c>
      <c r="I509" s="24">
        <f>H509*VLOOKUP(G509,Assumptions!$B$43:$C$45,2,FALSE)</f>
        <v/>
      </c>
      <c r="J509" s="25">
        <f>VLOOKUP(F509,Assumptions!$B$50:$D$59,2,FALSE)*VLOOKUP("SI-T1",Assumptions!$B$27:$C$31,2,FALSE)*VLOOKUP(G509,Assumptions!$B$43:$C$45,2,FALSE)</f>
        <v/>
      </c>
    </row>
    <row r="510">
      <c r="B510" s="7" t="inlineStr">
        <is>
          <t>RC-0505</t>
        </is>
      </c>
      <c r="C510" s="11" t="inlineStr">
        <is>
          <t>Data &amp; Analytics</t>
        </is>
      </c>
      <c r="D510" s="7" t="inlineStr">
        <is>
          <t>Data Privacy Lead</t>
        </is>
      </c>
      <c r="E510" s="11" t="inlineStr">
        <is>
          <t>Data Governance</t>
        </is>
      </c>
      <c r="F510" s="11" t="inlineStr">
        <is>
          <t>Manager</t>
        </is>
      </c>
      <c r="G510" s="21" t="inlineStr">
        <is>
          <t>High</t>
        </is>
      </c>
      <c r="H510" s="23">
        <f>VLOOKUP(F510,'Internal Cost Model'!$B$6:$F$15,5,FALSE)</f>
        <v/>
      </c>
      <c r="I510" s="24">
        <f>H510*VLOOKUP(G510,Assumptions!$B$43:$C$45,2,FALSE)</f>
        <v/>
      </c>
      <c r="J510" s="25">
        <f>VLOOKUP(F510,Assumptions!$B$50:$D$59,2,FALSE)*VLOOKUP("SI-T1",Assumptions!$B$27:$C$31,2,FALSE)*VLOOKUP(G510,Assumptions!$B$43:$C$45,2,FALSE)</f>
        <v/>
      </c>
    </row>
    <row r="511">
      <c r="B511" s="7" t="inlineStr">
        <is>
          <t>RC-0506</t>
        </is>
      </c>
      <c r="C511" s="11" t="inlineStr">
        <is>
          <t>Data &amp; Analytics</t>
        </is>
      </c>
      <c r="D511" s="7" t="inlineStr">
        <is>
          <t>Data Privacy Lead</t>
        </is>
      </c>
      <c r="E511" s="11" t="inlineStr">
        <is>
          <t>Data Governance</t>
        </is>
      </c>
      <c r="F511" s="11" t="inlineStr">
        <is>
          <t>Lead</t>
        </is>
      </c>
      <c r="G511" s="21" t="inlineStr">
        <is>
          <t>High</t>
        </is>
      </c>
      <c r="H511" s="23">
        <f>VLOOKUP(F511,'Internal Cost Model'!$B$6:$F$15,5,FALSE)</f>
        <v/>
      </c>
      <c r="I511" s="24">
        <f>H511*VLOOKUP(G511,Assumptions!$B$43:$C$45,2,FALSE)</f>
        <v/>
      </c>
      <c r="J511" s="25">
        <f>VLOOKUP(F511,Assumptions!$B$50:$D$59,2,FALSE)*VLOOKUP("SI-T1",Assumptions!$B$27:$C$31,2,FALSE)*VLOOKUP(G511,Assumptions!$B$43:$C$45,2,FALSE)</f>
        <v/>
      </c>
    </row>
    <row r="512">
      <c r="B512" s="7" t="inlineStr">
        <is>
          <t>RC-0507</t>
        </is>
      </c>
      <c r="C512" s="11" t="inlineStr">
        <is>
          <t>Data &amp; Analytics</t>
        </is>
      </c>
      <c r="D512" s="7" t="inlineStr">
        <is>
          <t>Data Catalog Analyst</t>
        </is>
      </c>
      <c r="E512" s="11" t="inlineStr">
        <is>
          <t>Metadata Management</t>
        </is>
      </c>
      <c r="F512" s="11" t="inlineStr">
        <is>
          <t>Senior</t>
        </is>
      </c>
      <c r="G512" s="21" t="inlineStr">
        <is>
          <t>Medium</t>
        </is>
      </c>
      <c r="H512" s="23">
        <f>VLOOKUP(F512,'Internal Cost Model'!$B$6:$F$15,5,FALSE)</f>
        <v/>
      </c>
      <c r="I512" s="24">
        <f>H512*VLOOKUP(G512,Assumptions!$B$43:$C$45,2,FALSE)</f>
        <v/>
      </c>
      <c r="J512" s="25">
        <f>VLOOKUP(F512,Assumptions!$B$50:$D$59,2,FALSE)*VLOOKUP("SI-T1",Assumptions!$B$27:$C$31,2,FALSE)*VLOOKUP(G512,Assumptions!$B$43:$C$45,2,FALSE)</f>
        <v/>
      </c>
    </row>
    <row r="513">
      <c r="B513" s="7" t="inlineStr">
        <is>
          <t>RC-0508</t>
        </is>
      </c>
      <c r="C513" s="11" t="inlineStr">
        <is>
          <t>Data &amp; Analytics</t>
        </is>
      </c>
      <c r="D513" s="7" t="inlineStr">
        <is>
          <t>Data Catalog Analyst</t>
        </is>
      </c>
      <c r="E513" s="11" t="inlineStr">
        <is>
          <t>Metadata Management</t>
        </is>
      </c>
      <c r="F513" s="11" t="inlineStr">
        <is>
          <t>Intermediate</t>
        </is>
      </c>
      <c r="G513" s="21" t="inlineStr">
        <is>
          <t>Medium</t>
        </is>
      </c>
      <c r="H513" s="23">
        <f>VLOOKUP(F513,'Internal Cost Model'!$B$6:$F$15,5,FALSE)</f>
        <v/>
      </c>
      <c r="I513" s="24">
        <f>H513*VLOOKUP(G513,Assumptions!$B$43:$C$45,2,FALSE)</f>
        <v/>
      </c>
      <c r="J513" s="25">
        <f>VLOOKUP(F513,Assumptions!$B$50:$D$59,2,FALSE)*VLOOKUP("SI-T1",Assumptions!$B$27:$C$31,2,FALSE)*VLOOKUP(G513,Assumptions!$B$43:$C$45,2,FALSE)</f>
        <v/>
      </c>
    </row>
    <row r="514">
      <c r="B514" s="7" t="inlineStr">
        <is>
          <t>RC-0509</t>
        </is>
      </c>
      <c r="C514" s="11" t="inlineStr">
        <is>
          <t>Data &amp; Analytics</t>
        </is>
      </c>
      <c r="D514" s="7" t="inlineStr">
        <is>
          <t>Data Catalog Analyst</t>
        </is>
      </c>
      <c r="E514" s="11" t="inlineStr">
        <is>
          <t>Metadata Management</t>
        </is>
      </c>
      <c r="F514" s="11" t="inlineStr">
        <is>
          <t>Junior</t>
        </is>
      </c>
      <c r="G514" s="21" t="inlineStr">
        <is>
          <t>Medium</t>
        </is>
      </c>
      <c r="H514" s="23">
        <f>VLOOKUP(F514,'Internal Cost Model'!$B$6:$F$15,5,FALSE)</f>
        <v/>
      </c>
      <c r="I514" s="24">
        <f>H514*VLOOKUP(G514,Assumptions!$B$43:$C$45,2,FALSE)</f>
        <v/>
      </c>
      <c r="J514" s="25">
        <f>VLOOKUP(F514,Assumptions!$B$50:$D$59,2,FALSE)*VLOOKUP("SI-T1",Assumptions!$B$27:$C$31,2,FALSE)*VLOOKUP(G514,Assumptions!$B$43:$C$45,2,FALSE)</f>
        <v/>
      </c>
    </row>
    <row r="515">
      <c r="B515" s="7" t="inlineStr">
        <is>
          <t>RC-0510</t>
        </is>
      </c>
      <c r="C515" s="11" t="inlineStr">
        <is>
          <t>Data &amp; Analytics</t>
        </is>
      </c>
      <c r="D515" s="7" t="inlineStr">
        <is>
          <t>Power BI Developer</t>
        </is>
      </c>
      <c r="E515" s="11" t="inlineStr">
        <is>
          <t>Business Intelligence</t>
        </is>
      </c>
      <c r="F515" s="11" t="inlineStr">
        <is>
          <t>Senior</t>
        </is>
      </c>
      <c r="G515" s="21" t="inlineStr">
        <is>
          <t>Medium</t>
        </is>
      </c>
      <c r="H515" s="23">
        <f>VLOOKUP(F515,'Internal Cost Model'!$B$6:$F$15,5,FALSE)</f>
        <v/>
      </c>
      <c r="I515" s="24">
        <f>H515*VLOOKUP(G515,Assumptions!$B$43:$C$45,2,FALSE)</f>
        <v/>
      </c>
      <c r="J515" s="25">
        <f>VLOOKUP(F515,Assumptions!$B$50:$D$59,2,FALSE)*VLOOKUP("SI-T1",Assumptions!$B$27:$C$31,2,FALSE)*VLOOKUP(G515,Assumptions!$B$43:$C$45,2,FALSE)</f>
        <v/>
      </c>
    </row>
    <row r="516">
      <c r="B516" s="7" t="inlineStr">
        <is>
          <t>RC-0511</t>
        </is>
      </c>
      <c r="C516" s="11" t="inlineStr">
        <is>
          <t>Data &amp; Analytics</t>
        </is>
      </c>
      <c r="D516" s="7" t="inlineStr">
        <is>
          <t>Power BI Developer</t>
        </is>
      </c>
      <c r="E516" s="11" t="inlineStr">
        <is>
          <t>Business Intelligence</t>
        </is>
      </c>
      <c r="F516" s="11" t="inlineStr">
        <is>
          <t>Intermediate</t>
        </is>
      </c>
      <c r="G516" s="21" t="inlineStr">
        <is>
          <t>Medium</t>
        </is>
      </c>
      <c r="H516" s="23">
        <f>VLOOKUP(F516,'Internal Cost Model'!$B$6:$F$15,5,FALSE)</f>
        <v/>
      </c>
      <c r="I516" s="24">
        <f>H516*VLOOKUP(G516,Assumptions!$B$43:$C$45,2,FALSE)</f>
        <v/>
      </c>
      <c r="J516" s="25">
        <f>VLOOKUP(F516,Assumptions!$B$50:$D$59,2,FALSE)*VLOOKUP("SI-T1",Assumptions!$B$27:$C$31,2,FALSE)*VLOOKUP(G516,Assumptions!$B$43:$C$45,2,FALSE)</f>
        <v/>
      </c>
    </row>
    <row r="517">
      <c r="B517" s="7" t="inlineStr">
        <is>
          <t>RC-0512</t>
        </is>
      </c>
      <c r="C517" s="11" t="inlineStr">
        <is>
          <t>Data &amp; Analytics</t>
        </is>
      </c>
      <c r="D517" s="7" t="inlineStr">
        <is>
          <t>Tableau Developer</t>
        </is>
      </c>
      <c r="E517" s="11" t="inlineStr">
        <is>
          <t>Business Intelligence</t>
        </is>
      </c>
      <c r="F517" s="11" t="inlineStr">
        <is>
          <t>Senior</t>
        </is>
      </c>
      <c r="G517" s="21" t="inlineStr">
        <is>
          <t>Medium</t>
        </is>
      </c>
      <c r="H517" s="23">
        <f>VLOOKUP(F517,'Internal Cost Model'!$B$6:$F$15,5,FALSE)</f>
        <v/>
      </c>
      <c r="I517" s="24">
        <f>H517*VLOOKUP(G517,Assumptions!$B$43:$C$45,2,FALSE)</f>
        <v/>
      </c>
      <c r="J517" s="25">
        <f>VLOOKUP(F517,Assumptions!$B$50:$D$59,2,FALSE)*VLOOKUP("SI-T1",Assumptions!$B$27:$C$31,2,FALSE)*VLOOKUP(G517,Assumptions!$B$43:$C$45,2,FALSE)</f>
        <v/>
      </c>
    </row>
    <row r="518">
      <c r="B518" s="7" t="inlineStr">
        <is>
          <t>RC-0513</t>
        </is>
      </c>
      <c r="C518" s="11" t="inlineStr">
        <is>
          <t>Data &amp; Analytics</t>
        </is>
      </c>
      <c r="D518" s="7" t="inlineStr">
        <is>
          <t>Tableau Developer</t>
        </is>
      </c>
      <c r="E518" s="11" t="inlineStr">
        <is>
          <t>Business Intelligence</t>
        </is>
      </c>
      <c r="F518" s="11" t="inlineStr">
        <is>
          <t>Intermediate</t>
        </is>
      </c>
      <c r="G518" s="21" t="inlineStr">
        <is>
          <t>Medium</t>
        </is>
      </c>
      <c r="H518" s="23">
        <f>VLOOKUP(F518,'Internal Cost Model'!$B$6:$F$15,5,FALSE)</f>
        <v/>
      </c>
      <c r="I518" s="24">
        <f>H518*VLOOKUP(G518,Assumptions!$B$43:$C$45,2,FALSE)</f>
        <v/>
      </c>
      <c r="J518" s="25">
        <f>VLOOKUP(F518,Assumptions!$B$50:$D$59,2,FALSE)*VLOOKUP("SI-T1",Assumptions!$B$27:$C$31,2,FALSE)*VLOOKUP(G518,Assumptions!$B$43:$C$45,2,FALSE)</f>
        <v/>
      </c>
    </row>
    <row r="519">
      <c r="B519" s="7" t="inlineStr">
        <is>
          <t>RC-0514</t>
        </is>
      </c>
      <c r="C519" s="11" t="inlineStr">
        <is>
          <t>Data &amp; Analytics</t>
        </is>
      </c>
      <c r="D519" s="7" t="inlineStr">
        <is>
          <t>Looker Developer</t>
        </is>
      </c>
      <c r="E519" s="11" t="inlineStr">
        <is>
          <t>Business Intelligence</t>
        </is>
      </c>
      <c r="F519" s="11" t="inlineStr">
        <is>
          <t>Senior</t>
        </is>
      </c>
      <c r="G519" s="21" t="inlineStr">
        <is>
          <t>Medium</t>
        </is>
      </c>
      <c r="H519" s="23">
        <f>VLOOKUP(F519,'Internal Cost Model'!$B$6:$F$15,5,FALSE)</f>
        <v/>
      </c>
      <c r="I519" s="24">
        <f>H519*VLOOKUP(G519,Assumptions!$B$43:$C$45,2,FALSE)</f>
        <v/>
      </c>
      <c r="J519" s="25">
        <f>VLOOKUP(F519,Assumptions!$B$50:$D$59,2,FALSE)*VLOOKUP("SI-T1",Assumptions!$B$27:$C$31,2,FALSE)*VLOOKUP(G519,Assumptions!$B$43:$C$45,2,FALSE)</f>
        <v/>
      </c>
    </row>
    <row r="520">
      <c r="B520" s="7" t="inlineStr">
        <is>
          <t>RC-0515</t>
        </is>
      </c>
      <c r="C520" s="11" t="inlineStr">
        <is>
          <t>Data &amp; Analytics</t>
        </is>
      </c>
      <c r="D520" s="7" t="inlineStr">
        <is>
          <t>Looker Developer</t>
        </is>
      </c>
      <c r="E520" s="11" t="inlineStr">
        <is>
          <t>Business Intelligence</t>
        </is>
      </c>
      <c r="F520" s="11" t="inlineStr">
        <is>
          <t>Intermediate</t>
        </is>
      </c>
      <c r="G520" s="21" t="inlineStr">
        <is>
          <t>Medium</t>
        </is>
      </c>
      <c r="H520" s="23">
        <f>VLOOKUP(F520,'Internal Cost Model'!$B$6:$F$15,5,FALSE)</f>
        <v/>
      </c>
      <c r="I520" s="24">
        <f>H520*VLOOKUP(G520,Assumptions!$B$43:$C$45,2,FALSE)</f>
        <v/>
      </c>
      <c r="J520" s="25">
        <f>VLOOKUP(F520,Assumptions!$B$50:$D$59,2,FALSE)*VLOOKUP("SI-T1",Assumptions!$B$27:$C$31,2,FALSE)*VLOOKUP(G520,Assumptions!$B$43:$C$45,2,FALSE)</f>
        <v/>
      </c>
    </row>
    <row r="521">
      <c r="B521" s="7" t="inlineStr">
        <is>
          <t>RC-0516</t>
        </is>
      </c>
      <c r="C521" s="11" t="inlineStr">
        <is>
          <t>Data &amp; Analytics</t>
        </is>
      </c>
      <c r="D521" s="7" t="inlineStr">
        <is>
          <t>Data Visualization Designer</t>
        </is>
      </c>
      <c r="E521" s="11" t="inlineStr">
        <is>
          <t>Reporting</t>
        </is>
      </c>
      <c r="F521" s="11" t="inlineStr">
        <is>
          <t>Senior</t>
        </is>
      </c>
      <c r="G521" s="21" t="inlineStr">
        <is>
          <t>Low</t>
        </is>
      </c>
      <c r="H521" s="23">
        <f>VLOOKUP(F521,'Internal Cost Model'!$B$6:$F$15,5,FALSE)</f>
        <v/>
      </c>
      <c r="I521" s="24">
        <f>H521*VLOOKUP(G521,Assumptions!$B$43:$C$45,2,FALSE)</f>
        <v/>
      </c>
      <c r="J521" s="25">
        <f>VLOOKUP(F521,Assumptions!$B$50:$D$59,2,FALSE)*VLOOKUP("SI-T1",Assumptions!$B$27:$C$31,2,FALSE)*VLOOKUP(G521,Assumptions!$B$43:$C$45,2,FALSE)</f>
        <v/>
      </c>
    </row>
    <row r="522">
      <c r="B522" s="7" t="inlineStr">
        <is>
          <t>RC-0517</t>
        </is>
      </c>
      <c r="C522" s="11" t="inlineStr">
        <is>
          <t>Data &amp; Analytics</t>
        </is>
      </c>
      <c r="D522" s="7" t="inlineStr">
        <is>
          <t>Data Visualization Designer</t>
        </is>
      </c>
      <c r="E522" s="11" t="inlineStr">
        <is>
          <t>Reporting</t>
        </is>
      </c>
      <c r="F522" s="11" t="inlineStr">
        <is>
          <t>Intermediate</t>
        </is>
      </c>
      <c r="G522" s="21" t="inlineStr">
        <is>
          <t>Low</t>
        </is>
      </c>
      <c r="H522" s="23">
        <f>VLOOKUP(F522,'Internal Cost Model'!$B$6:$F$15,5,FALSE)</f>
        <v/>
      </c>
      <c r="I522" s="24">
        <f>H522*VLOOKUP(G522,Assumptions!$B$43:$C$45,2,FALSE)</f>
        <v/>
      </c>
      <c r="J522" s="25">
        <f>VLOOKUP(F522,Assumptions!$B$50:$D$59,2,FALSE)*VLOOKUP("SI-T1",Assumptions!$B$27:$C$31,2,FALSE)*VLOOKUP(G522,Assumptions!$B$43:$C$45,2,FALSE)</f>
        <v/>
      </c>
    </row>
    <row r="523">
      <c r="B523" s="7" t="inlineStr">
        <is>
          <t>RC-0518</t>
        </is>
      </c>
      <c r="C523" s="11" t="inlineStr">
        <is>
          <t>Data &amp; Analytics</t>
        </is>
      </c>
      <c r="D523" s="7" t="inlineStr">
        <is>
          <t>Data Visualization Designer</t>
        </is>
      </c>
      <c r="E523" s="11" t="inlineStr">
        <is>
          <t>Reporting</t>
        </is>
      </c>
      <c r="F523" s="11" t="inlineStr">
        <is>
          <t>Junior</t>
        </is>
      </c>
      <c r="G523" s="21" t="inlineStr">
        <is>
          <t>Low</t>
        </is>
      </c>
      <c r="H523" s="23">
        <f>VLOOKUP(F523,'Internal Cost Model'!$B$6:$F$15,5,FALSE)</f>
        <v/>
      </c>
      <c r="I523" s="24">
        <f>H523*VLOOKUP(G523,Assumptions!$B$43:$C$45,2,FALSE)</f>
        <v/>
      </c>
      <c r="J523" s="25">
        <f>VLOOKUP(F523,Assumptions!$B$50:$D$59,2,FALSE)*VLOOKUP("SI-T1",Assumptions!$B$27:$C$31,2,FALSE)*VLOOKUP(G523,Assumptions!$B$43:$C$45,2,FALSE)</f>
        <v/>
      </c>
    </row>
    <row r="524">
      <c r="B524" s="7" t="inlineStr">
        <is>
          <t>RC-0519</t>
        </is>
      </c>
      <c r="C524" s="11" t="inlineStr">
        <is>
          <t>Data &amp; Analytics</t>
        </is>
      </c>
      <c r="D524" s="7" t="inlineStr">
        <is>
          <t>Quantitative Analyst</t>
        </is>
      </c>
      <c r="E524" s="11" t="inlineStr">
        <is>
          <t>Advanced Analytics</t>
        </is>
      </c>
      <c r="F524" s="11" t="inlineStr">
        <is>
          <t>Senior Manager</t>
        </is>
      </c>
      <c r="G524" s="21" t="inlineStr">
        <is>
          <t>High</t>
        </is>
      </c>
      <c r="H524" s="23">
        <f>VLOOKUP(F524,'Internal Cost Model'!$B$6:$F$15,5,FALSE)</f>
        <v/>
      </c>
      <c r="I524" s="24">
        <f>H524*VLOOKUP(G524,Assumptions!$B$43:$C$45,2,FALSE)</f>
        <v/>
      </c>
      <c r="J524" s="25">
        <f>VLOOKUP(F524,Assumptions!$B$50:$D$59,2,FALSE)*VLOOKUP("SI-T1",Assumptions!$B$27:$C$31,2,FALSE)*VLOOKUP(G524,Assumptions!$B$43:$C$45,2,FALSE)</f>
        <v/>
      </c>
    </row>
    <row r="525">
      <c r="B525" s="7" t="inlineStr">
        <is>
          <t>RC-0520</t>
        </is>
      </c>
      <c r="C525" s="11" t="inlineStr">
        <is>
          <t>Data &amp; Analytics</t>
        </is>
      </c>
      <c r="D525" s="7" t="inlineStr">
        <is>
          <t>Quantitative Analyst</t>
        </is>
      </c>
      <c r="E525" s="11" t="inlineStr">
        <is>
          <t>Advanced Analytics</t>
        </is>
      </c>
      <c r="F525" s="11" t="inlineStr">
        <is>
          <t>Manager</t>
        </is>
      </c>
      <c r="G525" s="21" t="inlineStr">
        <is>
          <t>High</t>
        </is>
      </c>
      <c r="H525" s="23">
        <f>VLOOKUP(F525,'Internal Cost Model'!$B$6:$F$15,5,FALSE)</f>
        <v/>
      </c>
      <c r="I525" s="24">
        <f>H525*VLOOKUP(G525,Assumptions!$B$43:$C$45,2,FALSE)</f>
        <v/>
      </c>
      <c r="J525" s="25">
        <f>VLOOKUP(F525,Assumptions!$B$50:$D$59,2,FALSE)*VLOOKUP("SI-T1",Assumptions!$B$27:$C$31,2,FALSE)*VLOOKUP(G525,Assumptions!$B$43:$C$45,2,FALSE)</f>
        <v/>
      </c>
    </row>
    <row r="526">
      <c r="B526" s="7" t="inlineStr">
        <is>
          <t>RC-0521</t>
        </is>
      </c>
      <c r="C526" s="11" t="inlineStr">
        <is>
          <t>Data &amp; Analytics</t>
        </is>
      </c>
      <c r="D526" s="7" t="inlineStr">
        <is>
          <t>Quantitative Analyst</t>
        </is>
      </c>
      <c r="E526" s="11" t="inlineStr">
        <is>
          <t>Advanced Analytics</t>
        </is>
      </c>
      <c r="F526" s="11" t="inlineStr">
        <is>
          <t>Lead</t>
        </is>
      </c>
      <c r="G526" s="21" t="inlineStr">
        <is>
          <t>High</t>
        </is>
      </c>
      <c r="H526" s="23">
        <f>VLOOKUP(F526,'Internal Cost Model'!$B$6:$F$15,5,FALSE)</f>
        <v/>
      </c>
      <c r="I526" s="24">
        <f>H526*VLOOKUP(G526,Assumptions!$B$43:$C$45,2,FALSE)</f>
        <v/>
      </c>
      <c r="J526" s="25">
        <f>VLOOKUP(F526,Assumptions!$B$50:$D$59,2,FALSE)*VLOOKUP("SI-T1",Assumptions!$B$27:$C$31,2,FALSE)*VLOOKUP(G526,Assumptions!$B$43:$C$45,2,FALSE)</f>
        <v/>
      </c>
    </row>
    <row r="527">
      <c r="B527" s="7" t="inlineStr">
        <is>
          <t>RC-0522</t>
        </is>
      </c>
      <c r="C527" s="11" t="inlineStr">
        <is>
          <t>Data &amp; Analytics</t>
        </is>
      </c>
      <c r="D527" s="7" t="inlineStr">
        <is>
          <t>Quantitative Analyst</t>
        </is>
      </c>
      <c r="E527" s="11" t="inlineStr">
        <is>
          <t>Advanced Analytics</t>
        </is>
      </c>
      <c r="F527" s="11" t="inlineStr">
        <is>
          <t>Senior</t>
        </is>
      </c>
      <c r="G527" s="21" t="inlineStr">
        <is>
          <t>High</t>
        </is>
      </c>
      <c r="H527" s="23">
        <f>VLOOKUP(F527,'Internal Cost Model'!$B$6:$F$15,5,FALSE)</f>
        <v/>
      </c>
      <c r="I527" s="24">
        <f>H527*VLOOKUP(G527,Assumptions!$B$43:$C$45,2,FALSE)</f>
        <v/>
      </c>
      <c r="J527" s="25">
        <f>VLOOKUP(F527,Assumptions!$B$50:$D$59,2,FALSE)*VLOOKUP("SI-T1",Assumptions!$B$27:$C$31,2,FALSE)*VLOOKUP(G527,Assumptions!$B$43:$C$45,2,FALSE)</f>
        <v/>
      </c>
    </row>
    <row r="528">
      <c r="B528" s="7" t="inlineStr">
        <is>
          <t>RC-0523</t>
        </is>
      </c>
      <c r="C528" s="11" t="inlineStr">
        <is>
          <t>Data &amp; Analytics</t>
        </is>
      </c>
      <c r="D528" s="7" t="inlineStr">
        <is>
          <t>Decision Scientist</t>
        </is>
      </c>
      <c r="E528" s="11" t="inlineStr">
        <is>
          <t>Advanced Analytics</t>
        </is>
      </c>
      <c r="F528" s="11" t="inlineStr">
        <is>
          <t>Senior Manager</t>
        </is>
      </c>
      <c r="G528" s="21" t="inlineStr">
        <is>
          <t>High</t>
        </is>
      </c>
      <c r="H528" s="23">
        <f>VLOOKUP(F528,'Internal Cost Model'!$B$6:$F$15,5,FALSE)</f>
        <v/>
      </c>
      <c r="I528" s="24">
        <f>H528*VLOOKUP(G528,Assumptions!$B$43:$C$45,2,FALSE)</f>
        <v/>
      </c>
      <c r="J528" s="25">
        <f>VLOOKUP(F528,Assumptions!$B$50:$D$59,2,FALSE)*VLOOKUP("SI-T1",Assumptions!$B$27:$C$31,2,FALSE)*VLOOKUP(G528,Assumptions!$B$43:$C$45,2,FALSE)</f>
        <v/>
      </c>
    </row>
    <row r="529">
      <c r="B529" s="7" t="inlineStr">
        <is>
          <t>RC-0524</t>
        </is>
      </c>
      <c r="C529" s="11" t="inlineStr">
        <is>
          <t>Data &amp; Analytics</t>
        </is>
      </c>
      <c r="D529" s="7" t="inlineStr">
        <is>
          <t>Decision Scientist</t>
        </is>
      </c>
      <c r="E529" s="11" t="inlineStr">
        <is>
          <t>Advanced Analytics</t>
        </is>
      </c>
      <c r="F529" s="11" t="inlineStr">
        <is>
          <t>Manager</t>
        </is>
      </c>
      <c r="G529" s="21" t="inlineStr">
        <is>
          <t>High</t>
        </is>
      </c>
      <c r="H529" s="23">
        <f>VLOOKUP(F529,'Internal Cost Model'!$B$6:$F$15,5,FALSE)</f>
        <v/>
      </c>
      <c r="I529" s="24">
        <f>H529*VLOOKUP(G529,Assumptions!$B$43:$C$45,2,FALSE)</f>
        <v/>
      </c>
      <c r="J529" s="25">
        <f>VLOOKUP(F529,Assumptions!$B$50:$D$59,2,FALSE)*VLOOKUP("SI-T1",Assumptions!$B$27:$C$31,2,FALSE)*VLOOKUP(G529,Assumptions!$B$43:$C$45,2,FALSE)</f>
        <v/>
      </c>
    </row>
    <row r="530">
      <c r="B530" s="7" t="inlineStr">
        <is>
          <t>RC-0525</t>
        </is>
      </c>
      <c r="C530" s="11" t="inlineStr">
        <is>
          <t>Data &amp; Analytics</t>
        </is>
      </c>
      <c r="D530" s="7" t="inlineStr">
        <is>
          <t>Decision Scientist</t>
        </is>
      </c>
      <c r="E530" s="11" t="inlineStr">
        <is>
          <t>Advanced Analytics</t>
        </is>
      </c>
      <c r="F530" s="11" t="inlineStr">
        <is>
          <t>Lead</t>
        </is>
      </c>
      <c r="G530" s="21" t="inlineStr">
        <is>
          <t>High</t>
        </is>
      </c>
      <c r="H530" s="23">
        <f>VLOOKUP(F530,'Internal Cost Model'!$B$6:$F$15,5,FALSE)</f>
        <v/>
      </c>
      <c r="I530" s="24">
        <f>H530*VLOOKUP(G530,Assumptions!$B$43:$C$45,2,FALSE)</f>
        <v/>
      </c>
      <c r="J530" s="25">
        <f>VLOOKUP(F530,Assumptions!$B$50:$D$59,2,FALSE)*VLOOKUP("SI-T1",Assumptions!$B$27:$C$31,2,FALSE)*VLOOKUP(G530,Assumptions!$B$43:$C$45,2,FALSE)</f>
        <v/>
      </c>
    </row>
    <row r="531">
      <c r="B531" s="7" t="inlineStr">
        <is>
          <t>RC-0526</t>
        </is>
      </c>
      <c r="C531" s="11" t="inlineStr">
        <is>
          <t>Data &amp; Analytics</t>
        </is>
      </c>
      <c r="D531" s="7" t="inlineStr">
        <is>
          <t>Decision Scientist</t>
        </is>
      </c>
      <c r="E531" s="11" t="inlineStr">
        <is>
          <t>Advanced Analytics</t>
        </is>
      </c>
      <c r="F531" s="11" t="inlineStr">
        <is>
          <t>Senior</t>
        </is>
      </c>
      <c r="G531" s="21" t="inlineStr">
        <is>
          <t>High</t>
        </is>
      </c>
      <c r="H531" s="23">
        <f>VLOOKUP(F531,'Internal Cost Model'!$B$6:$F$15,5,FALSE)</f>
        <v/>
      </c>
      <c r="I531" s="24">
        <f>H531*VLOOKUP(G531,Assumptions!$B$43:$C$45,2,FALSE)</f>
        <v/>
      </c>
      <c r="J531" s="25">
        <f>VLOOKUP(F531,Assumptions!$B$50:$D$59,2,FALSE)*VLOOKUP("SI-T1",Assumptions!$B$27:$C$31,2,FALSE)*VLOOKUP(G531,Assumptions!$B$43:$C$45,2,FALSE)</f>
        <v/>
      </c>
    </row>
    <row r="532">
      <c r="B532" s="7" t="inlineStr">
        <is>
          <t>RC-0527</t>
        </is>
      </c>
      <c r="C532" s="11" t="inlineStr">
        <is>
          <t>Data &amp; Analytics</t>
        </is>
      </c>
      <c r="D532" s="7" t="inlineStr">
        <is>
          <t>Data Quality Engineer</t>
        </is>
      </c>
      <c r="E532" s="11" t="inlineStr">
        <is>
          <t>Data Quality</t>
        </is>
      </c>
      <c r="F532" s="11" t="inlineStr">
        <is>
          <t>Senior</t>
        </is>
      </c>
      <c r="G532" s="21" t="inlineStr">
        <is>
          <t>Medium</t>
        </is>
      </c>
      <c r="H532" s="23">
        <f>VLOOKUP(F532,'Internal Cost Model'!$B$6:$F$15,5,FALSE)</f>
        <v/>
      </c>
      <c r="I532" s="24">
        <f>H532*VLOOKUP(G532,Assumptions!$B$43:$C$45,2,FALSE)</f>
        <v/>
      </c>
      <c r="J532" s="25">
        <f>VLOOKUP(F532,Assumptions!$B$50:$D$59,2,FALSE)*VLOOKUP("SI-T1",Assumptions!$B$27:$C$31,2,FALSE)*VLOOKUP(G532,Assumptions!$B$43:$C$45,2,FALSE)</f>
        <v/>
      </c>
    </row>
    <row r="533">
      <c r="B533" s="7" t="inlineStr">
        <is>
          <t>RC-0528</t>
        </is>
      </c>
      <c r="C533" s="11" t="inlineStr">
        <is>
          <t>Data &amp; Analytics</t>
        </is>
      </c>
      <c r="D533" s="7" t="inlineStr">
        <is>
          <t>Data Quality Engineer</t>
        </is>
      </c>
      <c r="E533" s="11" t="inlineStr">
        <is>
          <t>Data Quality</t>
        </is>
      </c>
      <c r="F533" s="11" t="inlineStr">
        <is>
          <t>Intermediate</t>
        </is>
      </c>
      <c r="G533" s="21" t="inlineStr">
        <is>
          <t>Medium</t>
        </is>
      </c>
      <c r="H533" s="23">
        <f>VLOOKUP(F533,'Internal Cost Model'!$B$6:$F$15,5,FALSE)</f>
        <v/>
      </c>
      <c r="I533" s="24">
        <f>H533*VLOOKUP(G533,Assumptions!$B$43:$C$45,2,FALSE)</f>
        <v/>
      </c>
      <c r="J533" s="25">
        <f>VLOOKUP(F533,Assumptions!$B$50:$D$59,2,FALSE)*VLOOKUP("SI-T1",Assumptions!$B$27:$C$31,2,FALSE)*VLOOKUP(G533,Assumptions!$B$43:$C$45,2,FALSE)</f>
        <v/>
      </c>
    </row>
    <row r="534">
      <c r="B534" s="7" t="inlineStr">
        <is>
          <t>RC-0529</t>
        </is>
      </c>
      <c r="C534" s="11" t="inlineStr">
        <is>
          <t>Data &amp; Analytics</t>
        </is>
      </c>
      <c r="D534" s="7" t="inlineStr">
        <is>
          <t>Reference Data Analyst</t>
        </is>
      </c>
      <c r="E534" s="11" t="inlineStr">
        <is>
          <t>Master Data Management</t>
        </is>
      </c>
      <c r="F534" s="11" t="inlineStr">
        <is>
          <t>Senior</t>
        </is>
      </c>
      <c r="G534" s="21" t="inlineStr">
        <is>
          <t>Medium</t>
        </is>
      </c>
      <c r="H534" s="23">
        <f>VLOOKUP(F534,'Internal Cost Model'!$B$6:$F$15,5,FALSE)</f>
        <v/>
      </c>
      <c r="I534" s="24">
        <f>H534*VLOOKUP(G534,Assumptions!$B$43:$C$45,2,FALSE)</f>
        <v/>
      </c>
      <c r="J534" s="25">
        <f>VLOOKUP(F534,Assumptions!$B$50:$D$59,2,FALSE)*VLOOKUP("SI-T1",Assumptions!$B$27:$C$31,2,FALSE)*VLOOKUP(G534,Assumptions!$B$43:$C$45,2,FALSE)</f>
        <v/>
      </c>
    </row>
    <row r="535">
      <c r="B535" s="7" t="inlineStr">
        <is>
          <t>RC-0530</t>
        </is>
      </c>
      <c r="C535" s="11" t="inlineStr">
        <is>
          <t>Data &amp; Analytics</t>
        </is>
      </c>
      <c r="D535" s="7" t="inlineStr">
        <is>
          <t>Reference Data Analyst</t>
        </is>
      </c>
      <c r="E535" s="11" t="inlineStr">
        <is>
          <t>Master Data Management</t>
        </is>
      </c>
      <c r="F535" s="11" t="inlineStr">
        <is>
          <t>Intermediate</t>
        </is>
      </c>
      <c r="G535" s="21" t="inlineStr">
        <is>
          <t>Medium</t>
        </is>
      </c>
      <c r="H535" s="23">
        <f>VLOOKUP(F535,'Internal Cost Model'!$B$6:$F$15,5,FALSE)</f>
        <v/>
      </c>
      <c r="I535" s="24">
        <f>H535*VLOOKUP(G535,Assumptions!$B$43:$C$45,2,FALSE)</f>
        <v/>
      </c>
      <c r="J535" s="25">
        <f>VLOOKUP(F535,Assumptions!$B$50:$D$59,2,FALSE)*VLOOKUP("SI-T1",Assumptions!$B$27:$C$31,2,FALSE)*VLOOKUP(G535,Assumptions!$B$43:$C$45,2,FALSE)</f>
        <v/>
      </c>
    </row>
    <row r="536">
      <c r="B536" s="7" t="inlineStr">
        <is>
          <t>RC-0531</t>
        </is>
      </c>
      <c r="C536" s="11" t="inlineStr">
        <is>
          <t>Data &amp; Analytics</t>
        </is>
      </c>
      <c r="D536" s="7" t="inlineStr">
        <is>
          <t>Snowflake Administrator</t>
        </is>
      </c>
      <c r="E536" s="11" t="inlineStr">
        <is>
          <t>Snowflake</t>
        </is>
      </c>
      <c r="F536" s="11" t="inlineStr">
        <is>
          <t>Senior</t>
        </is>
      </c>
      <c r="G536" s="21" t="inlineStr">
        <is>
          <t>Medium</t>
        </is>
      </c>
      <c r="H536" s="23">
        <f>VLOOKUP(F536,'Internal Cost Model'!$B$6:$F$15,5,FALSE)</f>
        <v/>
      </c>
      <c r="I536" s="24">
        <f>H536*VLOOKUP(G536,Assumptions!$B$43:$C$45,2,FALSE)</f>
        <v/>
      </c>
      <c r="J536" s="25">
        <f>VLOOKUP(F536,Assumptions!$B$50:$D$59,2,FALSE)*VLOOKUP("SI-T1",Assumptions!$B$27:$C$31,2,FALSE)*VLOOKUP(G536,Assumptions!$B$43:$C$45,2,FALSE)</f>
        <v/>
      </c>
    </row>
    <row r="537">
      <c r="B537" s="7" t="inlineStr">
        <is>
          <t>RC-0532</t>
        </is>
      </c>
      <c r="C537" s="11" t="inlineStr">
        <is>
          <t>Data &amp; Analytics</t>
        </is>
      </c>
      <c r="D537" s="7" t="inlineStr">
        <is>
          <t>Snowflake Administrator</t>
        </is>
      </c>
      <c r="E537" s="11" t="inlineStr">
        <is>
          <t>Snowflake</t>
        </is>
      </c>
      <c r="F537" s="11" t="inlineStr">
        <is>
          <t>Intermediate</t>
        </is>
      </c>
      <c r="G537" s="21" t="inlineStr">
        <is>
          <t>Medium</t>
        </is>
      </c>
      <c r="H537" s="23">
        <f>VLOOKUP(F537,'Internal Cost Model'!$B$6:$F$15,5,FALSE)</f>
        <v/>
      </c>
      <c r="I537" s="24">
        <f>H537*VLOOKUP(G537,Assumptions!$B$43:$C$45,2,FALSE)</f>
        <v/>
      </c>
      <c r="J537" s="25">
        <f>VLOOKUP(F537,Assumptions!$B$50:$D$59,2,FALSE)*VLOOKUP("SI-T1",Assumptions!$B$27:$C$31,2,FALSE)*VLOOKUP(G537,Assumptions!$B$43:$C$45,2,FALSE)</f>
        <v/>
      </c>
    </row>
    <row r="538">
      <c r="B538" s="7" t="inlineStr">
        <is>
          <t>RC-0533</t>
        </is>
      </c>
      <c r="C538" s="11" t="inlineStr">
        <is>
          <t>Data &amp; Analytics</t>
        </is>
      </c>
      <c r="D538" s="7" t="inlineStr">
        <is>
          <t>Databricks Platform Engineer</t>
        </is>
      </c>
      <c r="E538" s="11" t="inlineStr">
        <is>
          <t>Databricks</t>
        </is>
      </c>
      <c r="F538" s="11" t="inlineStr">
        <is>
          <t>Lead</t>
        </is>
      </c>
      <c r="G538" s="21" t="inlineStr">
        <is>
          <t>High</t>
        </is>
      </c>
      <c r="H538" s="23">
        <f>VLOOKUP(F538,'Internal Cost Model'!$B$6:$F$15,5,FALSE)</f>
        <v/>
      </c>
      <c r="I538" s="24">
        <f>H538*VLOOKUP(G538,Assumptions!$B$43:$C$45,2,FALSE)</f>
        <v/>
      </c>
      <c r="J538" s="25">
        <f>VLOOKUP(F538,Assumptions!$B$50:$D$59,2,FALSE)*VLOOKUP("SI-T1",Assumptions!$B$27:$C$31,2,FALSE)*VLOOKUP(G538,Assumptions!$B$43:$C$45,2,FALSE)</f>
        <v/>
      </c>
    </row>
    <row r="539">
      <c r="B539" s="7" t="inlineStr">
        <is>
          <t>RC-0534</t>
        </is>
      </c>
      <c r="C539" s="11" t="inlineStr">
        <is>
          <t>Data &amp; Analytics</t>
        </is>
      </c>
      <c r="D539" s="7" t="inlineStr">
        <is>
          <t>Databricks Platform Engineer</t>
        </is>
      </c>
      <c r="E539" s="11" t="inlineStr">
        <is>
          <t>Databricks</t>
        </is>
      </c>
      <c r="F539" s="11" t="inlineStr">
        <is>
          <t>Senior</t>
        </is>
      </c>
      <c r="G539" s="21" t="inlineStr">
        <is>
          <t>High</t>
        </is>
      </c>
      <c r="H539" s="23">
        <f>VLOOKUP(F539,'Internal Cost Model'!$B$6:$F$15,5,FALSE)</f>
        <v/>
      </c>
      <c r="I539" s="24">
        <f>H539*VLOOKUP(G539,Assumptions!$B$43:$C$45,2,FALSE)</f>
        <v/>
      </c>
      <c r="J539" s="25">
        <f>VLOOKUP(F539,Assumptions!$B$50:$D$59,2,FALSE)*VLOOKUP("SI-T1",Assumptions!$B$27:$C$31,2,FALSE)*VLOOKUP(G539,Assumptions!$B$43:$C$45,2,FALSE)</f>
        <v/>
      </c>
    </row>
    <row r="540">
      <c r="B540" s="7" t="inlineStr">
        <is>
          <t>RC-0535</t>
        </is>
      </c>
      <c r="C540" s="11" t="inlineStr">
        <is>
          <t>Data &amp; Analytics</t>
        </is>
      </c>
      <c r="D540" s="7" t="inlineStr">
        <is>
          <t>Informatica Architect</t>
        </is>
      </c>
      <c r="E540" s="11" t="inlineStr">
        <is>
          <t>Informatica</t>
        </is>
      </c>
      <c r="F540" s="11" t="inlineStr">
        <is>
          <t>Senior Manager</t>
        </is>
      </c>
      <c r="G540" s="21" t="inlineStr">
        <is>
          <t>Medium</t>
        </is>
      </c>
      <c r="H540" s="23">
        <f>VLOOKUP(F540,'Internal Cost Model'!$B$6:$F$15,5,FALSE)</f>
        <v/>
      </c>
      <c r="I540" s="24">
        <f>H540*VLOOKUP(G540,Assumptions!$B$43:$C$45,2,FALSE)</f>
        <v/>
      </c>
      <c r="J540" s="25">
        <f>VLOOKUP(F540,Assumptions!$B$50:$D$59,2,FALSE)*VLOOKUP("SI-T1",Assumptions!$B$27:$C$31,2,FALSE)*VLOOKUP(G540,Assumptions!$B$43:$C$45,2,FALSE)</f>
        <v/>
      </c>
    </row>
    <row r="541">
      <c r="B541" s="7" t="inlineStr">
        <is>
          <t>RC-0536</t>
        </is>
      </c>
      <c r="C541" s="11" t="inlineStr">
        <is>
          <t>Data &amp; Analytics</t>
        </is>
      </c>
      <c r="D541" s="7" t="inlineStr">
        <is>
          <t>Informatica Architect</t>
        </is>
      </c>
      <c r="E541" s="11" t="inlineStr">
        <is>
          <t>Informatica</t>
        </is>
      </c>
      <c r="F541" s="11" t="inlineStr">
        <is>
          <t>Manager</t>
        </is>
      </c>
      <c r="G541" s="21" t="inlineStr">
        <is>
          <t>Medium</t>
        </is>
      </c>
      <c r="H541" s="23">
        <f>VLOOKUP(F541,'Internal Cost Model'!$B$6:$F$15,5,FALSE)</f>
        <v/>
      </c>
      <c r="I541" s="24">
        <f>H541*VLOOKUP(G541,Assumptions!$B$43:$C$45,2,FALSE)</f>
        <v/>
      </c>
      <c r="J541" s="25">
        <f>VLOOKUP(F541,Assumptions!$B$50:$D$59,2,FALSE)*VLOOKUP("SI-T1",Assumptions!$B$27:$C$31,2,FALSE)*VLOOKUP(G541,Assumptions!$B$43:$C$45,2,FALSE)</f>
        <v/>
      </c>
    </row>
    <row r="542">
      <c r="B542" s="7" t="inlineStr">
        <is>
          <t>RC-0537</t>
        </is>
      </c>
      <c r="C542" s="11" t="inlineStr">
        <is>
          <t>Data &amp; Analytics</t>
        </is>
      </c>
      <c r="D542" s="7" t="inlineStr">
        <is>
          <t>Informatica Architect</t>
        </is>
      </c>
      <c r="E542" s="11" t="inlineStr">
        <is>
          <t>Informatica</t>
        </is>
      </c>
      <c r="F542" s="11" t="inlineStr">
        <is>
          <t>Lead</t>
        </is>
      </c>
      <c r="G542" s="21" t="inlineStr">
        <is>
          <t>Medium</t>
        </is>
      </c>
      <c r="H542" s="23">
        <f>VLOOKUP(F542,'Internal Cost Model'!$B$6:$F$15,5,FALSE)</f>
        <v/>
      </c>
      <c r="I542" s="24">
        <f>H542*VLOOKUP(G542,Assumptions!$B$43:$C$45,2,FALSE)</f>
        <v/>
      </c>
      <c r="J542" s="25">
        <f>VLOOKUP(F542,Assumptions!$B$50:$D$59,2,FALSE)*VLOOKUP("SI-T1",Assumptions!$B$27:$C$31,2,FALSE)*VLOOKUP(G542,Assumptions!$B$43:$C$45,2,FALSE)</f>
        <v/>
      </c>
    </row>
    <row r="543">
      <c r="B543" s="7" t="inlineStr">
        <is>
          <t>RC-0538</t>
        </is>
      </c>
      <c r="C543" s="11" t="inlineStr">
        <is>
          <t>AI &amp; GenAI</t>
        </is>
      </c>
      <c r="D543" s="7" t="inlineStr">
        <is>
          <t>Data Scientist</t>
        </is>
      </c>
      <c r="E543" s="11" t="inlineStr">
        <is>
          <t>Machine Learning</t>
        </is>
      </c>
      <c r="F543" s="11" t="inlineStr">
        <is>
          <t>Senior Manager</t>
        </is>
      </c>
      <c r="G543" s="21" t="inlineStr">
        <is>
          <t>High</t>
        </is>
      </c>
      <c r="H543" s="23">
        <f>VLOOKUP(F543,'Internal Cost Model'!$B$6:$F$15,5,FALSE)</f>
        <v/>
      </c>
      <c r="I543" s="24">
        <f>H543*VLOOKUP(G543,Assumptions!$B$43:$C$45,2,FALSE)</f>
        <v/>
      </c>
      <c r="J543" s="25">
        <f>VLOOKUP(F543,Assumptions!$B$50:$D$59,2,FALSE)*VLOOKUP("SI-T1",Assumptions!$B$27:$C$31,2,FALSE)*VLOOKUP(G543,Assumptions!$B$43:$C$45,2,FALSE)</f>
        <v/>
      </c>
    </row>
    <row r="544">
      <c r="B544" s="7" t="inlineStr">
        <is>
          <t>RC-0539</t>
        </is>
      </c>
      <c r="C544" s="11" t="inlineStr">
        <is>
          <t>AI &amp; GenAI</t>
        </is>
      </c>
      <c r="D544" s="7" t="inlineStr">
        <is>
          <t>Data Scientist</t>
        </is>
      </c>
      <c r="E544" s="11" t="inlineStr">
        <is>
          <t>Machine Learning</t>
        </is>
      </c>
      <c r="F544" s="11" t="inlineStr">
        <is>
          <t>Manager</t>
        </is>
      </c>
      <c r="G544" s="21" t="inlineStr">
        <is>
          <t>High</t>
        </is>
      </c>
      <c r="H544" s="23">
        <f>VLOOKUP(F544,'Internal Cost Model'!$B$6:$F$15,5,FALSE)</f>
        <v/>
      </c>
      <c r="I544" s="24">
        <f>H544*VLOOKUP(G544,Assumptions!$B$43:$C$45,2,FALSE)</f>
        <v/>
      </c>
      <c r="J544" s="25">
        <f>VLOOKUP(F544,Assumptions!$B$50:$D$59,2,FALSE)*VLOOKUP("SI-T1",Assumptions!$B$27:$C$31,2,FALSE)*VLOOKUP(G544,Assumptions!$B$43:$C$45,2,FALSE)</f>
        <v/>
      </c>
    </row>
    <row r="545">
      <c r="B545" s="7" t="inlineStr">
        <is>
          <t>RC-0540</t>
        </is>
      </c>
      <c r="C545" s="11" t="inlineStr">
        <is>
          <t>AI &amp; GenAI</t>
        </is>
      </c>
      <c r="D545" s="7" t="inlineStr">
        <is>
          <t>Data Scientist</t>
        </is>
      </c>
      <c r="E545" s="11" t="inlineStr">
        <is>
          <t>Machine Learning</t>
        </is>
      </c>
      <c r="F545" s="11" t="inlineStr">
        <is>
          <t>Lead</t>
        </is>
      </c>
      <c r="G545" s="21" t="inlineStr">
        <is>
          <t>High</t>
        </is>
      </c>
      <c r="H545" s="23">
        <f>VLOOKUP(F545,'Internal Cost Model'!$B$6:$F$15,5,FALSE)</f>
        <v/>
      </c>
      <c r="I545" s="24">
        <f>H545*VLOOKUP(G545,Assumptions!$B$43:$C$45,2,FALSE)</f>
        <v/>
      </c>
      <c r="J545" s="25">
        <f>VLOOKUP(F545,Assumptions!$B$50:$D$59,2,FALSE)*VLOOKUP("SI-T1",Assumptions!$B$27:$C$31,2,FALSE)*VLOOKUP(G545,Assumptions!$B$43:$C$45,2,FALSE)</f>
        <v/>
      </c>
    </row>
    <row r="546">
      <c r="B546" s="7" t="inlineStr">
        <is>
          <t>RC-0541</t>
        </is>
      </c>
      <c r="C546" s="11" t="inlineStr">
        <is>
          <t>AI &amp; GenAI</t>
        </is>
      </c>
      <c r="D546" s="7" t="inlineStr">
        <is>
          <t>Data Scientist</t>
        </is>
      </c>
      <c r="E546" s="11" t="inlineStr">
        <is>
          <t>Machine Learning</t>
        </is>
      </c>
      <c r="F546" s="11" t="inlineStr">
        <is>
          <t>Senior</t>
        </is>
      </c>
      <c r="G546" s="21" t="inlineStr">
        <is>
          <t>High</t>
        </is>
      </c>
      <c r="H546" s="23">
        <f>VLOOKUP(F546,'Internal Cost Model'!$B$6:$F$15,5,FALSE)</f>
        <v/>
      </c>
      <c r="I546" s="24">
        <f>H546*VLOOKUP(G546,Assumptions!$B$43:$C$45,2,FALSE)</f>
        <v/>
      </c>
      <c r="J546" s="25">
        <f>VLOOKUP(F546,Assumptions!$B$50:$D$59,2,FALSE)*VLOOKUP("SI-T1",Assumptions!$B$27:$C$31,2,FALSE)*VLOOKUP(G546,Assumptions!$B$43:$C$45,2,FALSE)</f>
        <v/>
      </c>
    </row>
    <row r="547">
      <c r="B547" s="7" t="inlineStr">
        <is>
          <t>RC-0542</t>
        </is>
      </c>
      <c r="C547" s="11" t="inlineStr">
        <is>
          <t>AI &amp; GenAI</t>
        </is>
      </c>
      <c r="D547" s="7" t="inlineStr">
        <is>
          <t>Data Scientist</t>
        </is>
      </c>
      <c r="E547" s="11" t="inlineStr">
        <is>
          <t>Machine Learning</t>
        </is>
      </c>
      <c r="F547" s="11" t="inlineStr">
        <is>
          <t>Intermediate</t>
        </is>
      </c>
      <c r="G547" s="21" t="inlineStr">
        <is>
          <t>High</t>
        </is>
      </c>
      <c r="H547" s="23">
        <f>VLOOKUP(F547,'Internal Cost Model'!$B$6:$F$15,5,FALSE)</f>
        <v/>
      </c>
      <c r="I547" s="24">
        <f>H547*VLOOKUP(G547,Assumptions!$B$43:$C$45,2,FALSE)</f>
        <v/>
      </c>
      <c r="J547" s="25">
        <f>VLOOKUP(F547,Assumptions!$B$50:$D$59,2,FALSE)*VLOOKUP("SI-T1",Assumptions!$B$27:$C$31,2,FALSE)*VLOOKUP(G547,Assumptions!$B$43:$C$45,2,FALSE)</f>
        <v/>
      </c>
    </row>
    <row r="548">
      <c r="B548" s="7" t="inlineStr">
        <is>
          <t>RC-0543</t>
        </is>
      </c>
      <c r="C548" s="11" t="inlineStr">
        <is>
          <t>AI &amp; GenAI</t>
        </is>
      </c>
      <c r="D548" s="7" t="inlineStr">
        <is>
          <t>Senior Data Scientist</t>
        </is>
      </c>
      <c r="E548" s="11" t="inlineStr">
        <is>
          <t>Machine Learning</t>
        </is>
      </c>
      <c r="F548" s="11" t="inlineStr">
        <is>
          <t>Lead</t>
        </is>
      </c>
      <c r="G548" s="21" t="inlineStr">
        <is>
          <t>High</t>
        </is>
      </c>
      <c r="H548" s="23">
        <f>VLOOKUP(F548,'Internal Cost Model'!$B$6:$F$15,5,FALSE)</f>
        <v/>
      </c>
      <c r="I548" s="24">
        <f>H548*VLOOKUP(G548,Assumptions!$B$43:$C$45,2,FALSE)</f>
        <v/>
      </c>
      <c r="J548" s="25">
        <f>VLOOKUP(F548,Assumptions!$B$50:$D$59,2,FALSE)*VLOOKUP("SI-T1",Assumptions!$B$27:$C$31,2,FALSE)*VLOOKUP(G548,Assumptions!$B$43:$C$45,2,FALSE)</f>
        <v/>
      </c>
    </row>
    <row r="549">
      <c r="B549" s="7" t="inlineStr">
        <is>
          <t>RC-0544</t>
        </is>
      </c>
      <c r="C549" s="11" t="inlineStr">
        <is>
          <t>AI &amp; GenAI</t>
        </is>
      </c>
      <c r="D549" s="7" t="inlineStr">
        <is>
          <t>Senior Data Scientist</t>
        </is>
      </c>
      <c r="E549" s="11" t="inlineStr">
        <is>
          <t>Machine Learning</t>
        </is>
      </c>
      <c r="F549" s="11" t="inlineStr">
        <is>
          <t>Senior</t>
        </is>
      </c>
      <c r="G549" s="21" t="inlineStr">
        <is>
          <t>High</t>
        </is>
      </c>
      <c r="H549" s="23">
        <f>VLOOKUP(F549,'Internal Cost Model'!$B$6:$F$15,5,FALSE)</f>
        <v/>
      </c>
      <c r="I549" s="24">
        <f>H549*VLOOKUP(G549,Assumptions!$B$43:$C$45,2,FALSE)</f>
        <v/>
      </c>
      <c r="J549" s="25">
        <f>VLOOKUP(F549,Assumptions!$B$50:$D$59,2,FALSE)*VLOOKUP("SI-T1",Assumptions!$B$27:$C$31,2,FALSE)*VLOOKUP(G549,Assumptions!$B$43:$C$45,2,FALSE)</f>
        <v/>
      </c>
    </row>
    <row r="550">
      <c r="B550" s="7" t="inlineStr">
        <is>
          <t>RC-0545</t>
        </is>
      </c>
      <c r="C550" s="11" t="inlineStr">
        <is>
          <t>AI &amp; GenAI</t>
        </is>
      </c>
      <c r="D550" s="7" t="inlineStr">
        <is>
          <t>NLP Engineer</t>
        </is>
      </c>
      <c r="E550" s="11" t="inlineStr">
        <is>
          <t>Generative AI</t>
        </is>
      </c>
      <c r="F550" s="11" t="inlineStr">
        <is>
          <t>Lead</t>
        </is>
      </c>
      <c r="G550" s="21" t="inlineStr">
        <is>
          <t>High</t>
        </is>
      </c>
      <c r="H550" s="23">
        <f>VLOOKUP(F550,'Internal Cost Model'!$B$6:$F$15,5,FALSE)</f>
        <v/>
      </c>
      <c r="I550" s="24">
        <f>H550*VLOOKUP(G550,Assumptions!$B$43:$C$45,2,FALSE)</f>
        <v/>
      </c>
      <c r="J550" s="25">
        <f>VLOOKUP(F550,Assumptions!$B$50:$D$59,2,FALSE)*VLOOKUP("SI-T1",Assumptions!$B$27:$C$31,2,FALSE)*VLOOKUP(G550,Assumptions!$B$43:$C$45,2,FALSE)</f>
        <v/>
      </c>
    </row>
    <row r="551">
      <c r="B551" s="7" t="inlineStr">
        <is>
          <t>RC-0546</t>
        </is>
      </c>
      <c r="C551" s="11" t="inlineStr">
        <is>
          <t>AI &amp; GenAI</t>
        </is>
      </c>
      <c r="D551" s="7" t="inlineStr">
        <is>
          <t>NLP Engineer</t>
        </is>
      </c>
      <c r="E551" s="11" t="inlineStr">
        <is>
          <t>Generative AI</t>
        </is>
      </c>
      <c r="F551" s="11" t="inlineStr">
        <is>
          <t>Senior</t>
        </is>
      </c>
      <c r="G551" s="21" t="inlineStr">
        <is>
          <t>High</t>
        </is>
      </c>
      <c r="H551" s="23">
        <f>VLOOKUP(F551,'Internal Cost Model'!$B$6:$F$15,5,FALSE)</f>
        <v/>
      </c>
      <c r="I551" s="24">
        <f>H551*VLOOKUP(G551,Assumptions!$B$43:$C$45,2,FALSE)</f>
        <v/>
      </c>
      <c r="J551" s="25">
        <f>VLOOKUP(F551,Assumptions!$B$50:$D$59,2,FALSE)*VLOOKUP("SI-T1",Assumptions!$B$27:$C$31,2,FALSE)*VLOOKUP(G551,Assumptions!$B$43:$C$45,2,FALSE)</f>
        <v/>
      </c>
    </row>
    <row r="552">
      <c r="B552" s="7" t="inlineStr">
        <is>
          <t>RC-0547</t>
        </is>
      </c>
      <c r="C552" s="11" t="inlineStr">
        <is>
          <t>AI &amp; GenAI</t>
        </is>
      </c>
      <c r="D552" s="7" t="inlineStr">
        <is>
          <t>Computer Vision Engineer</t>
        </is>
      </c>
      <c r="E552" s="11" t="inlineStr">
        <is>
          <t>Machine Learning</t>
        </is>
      </c>
      <c r="F552" s="11" t="inlineStr">
        <is>
          <t>Lead</t>
        </is>
      </c>
      <c r="G552" s="21" t="inlineStr">
        <is>
          <t>High</t>
        </is>
      </c>
      <c r="H552" s="23">
        <f>VLOOKUP(F552,'Internal Cost Model'!$B$6:$F$15,5,FALSE)</f>
        <v/>
      </c>
      <c r="I552" s="24">
        <f>H552*VLOOKUP(G552,Assumptions!$B$43:$C$45,2,FALSE)</f>
        <v/>
      </c>
      <c r="J552" s="25">
        <f>VLOOKUP(F552,Assumptions!$B$50:$D$59,2,FALSE)*VLOOKUP("SI-T1",Assumptions!$B$27:$C$31,2,FALSE)*VLOOKUP(G552,Assumptions!$B$43:$C$45,2,FALSE)</f>
        <v/>
      </c>
    </row>
    <row r="553">
      <c r="B553" s="7" t="inlineStr">
        <is>
          <t>RC-0548</t>
        </is>
      </c>
      <c r="C553" s="11" t="inlineStr">
        <is>
          <t>AI &amp; GenAI</t>
        </is>
      </c>
      <c r="D553" s="7" t="inlineStr">
        <is>
          <t>Computer Vision Engineer</t>
        </is>
      </c>
      <c r="E553" s="11" t="inlineStr">
        <is>
          <t>Machine Learning</t>
        </is>
      </c>
      <c r="F553" s="11" t="inlineStr">
        <is>
          <t>Senior</t>
        </is>
      </c>
      <c r="G553" s="21" t="inlineStr">
        <is>
          <t>High</t>
        </is>
      </c>
      <c r="H553" s="23">
        <f>VLOOKUP(F553,'Internal Cost Model'!$B$6:$F$15,5,FALSE)</f>
        <v/>
      </c>
      <c r="I553" s="24">
        <f>H553*VLOOKUP(G553,Assumptions!$B$43:$C$45,2,FALSE)</f>
        <v/>
      </c>
      <c r="J553" s="25">
        <f>VLOOKUP(F553,Assumptions!$B$50:$D$59,2,FALSE)*VLOOKUP("SI-T1",Assumptions!$B$27:$C$31,2,FALSE)*VLOOKUP(G553,Assumptions!$B$43:$C$45,2,FALSE)</f>
        <v/>
      </c>
    </row>
    <row r="554">
      <c r="B554" s="7" t="inlineStr">
        <is>
          <t>RC-0549</t>
        </is>
      </c>
      <c r="C554" s="11" t="inlineStr">
        <is>
          <t>AI &amp; GenAI</t>
        </is>
      </c>
      <c r="D554" s="7" t="inlineStr">
        <is>
          <t>RAG Engineer</t>
        </is>
      </c>
      <c r="E554" s="11" t="inlineStr">
        <is>
          <t>Generative AI</t>
        </is>
      </c>
      <c r="F554" s="11" t="inlineStr">
        <is>
          <t>Senior</t>
        </is>
      </c>
      <c r="G554" s="21" t="inlineStr">
        <is>
          <t>High</t>
        </is>
      </c>
      <c r="H554" s="23">
        <f>VLOOKUP(F554,'Internal Cost Model'!$B$6:$F$15,5,FALSE)</f>
        <v/>
      </c>
      <c r="I554" s="24">
        <f>H554*VLOOKUP(G554,Assumptions!$B$43:$C$45,2,FALSE)</f>
        <v/>
      </c>
      <c r="J554" s="25">
        <f>VLOOKUP(F554,Assumptions!$B$50:$D$59,2,FALSE)*VLOOKUP("SI-T1",Assumptions!$B$27:$C$31,2,FALSE)*VLOOKUP(G554,Assumptions!$B$43:$C$45,2,FALSE)</f>
        <v/>
      </c>
    </row>
    <row r="555">
      <c r="B555" s="7" t="inlineStr">
        <is>
          <t>RC-0550</t>
        </is>
      </c>
      <c r="C555" s="11" t="inlineStr">
        <is>
          <t>AI &amp; GenAI</t>
        </is>
      </c>
      <c r="D555" s="7" t="inlineStr">
        <is>
          <t>RAG Engineer</t>
        </is>
      </c>
      <c r="E555" s="11" t="inlineStr">
        <is>
          <t>Generative AI</t>
        </is>
      </c>
      <c r="F555" s="11" t="inlineStr">
        <is>
          <t>Intermediate</t>
        </is>
      </c>
      <c r="G555" s="21" t="inlineStr">
        <is>
          <t>High</t>
        </is>
      </c>
      <c r="H555" s="23">
        <f>VLOOKUP(F555,'Internal Cost Model'!$B$6:$F$15,5,FALSE)</f>
        <v/>
      </c>
      <c r="I555" s="24">
        <f>H555*VLOOKUP(G555,Assumptions!$B$43:$C$45,2,FALSE)</f>
        <v/>
      </c>
      <c r="J555" s="25">
        <f>VLOOKUP(F555,Assumptions!$B$50:$D$59,2,FALSE)*VLOOKUP("SI-T1",Assumptions!$B$27:$C$31,2,FALSE)*VLOOKUP(G555,Assumptions!$B$43:$C$45,2,FALSE)</f>
        <v/>
      </c>
    </row>
    <row r="556">
      <c r="B556" s="7" t="inlineStr">
        <is>
          <t>RC-0551</t>
        </is>
      </c>
      <c r="C556" s="11" t="inlineStr">
        <is>
          <t>AI &amp; GenAI</t>
        </is>
      </c>
      <c r="D556" s="7" t="inlineStr">
        <is>
          <t>AI Evaluation Engineer</t>
        </is>
      </c>
      <c r="E556" s="11" t="inlineStr">
        <is>
          <t>Model Validation</t>
        </is>
      </c>
      <c r="F556" s="11" t="inlineStr">
        <is>
          <t>Lead</t>
        </is>
      </c>
      <c r="G556" s="21" t="inlineStr">
        <is>
          <t>High</t>
        </is>
      </c>
      <c r="H556" s="23">
        <f>VLOOKUP(F556,'Internal Cost Model'!$B$6:$F$15,5,FALSE)</f>
        <v/>
      </c>
      <c r="I556" s="24">
        <f>H556*VLOOKUP(G556,Assumptions!$B$43:$C$45,2,FALSE)</f>
        <v/>
      </c>
      <c r="J556" s="25">
        <f>VLOOKUP(F556,Assumptions!$B$50:$D$59,2,FALSE)*VLOOKUP("SI-T1",Assumptions!$B$27:$C$31,2,FALSE)*VLOOKUP(G556,Assumptions!$B$43:$C$45,2,FALSE)</f>
        <v/>
      </c>
    </row>
    <row r="557">
      <c r="B557" s="7" t="inlineStr">
        <is>
          <t>RC-0552</t>
        </is>
      </c>
      <c r="C557" s="11" t="inlineStr">
        <is>
          <t>AI &amp; GenAI</t>
        </is>
      </c>
      <c r="D557" s="7" t="inlineStr">
        <is>
          <t>AI Evaluation Engineer</t>
        </is>
      </c>
      <c r="E557" s="11" t="inlineStr">
        <is>
          <t>Model Validation</t>
        </is>
      </c>
      <c r="F557" s="11" t="inlineStr">
        <is>
          <t>Senior</t>
        </is>
      </c>
      <c r="G557" s="21" t="inlineStr">
        <is>
          <t>High</t>
        </is>
      </c>
      <c r="H557" s="23">
        <f>VLOOKUP(F557,'Internal Cost Model'!$B$6:$F$15,5,FALSE)</f>
        <v/>
      </c>
      <c r="I557" s="24">
        <f>H557*VLOOKUP(G557,Assumptions!$B$43:$C$45,2,FALSE)</f>
        <v/>
      </c>
      <c r="J557" s="25">
        <f>VLOOKUP(F557,Assumptions!$B$50:$D$59,2,FALSE)*VLOOKUP("SI-T1",Assumptions!$B$27:$C$31,2,FALSE)*VLOOKUP(G557,Assumptions!$B$43:$C$45,2,FALSE)</f>
        <v/>
      </c>
    </row>
    <row r="558">
      <c r="B558" s="7" t="inlineStr">
        <is>
          <t>RC-0553</t>
        </is>
      </c>
      <c r="C558" s="11" t="inlineStr">
        <is>
          <t>AI &amp; GenAI</t>
        </is>
      </c>
      <c r="D558" s="7" t="inlineStr">
        <is>
          <t>AI Safety Engineer</t>
        </is>
      </c>
      <c r="E558" s="11" t="inlineStr">
        <is>
          <t>Responsible AI</t>
        </is>
      </c>
      <c r="F558" s="11" t="inlineStr">
        <is>
          <t>Lead</t>
        </is>
      </c>
      <c r="G558" s="21" t="inlineStr">
        <is>
          <t>High</t>
        </is>
      </c>
      <c r="H558" s="23">
        <f>VLOOKUP(F558,'Internal Cost Model'!$B$6:$F$15,5,FALSE)</f>
        <v/>
      </c>
      <c r="I558" s="24">
        <f>H558*VLOOKUP(G558,Assumptions!$B$43:$C$45,2,FALSE)</f>
        <v/>
      </c>
      <c r="J558" s="25">
        <f>VLOOKUP(F558,Assumptions!$B$50:$D$59,2,FALSE)*VLOOKUP("SI-T1",Assumptions!$B$27:$C$31,2,FALSE)*VLOOKUP(G558,Assumptions!$B$43:$C$45,2,FALSE)</f>
        <v/>
      </c>
    </row>
    <row r="559">
      <c r="B559" s="7" t="inlineStr">
        <is>
          <t>RC-0554</t>
        </is>
      </c>
      <c r="C559" s="11" t="inlineStr">
        <is>
          <t>AI &amp; GenAI</t>
        </is>
      </c>
      <c r="D559" s="7" t="inlineStr">
        <is>
          <t>AI Safety Engineer</t>
        </is>
      </c>
      <c r="E559" s="11" t="inlineStr">
        <is>
          <t>Responsible AI</t>
        </is>
      </c>
      <c r="F559" s="11" t="inlineStr">
        <is>
          <t>Senior</t>
        </is>
      </c>
      <c r="G559" s="21" t="inlineStr">
        <is>
          <t>High</t>
        </is>
      </c>
      <c r="H559" s="23">
        <f>VLOOKUP(F559,'Internal Cost Model'!$B$6:$F$15,5,FALSE)</f>
        <v/>
      </c>
      <c r="I559" s="24">
        <f>H559*VLOOKUP(G559,Assumptions!$B$43:$C$45,2,FALSE)</f>
        <v/>
      </c>
      <c r="J559" s="25">
        <f>VLOOKUP(F559,Assumptions!$B$50:$D$59,2,FALSE)*VLOOKUP("SI-T1",Assumptions!$B$27:$C$31,2,FALSE)*VLOOKUP(G559,Assumptions!$B$43:$C$45,2,FALSE)</f>
        <v/>
      </c>
    </row>
    <row r="560">
      <c r="B560" s="7" t="inlineStr">
        <is>
          <t>RC-0555</t>
        </is>
      </c>
      <c r="C560" s="11" t="inlineStr">
        <is>
          <t>AI &amp; GenAI</t>
        </is>
      </c>
      <c r="D560" s="7" t="inlineStr">
        <is>
          <t>Knowledge Engineer</t>
        </is>
      </c>
      <c r="E560" s="11" t="inlineStr">
        <is>
          <t>Agentic AI</t>
        </is>
      </c>
      <c r="F560" s="11" t="inlineStr">
        <is>
          <t>Lead</t>
        </is>
      </c>
      <c r="G560" s="21" t="inlineStr">
        <is>
          <t>High</t>
        </is>
      </c>
      <c r="H560" s="23">
        <f>VLOOKUP(F560,'Internal Cost Model'!$B$6:$F$15,5,FALSE)</f>
        <v/>
      </c>
      <c r="I560" s="24">
        <f>H560*VLOOKUP(G560,Assumptions!$B$43:$C$45,2,FALSE)</f>
        <v/>
      </c>
      <c r="J560" s="25">
        <f>VLOOKUP(F560,Assumptions!$B$50:$D$59,2,FALSE)*VLOOKUP("SI-T1",Assumptions!$B$27:$C$31,2,FALSE)*VLOOKUP(G560,Assumptions!$B$43:$C$45,2,FALSE)</f>
        <v/>
      </c>
    </row>
    <row r="561">
      <c r="B561" s="7" t="inlineStr">
        <is>
          <t>RC-0556</t>
        </is>
      </c>
      <c r="C561" s="11" t="inlineStr">
        <is>
          <t>AI &amp; GenAI</t>
        </is>
      </c>
      <c r="D561" s="7" t="inlineStr">
        <is>
          <t>Knowledge Engineer</t>
        </is>
      </c>
      <c r="E561" s="11" t="inlineStr">
        <is>
          <t>Agentic AI</t>
        </is>
      </c>
      <c r="F561" s="11" t="inlineStr">
        <is>
          <t>Senior</t>
        </is>
      </c>
      <c r="G561" s="21" t="inlineStr">
        <is>
          <t>High</t>
        </is>
      </c>
      <c r="H561" s="23">
        <f>VLOOKUP(F561,'Internal Cost Model'!$B$6:$F$15,5,FALSE)</f>
        <v/>
      </c>
      <c r="I561" s="24">
        <f>H561*VLOOKUP(G561,Assumptions!$B$43:$C$45,2,FALSE)</f>
        <v/>
      </c>
      <c r="J561" s="25">
        <f>VLOOKUP(F561,Assumptions!$B$50:$D$59,2,FALSE)*VLOOKUP("SI-T1",Assumptions!$B$27:$C$31,2,FALSE)*VLOOKUP(G561,Assumptions!$B$43:$C$45,2,FALSE)</f>
        <v/>
      </c>
    </row>
    <row r="562">
      <c r="B562" s="7" t="inlineStr">
        <is>
          <t>RC-0557</t>
        </is>
      </c>
      <c r="C562" s="11" t="inlineStr">
        <is>
          <t>AI &amp; GenAI</t>
        </is>
      </c>
      <c r="D562" s="7" t="inlineStr">
        <is>
          <t>Conversational AI Designer</t>
        </is>
      </c>
      <c r="E562" s="11" t="inlineStr">
        <is>
          <t>Generative AI</t>
        </is>
      </c>
      <c r="F562" s="11" t="inlineStr">
        <is>
          <t>Senior</t>
        </is>
      </c>
      <c r="G562" s="21" t="inlineStr">
        <is>
          <t>Medium</t>
        </is>
      </c>
      <c r="H562" s="23">
        <f>VLOOKUP(F562,'Internal Cost Model'!$B$6:$F$15,5,FALSE)</f>
        <v/>
      </c>
      <c r="I562" s="24">
        <f>H562*VLOOKUP(G562,Assumptions!$B$43:$C$45,2,FALSE)</f>
        <v/>
      </c>
      <c r="J562" s="25">
        <f>VLOOKUP(F562,Assumptions!$B$50:$D$59,2,FALSE)*VLOOKUP("SI-T1",Assumptions!$B$27:$C$31,2,FALSE)*VLOOKUP(G562,Assumptions!$B$43:$C$45,2,FALSE)</f>
        <v/>
      </c>
    </row>
    <row r="563">
      <c r="B563" s="7" t="inlineStr">
        <is>
          <t>RC-0558</t>
        </is>
      </c>
      <c r="C563" s="11" t="inlineStr">
        <is>
          <t>AI &amp; GenAI</t>
        </is>
      </c>
      <c r="D563" s="7" t="inlineStr">
        <is>
          <t>Conversational AI Designer</t>
        </is>
      </c>
      <c r="E563" s="11" t="inlineStr">
        <is>
          <t>Generative AI</t>
        </is>
      </c>
      <c r="F563" s="11" t="inlineStr">
        <is>
          <t>Intermediate</t>
        </is>
      </c>
      <c r="G563" s="21" t="inlineStr">
        <is>
          <t>Medium</t>
        </is>
      </c>
      <c r="H563" s="23">
        <f>VLOOKUP(F563,'Internal Cost Model'!$B$6:$F$15,5,FALSE)</f>
        <v/>
      </c>
      <c r="I563" s="24">
        <f>H563*VLOOKUP(G563,Assumptions!$B$43:$C$45,2,FALSE)</f>
        <v/>
      </c>
      <c r="J563" s="25">
        <f>VLOOKUP(F563,Assumptions!$B$50:$D$59,2,FALSE)*VLOOKUP("SI-T1",Assumptions!$B$27:$C$31,2,FALSE)*VLOOKUP(G563,Assumptions!$B$43:$C$45,2,FALSE)</f>
        <v/>
      </c>
    </row>
    <row r="564">
      <c r="B564" s="7" t="inlineStr">
        <is>
          <t>RC-0559</t>
        </is>
      </c>
      <c r="C564" s="11" t="inlineStr">
        <is>
          <t>AI &amp; GenAI</t>
        </is>
      </c>
      <c r="D564" s="7" t="inlineStr">
        <is>
          <t>AI Platform Engineer</t>
        </is>
      </c>
      <c r="E564" s="11" t="inlineStr">
        <is>
          <t>MLOps</t>
        </is>
      </c>
      <c r="F564" s="11" t="inlineStr">
        <is>
          <t>Lead</t>
        </is>
      </c>
      <c r="G564" s="21" t="inlineStr">
        <is>
          <t>High</t>
        </is>
      </c>
      <c r="H564" s="23">
        <f>VLOOKUP(F564,'Internal Cost Model'!$B$6:$F$15,5,FALSE)</f>
        <v/>
      </c>
      <c r="I564" s="24">
        <f>H564*VLOOKUP(G564,Assumptions!$B$43:$C$45,2,FALSE)</f>
        <v/>
      </c>
      <c r="J564" s="25">
        <f>VLOOKUP(F564,Assumptions!$B$50:$D$59,2,FALSE)*VLOOKUP("SI-T1",Assumptions!$B$27:$C$31,2,FALSE)*VLOOKUP(G564,Assumptions!$B$43:$C$45,2,FALSE)</f>
        <v/>
      </c>
    </row>
    <row r="565">
      <c r="B565" s="7" t="inlineStr">
        <is>
          <t>RC-0560</t>
        </is>
      </c>
      <c r="C565" s="11" t="inlineStr">
        <is>
          <t>AI &amp; GenAI</t>
        </is>
      </c>
      <c r="D565" s="7" t="inlineStr">
        <is>
          <t>AI Platform Engineer</t>
        </is>
      </c>
      <c r="E565" s="11" t="inlineStr">
        <is>
          <t>MLOps</t>
        </is>
      </c>
      <c r="F565" s="11" t="inlineStr">
        <is>
          <t>Senior</t>
        </is>
      </c>
      <c r="G565" s="21" t="inlineStr">
        <is>
          <t>High</t>
        </is>
      </c>
      <c r="H565" s="23">
        <f>VLOOKUP(F565,'Internal Cost Model'!$B$6:$F$15,5,FALSE)</f>
        <v/>
      </c>
      <c r="I565" s="24">
        <f>H565*VLOOKUP(G565,Assumptions!$B$43:$C$45,2,FALSE)</f>
        <v/>
      </c>
      <c r="J565" s="25">
        <f>VLOOKUP(F565,Assumptions!$B$50:$D$59,2,FALSE)*VLOOKUP("SI-T1",Assumptions!$B$27:$C$31,2,FALSE)*VLOOKUP(G565,Assumptions!$B$43:$C$45,2,FALSE)</f>
        <v/>
      </c>
    </row>
    <row r="566">
      <c r="B566" s="7" t="inlineStr">
        <is>
          <t>RC-0561</t>
        </is>
      </c>
      <c r="C566" s="11" t="inlineStr">
        <is>
          <t>AI &amp; GenAI</t>
        </is>
      </c>
      <c r="D566" s="7" t="inlineStr">
        <is>
          <t>Retrieval Engineer</t>
        </is>
      </c>
      <c r="E566" s="11" t="inlineStr">
        <is>
          <t>LLMOps</t>
        </is>
      </c>
      <c r="F566" s="11" t="inlineStr">
        <is>
          <t>Lead</t>
        </is>
      </c>
      <c r="G566" s="21" t="inlineStr">
        <is>
          <t>High</t>
        </is>
      </c>
      <c r="H566" s="23">
        <f>VLOOKUP(F566,'Internal Cost Model'!$B$6:$F$15,5,FALSE)</f>
        <v/>
      </c>
      <c r="I566" s="24">
        <f>H566*VLOOKUP(G566,Assumptions!$B$43:$C$45,2,FALSE)</f>
        <v/>
      </c>
      <c r="J566" s="25">
        <f>VLOOKUP(F566,Assumptions!$B$50:$D$59,2,FALSE)*VLOOKUP("SI-T1",Assumptions!$B$27:$C$31,2,FALSE)*VLOOKUP(G566,Assumptions!$B$43:$C$45,2,FALSE)</f>
        <v/>
      </c>
    </row>
    <row r="567">
      <c r="B567" s="7" t="inlineStr">
        <is>
          <t>RC-0562</t>
        </is>
      </c>
      <c r="C567" s="11" t="inlineStr">
        <is>
          <t>AI &amp; GenAI</t>
        </is>
      </c>
      <c r="D567" s="7" t="inlineStr">
        <is>
          <t>Retrieval Engineer</t>
        </is>
      </c>
      <c r="E567" s="11" t="inlineStr">
        <is>
          <t>LLMOps</t>
        </is>
      </c>
      <c r="F567" s="11" t="inlineStr">
        <is>
          <t>Senior</t>
        </is>
      </c>
      <c r="G567" s="21" t="inlineStr">
        <is>
          <t>High</t>
        </is>
      </c>
      <c r="H567" s="23">
        <f>VLOOKUP(F567,'Internal Cost Model'!$B$6:$F$15,5,FALSE)</f>
        <v/>
      </c>
      <c r="I567" s="24">
        <f>H567*VLOOKUP(G567,Assumptions!$B$43:$C$45,2,FALSE)</f>
        <v/>
      </c>
      <c r="J567" s="25">
        <f>VLOOKUP(F567,Assumptions!$B$50:$D$59,2,FALSE)*VLOOKUP("SI-T1",Assumptions!$B$27:$C$31,2,FALSE)*VLOOKUP(G567,Assumptions!$B$43:$C$45,2,FALSE)</f>
        <v/>
      </c>
    </row>
    <row r="568">
      <c r="B568" s="7" t="inlineStr">
        <is>
          <t>RC-0563</t>
        </is>
      </c>
      <c r="C568" s="11" t="inlineStr">
        <is>
          <t>AI &amp; GenAI</t>
        </is>
      </c>
      <c r="D568" s="7" t="inlineStr">
        <is>
          <t>AI Solution Architect</t>
        </is>
      </c>
      <c r="E568" s="11" t="inlineStr">
        <is>
          <t>Agentic AI</t>
        </is>
      </c>
      <c r="F568" s="11" t="inlineStr">
        <is>
          <t>Director</t>
        </is>
      </c>
      <c r="G568" s="21" t="inlineStr">
        <is>
          <t>High</t>
        </is>
      </c>
      <c r="H568" s="23">
        <f>VLOOKUP(F568,'Internal Cost Model'!$B$6:$F$15,5,FALSE)</f>
        <v/>
      </c>
      <c r="I568" s="24">
        <f>H568*VLOOKUP(G568,Assumptions!$B$43:$C$45,2,FALSE)</f>
        <v/>
      </c>
      <c r="J568" s="25">
        <f>VLOOKUP(F568,Assumptions!$B$50:$D$59,2,FALSE)*VLOOKUP("SI-T1",Assumptions!$B$27:$C$31,2,FALSE)*VLOOKUP(G568,Assumptions!$B$43:$C$45,2,FALSE)</f>
        <v/>
      </c>
    </row>
    <row r="569">
      <c r="B569" s="7" t="inlineStr">
        <is>
          <t>RC-0564</t>
        </is>
      </c>
      <c r="C569" s="11" t="inlineStr">
        <is>
          <t>AI &amp; GenAI</t>
        </is>
      </c>
      <c r="D569" s="7" t="inlineStr">
        <is>
          <t>AI Solution Architect</t>
        </is>
      </c>
      <c r="E569" s="11" t="inlineStr">
        <is>
          <t>Agentic AI</t>
        </is>
      </c>
      <c r="F569" s="11" t="inlineStr">
        <is>
          <t>Senior Manager</t>
        </is>
      </c>
      <c r="G569" s="21" t="inlineStr">
        <is>
          <t>High</t>
        </is>
      </c>
      <c r="H569" s="23">
        <f>VLOOKUP(F569,'Internal Cost Model'!$B$6:$F$15,5,FALSE)</f>
        <v/>
      </c>
      <c r="I569" s="24">
        <f>H569*VLOOKUP(G569,Assumptions!$B$43:$C$45,2,FALSE)</f>
        <v/>
      </c>
      <c r="J569" s="25">
        <f>VLOOKUP(F569,Assumptions!$B$50:$D$59,2,FALSE)*VLOOKUP("SI-T1",Assumptions!$B$27:$C$31,2,FALSE)*VLOOKUP(G569,Assumptions!$B$43:$C$45,2,FALSE)</f>
        <v/>
      </c>
    </row>
    <row r="570">
      <c r="B570" s="7" t="inlineStr">
        <is>
          <t>RC-0565</t>
        </is>
      </c>
      <c r="C570" s="11" t="inlineStr">
        <is>
          <t>AI &amp; GenAI</t>
        </is>
      </c>
      <c r="D570" s="7" t="inlineStr">
        <is>
          <t>AI Solution Architect</t>
        </is>
      </c>
      <c r="E570" s="11" t="inlineStr">
        <is>
          <t>Agentic AI</t>
        </is>
      </c>
      <c r="F570" s="11" t="inlineStr">
        <is>
          <t>Manager</t>
        </is>
      </c>
      <c r="G570" s="21" t="inlineStr">
        <is>
          <t>High</t>
        </is>
      </c>
      <c r="H570" s="23">
        <f>VLOOKUP(F570,'Internal Cost Model'!$B$6:$F$15,5,FALSE)</f>
        <v/>
      </c>
      <c r="I570" s="24">
        <f>H570*VLOOKUP(G570,Assumptions!$B$43:$C$45,2,FALSE)</f>
        <v/>
      </c>
      <c r="J570" s="25">
        <f>VLOOKUP(F570,Assumptions!$B$50:$D$59,2,FALSE)*VLOOKUP("SI-T1",Assumptions!$B$27:$C$31,2,FALSE)*VLOOKUP(G570,Assumptions!$B$43:$C$45,2,FALSE)</f>
        <v/>
      </c>
    </row>
    <row r="571">
      <c r="B571" s="7" t="inlineStr">
        <is>
          <t>RC-0566</t>
        </is>
      </c>
      <c r="C571" s="11" t="inlineStr">
        <is>
          <t>AI &amp; GenAI</t>
        </is>
      </c>
      <c r="D571" s="7" t="inlineStr">
        <is>
          <t>AI Solution Architect</t>
        </is>
      </c>
      <c r="E571" s="11" t="inlineStr">
        <is>
          <t>Agentic AI</t>
        </is>
      </c>
      <c r="F571" s="11" t="inlineStr">
        <is>
          <t>Lead</t>
        </is>
      </c>
      <c r="G571" s="21" t="inlineStr">
        <is>
          <t>High</t>
        </is>
      </c>
      <c r="H571" s="23">
        <f>VLOOKUP(F571,'Internal Cost Model'!$B$6:$F$15,5,FALSE)</f>
        <v/>
      </c>
      <c r="I571" s="24">
        <f>H571*VLOOKUP(G571,Assumptions!$B$43:$C$45,2,FALSE)</f>
        <v/>
      </c>
      <c r="J571" s="25">
        <f>VLOOKUP(F571,Assumptions!$B$50:$D$59,2,FALSE)*VLOOKUP("SI-T1",Assumptions!$B$27:$C$31,2,FALSE)*VLOOKUP(G571,Assumptions!$B$43:$C$45,2,FALSE)</f>
        <v/>
      </c>
    </row>
    <row r="572">
      <c r="B572" s="7" t="inlineStr">
        <is>
          <t>RC-0567</t>
        </is>
      </c>
      <c r="C572" s="11" t="inlineStr">
        <is>
          <t>Digital Experience</t>
        </is>
      </c>
      <c r="D572" s="7" t="inlineStr">
        <is>
          <t>Service Designer</t>
        </is>
      </c>
      <c r="E572" s="11" t="inlineStr">
        <is>
          <t>UX Design</t>
        </is>
      </c>
      <c r="F572" s="11" t="inlineStr">
        <is>
          <t>Senior Manager</t>
        </is>
      </c>
      <c r="G572" s="21" t="inlineStr">
        <is>
          <t>Medium</t>
        </is>
      </c>
      <c r="H572" s="23">
        <f>VLOOKUP(F572,'Internal Cost Model'!$B$6:$F$15,5,FALSE)</f>
        <v/>
      </c>
      <c r="I572" s="24">
        <f>H572*VLOOKUP(G572,Assumptions!$B$43:$C$45,2,FALSE)</f>
        <v/>
      </c>
      <c r="J572" s="25">
        <f>VLOOKUP(F572,Assumptions!$B$50:$D$59,2,FALSE)*VLOOKUP("SI-T1",Assumptions!$B$27:$C$31,2,FALSE)*VLOOKUP(G572,Assumptions!$B$43:$C$45,2,FALSE)</f>
        <v/>
      </c>
    </row>
    <row r="573">
      <c r="B573" s="7" t="inlineStr">
        <is>
          <t>RC-0568</t>
        </is>
      </c>
      <c r="C573" s="11" t="inlineStr">
        <is>
          <t>Digital Experience</t>
        </is>
      </c>
      <c r="D573" s="7" t="inlineStr">
        <is>
          <t>Service Designer</t>
        </is>
      </c>
      <c r="E573" s="11" t="inlineStr">
        <is>
          <t>UX Design</t>
        </is>
      </c>
      <c r="F573" s="11" t="inlineStr">
        <is>
          <t>Manager</t>
        </is>
      </c>
      <c r="G573" s="21" t="inlineStr">
        <is>
          <t>Medium</t>
        </is>
      </c>
      <c r="H573" s="23">
        <f>VLOOKUP(F573,'Internal Cost Model'!$B$6:$F$15,5,FALSE)</f>
        <v/>
      </c>
      <c r="I573" s="24">
        <f>H573*VLOOKUP(G573,Assumptions!$B$43:$C$45,2,FALSE)</f>
        <v/>
      </c>
      <c r="J573" s="25">
        <f>VLOOKUP(F573,Assumptions!$B$50:$D$59,2,FALSE)*VLOOKUP("SI-T1",Assumptions!$B$27:$C$31,2,FALSE)*VLOOKUP(G573,Assumptions!$B$43:$C$45,2,FALSE)</f>
        <v/>
      </c>
    </row>
    <row r="574">
      <c r="B574" s="7" t="inlineStr">
        <is>
          <t>RC-0569</t>
        </is>
      </c>
      <c r="C574" s="11" t="inlineStr">
        <is>
          <t>Digital Experience</t>
        </is>
      </c>
      <c r="D574" s="7" t="inlineStr">
        <is>
          <t>Service Designer</t>
        </is>
      </c>
      <c r="E574" s="11" t="inlineStr">
        <is>
          <t>UX Design</t>
        </is>
      </c>
      <c r="F574" s="11" t="inlineStr">
        <is>
          <t>Lead</t>
        </is>
      </c>
      <c r="G574" s="21" t="inlineStr">
        <is>
          <t>Medium</t>
        </is>
      </c>
      <c r="H574" s="23">
        <f>VLOOKUP(F574,'Internal Cost Model'!$B$6:$F$15,5,FALSE)</f>
        <v/>
      </c>
      <c r="I574" s="24">
        <f>H574*VLOOKUP(G574,Assumptions!$B$43:$C$45,2,FALSE)</f>
        <v/>
      </c>
      <c r="J574" s="25">
        <f>VLOOKUP(F574,Assumptions!$B$50:$D$59,2,FALSE)*VLOOKUP("SI-T1",Assumptions!$B$27:$C$31,2,FALSE)*VLOOKUP(G574,Assumptions!$B$43:$C$45,2,FALSE)</f>
        <v/>
      </c>
    </row>
    <row r="575">
      <c r="B575" s="7" t="inlineStr">
        <is>
          <t>RC-0570</t>
        </is>
      </c>
      <c r="C575" s="11" t="inlineStr">
        <is>
          <t>Digital Experience</t>
        </is>
      </c>
      <c r="D575" s="7" t="inlineStr">
        <is>
          <t>Service Designer</t>
        </is>
      </c>
      <c r="E575" s="11" t="inlineStr">
        <is>
          <t>UX Design</t>
        </is>
      </c>
      <c r="F575" s="11" t="inlineStr">
        <is>
          <t>Senior</t>
        </is>
      </c>
      <c r="G575" s="21" t="inlineStr">
        <is>
          <t>Medium</t>
        </is>
      </c>
      <c r="H575" s="23">
        <f>VLOOKUP(F575,'Internal Cost Model'!$B$6:$F$15,5,FALSE)</f>
        <v/>
      </c>
      <c r="I575" s="24">
        <f>H575*VLOOKUP(G575,Assumptions!$B$43:$C$45,2,FALSE)</f>
        <v/>
      </c>
      <c r="J575" s="25">
        <f>VLOOKUP(F575,Assumptions!$B$50:$D$59,2,FALSE)*VLOOKUP("SI-T1",Assumptions!$B$27:$C$31,2,FALSE)*VLOOKUP(G575,Assumptions!$B$43:$C$45,2,FALSE)</f>
        <v/>
      </c>
    </row>
    <row r="576">
      <c r="B576" s="7" t="inlineStr">
        <is>
          <t>RC-0571</t>
        </is>
      </c>
      <c r="C576" s="11" t="inlineStr">
        <is>
          <t>Digital Experience</t>
        </is>
      </c>
      <c r="D576" s="7" t="inlineStr">
        <is>
          <t>Content Strategist</t>
        </is>
      </c>
      <c r="E576" s="11" t="inlineStr">
        <is>
          <t>Content Management</t>
        </is>
      </c>
      <c r="F576" s="11" t="inlineStr">
        <is>
          <t>Senior Manager</t>
        </is>
      </c>
      <c r="G576" s="21" t="inlineStr">
        <is>
          <t>Low</t>
        </is>
      </c>
      <c r="H576" s="23">
        <f>VLOOKUP(F576,'Internal Cost Model'!$B$6:$F$15,5,FALSE)</f>
        <v/>
      </c>
      <c r="I576" s="24">
        <f>H576*VLOOKUP(G576,Assumptions!$B$43:$C$45,2,FALSE)</f>
        <v/>
      </c>
      <c r="J576" s="25">
        <f>VLOOKUP(F576,Assumptions!$B$50:$D$59,2,FALSE)*VLOOKUP("SI-T1",Assumptions!$B$27:$C$31,2,FALSE)*VLOOKUP(G576,Assumptions!$B$43:$C$45,2,FALSE)</f>
        <v/>
      </c>
    </row>
    <row r="577">
      <c r="B577" s="7" t="inlineStr">
        <is>
          <t>RC-0572</t>
        </is>
      </c>
      <c r="C577" s="11" t="inlineStr">
        <is>
          <t>Digital Experience</t>
        </is>
      </c>
      <c r="D577" s="7" t="inlineStr">
        <is>
          <t>Content Strategist</t>
        </is>
      </c>
      <c r="E577" s="11" t="inlineStr">
        <is>
          <t>Content Management</t>
        </is>
      </c>
      <c r="F577" s="11" t="inlineStr">
        <is>
          <t>Manager</t>
        </is>
      </c>
      <c r="G577" s="21" t="inlineStr">
        <is>
          <t>Low</t>
        </is>
      </c>
      <c r="H577" s="23">
        <f>VLOOKUP(F577,'Internal Cost Model'!$B$6:$F$15,5,FALSE)</f>
        <v/>
      </c>
      <c r="I577" s="24">
        <f>H577*VLOOKUP(G577,Assumptions!$B$43:$C$45,2,FALSE)</f>
        <v/>
      </c>
      <c r="J577" s="25">
        <f>VLOOKUP(F577,Assumptions!$B$50:$D$59,2,FALSE)*VLOOKUP("SI-T1",Assumptions!$B$27:$C$31,2,FALSE)*VLOOKUP(G577,Assumptions!$B$43:$C$45,2,FALSE)</f>
        <v/>
      </c>
    </row>
    <row r="578">
      <c r="B578" s="7" t="inlineStr">
        <is>
          <t>RC-0573</t>
        </is>
      </c>
      <c r="C578" s="11" t="inlineStr">
        <is>
          <t>Digital Experience</t>
        </is>
      </c>
      <c r="D578" s="7" t="inlineStr">
        <is>
          <t>Content Strategist</t>
        </is>
      </c>
      <c r="E578" s="11" t="inlineStr">
        <is>
          <t>Content Management</t>
        </is>
      </c>
      <c r="F578" s="11" t="inlineStr">
        <is>
          <t>Lead</t>
        </is>
      </c>
      <c r="G578" s="21" t="inlineStr">
        <is>
          <t>Low</t>
        </is>
      </c>
      <c r="H578" s="23">
        <f>VLOOKUP(F578,'Internal Cost Model'!$B$6:$F$15,5,FALSE)</f>
        <v/>
      </c>
      <c r="I578" s="24">
        <f>H578*VLOOKUP(G578,Assumptions!$B$43:$C$45,2,FALSE)</f>
        <v/>
      </c>
      <c r="J578" s="25">
        <f>VLOOKUP(F578,Assumptions!$B$50:$D$59,2,FALSE)*VLOOKUP("SI-T1",Assumptions!$B$27:$C$31,2,FALSE)*VLOOKUP(G578,Assumptions!$B$43:$C$45,2,FALSE)</f>
        <v/>
      </c>
    </row>
    <row r="579">
      <c r="B579" s="7" t="inlineStr">
        <is>
          <t>RC-0574</t>
        </is>
      </c>
      <c r="C579" s="11" t="inlineStr">
        <is>
          <t>Digital Experience</t>
        </is>
      </c>
      <c r="D579" s="7" t="inlineStr">
        <is>
          <t>Content Strategist</t>
        </is>
      </c>
      <c r="E579" s="11" t="inlineStr">
        <is>
          <t>Content Management</t>
        </is>
      </c>
      <c r="F579" s="11" t="inlineStr">
        <is>
          <t>Senior</t>
        </is>
      </c>
      <c r="G579" s="21" t="inlineStr">
        <is>
          <t>Low</t>
        </is>
      </c>
      <c r="H579" s="23">
        <f>VLOOKUP(F579,'Internal Cost Model'!$B$6:$F$15,5,FALSE)</f>
        <v/>
      </c>
      <c r="I579" s="24">
        <f>H579*VLOOKUP(G579,Assumptions!$B$43:$C$45,2,FALSE)</f>
        <v/>
      </c>
      <c r="J579" s="25">
        <f>VLOOKUP(F579,Assumptions!$B$50:$D$59,2,FALSE)*VLOOKUP("SI-T1",Assumptions!$B$27:$C$31,2,FALSE)*VLOOKUP(G579,Assumptions!$B$43:$C$45,2,FALSE)</f>
        <v/>
      </c>
    </row>
    <row r="580">
      <c r="B580" s="7" t="inlineStr">
        <is>
          <t>RC-0575</t>
        </is>
      </c>
      <c r="C580" s="11" t="inlineStr">
        <is>
          <t>Digital Experience</t>
        </is>
      </c>
      <c r="D580" s="7" t="inlineStr">
        <is>
          <t>Content Strategist</t>
        </is>
      </c>
      <c r="E580" s="11" t="inlineStr">
        <is>
          <t>Content Management</t>
        </is>
      </c>
      <c r="F580" s="11" t="inlineStr">
        <is>
          <t>Intermediate</t>
        </is>
      </c>
      <c r="G580" s="21" t="inlineStr">
        <is>
          <t>Low</t>
        </is>
      </c>
      <c r="H580" s="23">
        <f>VLOOKUP(F580,'Internal Cost Model'!$B$6:$F$15,5,FALSE)</f>
        <v/>
      </c>
      <c r="I580" s="24">
        <f>H580*VLOOKUP(G580,Assumptions!$B$43:$C$45,2,FALSE)</f>
        <v/>
      </c>
      <c r="J580" s="25">
        <f>VLOOKUP(F580,Assumptions!$B$50:$D$59,2,FALSE)*VLOOKUP("SI-T1",Assumptions!$B$27:$C$31,2,FALSE)*VLOOKUP(G580,Assumptions!$B$43:$C$45,2,FALSE)</f>
        <v/>
      </c>
    </row>
    <row r="581">
      <c r="B581" s="7" t="inlineStr">
        <is>
          <t>RC-0576</t>
        </is>
      </c>
      <c r="C581" s="11" t="inlineStr">
        <is>
          <t>Digital Experience</t>
        </is>
      </c>
      <c r="D581" s="7" t="inlineStr">
        <is>
          <t>Accessibility Specialist</t>
        </is>
      </c>
      <c r="E581" s="11" t="inlineStr">
        <is>
          <t>UX Design</t>
        </is>
      </c>
      <c r="F581" s="11" t="inlineStr">
        <is>
          <t>Senior</t>
        </is>
      </c>
      <c r="G581" s="21" t="inlineStr">
        <is>
          <t>Medium</t>
        </is>
      </c>
      <c r="H581" s="23">
        <f>VLOOKUP(F581,'Internal Cost Model'!$B$6:$F$15,5,FALSE)</f>
        <v/>
      </c>
      <c r="I581" s="24">
        <f>H581*VLOOKUP(G581,Assumptions!$B$43:$C$45,2,FALSE)</f>
        <v/>
      </c>
      <c r="J581" s="25">
        <f>VLOOKUP(F581,Assumptions!$B$50:$D$59,2,FALSE)*VLOOKUP("SI-T1",Assumptions!$B$27:$C$31,2,FALSE)*VLOOKUP(G581,Assumptions!$B$43:$C$45,2,FALSE)</f>
        <v/>
      </c>
    </row>
    <row r="582">
      <c r="B582" s="7" t="inlineStr">
        <is>
          <t>RC-0577</t>
        </is>
      </c>
      <c r="C582" s="11" t="inlineStr">
        <is>
          <t>Digital Experience</t>
        </is>
      </c>
      <c r="D582" s="7" t="inlineStr">
        <is>
          <t>Accessibility Specialist</t>
        </is>
      </c>
      <c r="E582" s="11" t="inlineStr">
        <is>
          <t>UX Design</t>
        </is>
      </c>
      <c r="F582" s="11" t="inlineStr">
        <is>
          <t>Intermediate</t>
        </is>
      </c>
      <c r="G582" s="21" t="inlineStr">
        <is>
          <t>Medium</t>
        </is>
      </c>
      <c r="H582" s="23">
        <f>VLOOKUP(F582,'Internal Cost Model'!$B$6:$F$15,5,FALSE)</f>
        <v/>
      </c>
      <c r="I582" s="24">
        <f>H582*VLOOKUP(G582,Assumptions!$B$43:$C$45,2,FALSE)</f>
        <v/>
      </c>
      <c r="J582" s="25">
        <f>VLOOKUP(F582,Assumptions!$B$50:$D$59,2,FALSE)*VLOOKUP("SI-T1",Assumptions!$B$27:$C$31,2,FALSE)*VLOOKUP(G582,Assumptions!$B$43:$C$45,2,FALSE)</f>
        <v/>
      </c>
    </row>
    <row r="583">
      <c r="B583" s="7" t="inlineStr">
        <is>
          <t>RC-0578</t>
        </is>
      </c>
      <c r="C583" s="11" t="inlineStr">
        <is>
          <t>Digital Experience</t>
        </is>
      </c>
      <c r="D583" s="7" t="inlineStr">
        <is>
          <t>Design System Lead</t>
        </is>
      </c>
      <c r="E583" s="11" t="inlineStr">
        <is>
          <t>UI Design</t>
        </is>
      </c>
      <c r="F583" s="11" t="inlineStr">
        <is>
          <t>Senior Manager</t>
        </is>
      </c>
      <c r="G583" s="21" t="inlineStr">
        <is>
          <t>Medium</t>
        </is>
      </c>
      <c r="H583" s="23">
        <f>VLOOKUP(F583,'Internal Cost Model'!$B$6:$F$15,5,FALSE)</f>
        <v/>
      </c>
      <c r="I583" s="24">
        <f>H583*VLOOKUP(G583,Assumptions!$B$43:$C$45,2,FALSE)</f>
        <v/>
      </c>
      <c r="J583" s="25">
        <f>VLOOKUP(F583,Assumptions!$B$50:$D$59,2,FALSE)*VLOOKUP("SI-T1",Assumptions!$B$27:$C$31,2,FALSE)*VLOOKUP(G583,Assumptions!$B$43:$C$45,2,FALSE)</f>
        <v/>
      </c>
    </row>
    <row r="584">
      <c r="B584" s="7" t="inlineStr">
        <is>
          <t>RC-0579</t>
        </is>
      </c>
      <c r="C584" s="11" t="inlineStr">
        <is>
          <t>Digital Experience</t>
        </is>
      </c>
      <c r="D584" s="7" t="inlineStr">
        <is>
          <t>Design System Lead</t>
        </is>
      </c>
      <c r="E584" s="11" t="inlineStr">
        <is>
          <t>UI Design</t>
        </is>
      </c>
      <c r="F584" s="11" t="inlineStr">
        <is>
          <t>Manager</t>
        </is>
      </c>
      <c r="G584" s="21" t="inlineStr">
        <is>
          <t>Medium</t>
        </is>
      </c>
      <c r="H584" s="23">
        <f>VLOOKUP(F584,'Internal Cost Model'!$B$6:$F$15,5,FALSE)</f>
        <v/>
      </c>
      <c r="I584" s="24">
        <f>H584*VLOOKUP(G584,Assumptions!$B$43:$C$45,2,FALSE)</f>
        <v/>
      </c>
      <c r="J584" s="25">
        <f>VLOOKUP(F584,Assumptions!$B$50:$D$59,2,FALSE)*VLOOKUP("SI-T1",Assumptions!$B$27:$C$31,2,FALSE)*VLOOKUP(G584,Assumptions!$B$43:$C$45,2,FALSE)</f>
        <v/>
      </c>
    </row>
    <row r="585">
      <c r="B585" s="7" t="inlineStr">
        <is>
          <t>RC-0580</t>
        </is>
      </c>
      <c r="C585" s="11" t="inlineStr">
        <is>
          <t>Digital Experience</t>
        </is>
      </c>
      <c r="D585" s="7" t="inlineStr">
        <is>
          <t>Design System Lead</t>
        </is>
      </c>
      <c r="E585" s="11" t="inlineStr">
        <is>
          <t>UI Design</t>
        </is>
      </c>
      <c r="F585" s="11" t="inlineStr">
        <is>
          <t>Lead</t>
        </is>
      </c>
      <c r="G585" s="21" t="inlineStr">
        <is>
          <t>Medium</t>
        </is>
      </c>
      <c r="H585" s="23">
        <f>VLOOKUP(F585,'Internal Cost Model'!$B$6:$F$15,5,FALSE)</f>
        <v/>
      </c>
      <c r="I585" s="24">
        <f>H585*VLOOKUP(G585,Assumptions!$B$43:$C$45,2,FALSE)</f>
        <v/>
      </c>
      <c r="J585" s="25">
        <f>VLOOKUP(F585,Assumptions!$B$50:$D$59,2,FALSE)*VLOOKUP("SI-T1",Assumptions!$B$27:$C$31,2,FALSE)*VLOOKUP(G585,Assumptions!$B$43:$C$45,2,FALSE)</f>
        <v/>
      </c>
    </row>
    <row r="586">
      <c r="B586" s="7" t="inlineStr">
        <is>
          <t>RC-0581</t>
        </is>
      </c>
      <c r="C586" s="11" t="inlineStr">
        <is>
          <t>Marketing Technology</t>
        </is>
      </c>
      <c r="D586" s="7" t="inlineStr">
        <is>
          <t>Adobe Campaign Consultant</t>
        </is>
      </c>
      <c r="E586" s="11" t="inlineStr">
        <is>
          <t>Journey Orchestration</t>
        </is>
      </c>
      <c r="F586" s="11" t="inlineStr">
        <is>
          <t>Manager</t>
        </is>
      </c>
      <c r="G586" s="21" t="inlineStr">
        <is>
          <t>Medium</t>
        </is>
      </c>
      <c r="H586" s="23">
        <f>VLOOKUP(F586,'Internal Cost Model'!$B$6:$F$15,5,FALSE)</f>
        <v/>
      </c>
      <c r="I586" s="24">
        <f>H586*VLOOKUP(G586,Assumptions!$B$43:$C$45,2,FALSE)</f>
        <v/>
      </c>
      <c r="J586" s="25">
        <f>VLOOKUP(F586,Assumptions!$B$50:$D$59,2,FALSE)*VLOOKUP("SI-T1",Assumptions!$B$27:$C$31,2,FALSE)*VLOOKUP(G586,Assumptions!$B$43:$C$45,2,FALSE)</f>
        <v/>
      </c>
    </row>
    <row r="587">
      <c r="B587" s="7" t="inlineStr">
        <is>
          <t>RC-0582</t>
        </is>
      </c>
      <c r="C587" s="11" t="inlineStr">
        <is>
          <t>Marketing Technology</t>
        </is>
      </c>
      <c r="D587" s="7" t="inlineStr">
        <is>
          <t>Adobe Campaign Consultant</t>
        </is>
      </c>
      <c r="E587" s="11" t="inlineStr">
        <is>
          <t>Journey Orchestration</t>
        </is>
      </c>
      <c r="F587" s="11" t="inlineStr">
        <is>
          <t>Lead</t>
        </is>
      </c>
      <c r="G587" s="21" t="inlineStr">
        <is>
          <t>Medium</t>
        </is>
      </c>
      <c r="H587" s="23">
        <f>VLOOKUP(F587,'Internal Cost Model'!$B$6:$F$15,5,FALSE)</f>
        <v/>
      </c>
      <c r="I587" s="24">
        <f>H587*VLOOKUP(G587,Assumptions!$B$43:$C$45,2,FALSE)</f>
        <v/>
      </c>
      <c r="J587" s="25">
        <f>VLOOKUP(F587,Assumptions!$B$50:$D$59,2,FALSE)*VLOOKUP("SI-T1",Assumptions!$B$27:$C$31,2,FALSE)*VLOOKUP(G587,Assumptions!$B$43:$C$45,2,FALSE)</f>
        <v/>
      </c>
    </row>
    <row r="588">
      <c r="B588" s="7" t="inlineStr">
        <is>
          <t>RC-0583</t>
        </is>
      </c>
      <c r="C588" s="11" t="inlineStr">
        <is>
          <t>Marketing Technology</t>
        </is>
      </c>
      <c r="D588" s="7" t="inlineStr">
        <is>
          <t>Adobe Campaign Consultant</t>
        </is>
      </c>
      <c r="E588" s="11" t="inlineStr">
        <is>
          <t>Journey Orchestration</t>
        </is>
      </c>
      <c r="F588" s="11" t="inlineStr">
        <is>
          <t>Senior</t>
        </is>
      </c>
      <c r="G588" s="21" t="inlineStr">
        <is>
          <t>Medium</t>
        </is>
      </c>
      <c r="H588" s="23">
        <f>VLOOKUP(F588,'Internal Cost Model'!$B$6:$F$15,5,FALSE)</f>
        <v/>
      </c>
      <c r="I588" s="24">
        <f>H588*VLOOKUP(G588,Assumptions!$B$43:$C$45,2,FALSE)</f>
        <v/>
      </c>
      <c r="J588" s="25">
        <f>VLOOKUP(F588,Assumptions!$B$50:$D$59,2,FALSE)*VLOOKUP("SI-T1",Assumptions!$B$27:$C$31,2,FALSE)*VLOOKUP(G588,Assumptions!$B$43:$C$45,2,FALSE)</f>
        <v/>
      </c>
    </row>
    <row r="589">
      <c r="B589" s="7" t="inlineStr">
        <is>
          <t>RC-0584</t>
        </is>
      </c>
      <c r="C589" s="11" t="inlineStr">
        <is>
          <t>Marketing Technology</t>
        </is>
      </c>
      <c r="D589" s="7" t="inlineStr">
        <is>
          <t>Adobe Target Specialist</t>
        </is>
      </c>
      <c r="E589" s="11" t="inlineStr">
        <is>
          <t>Adobe Analytics</t>
        </is>
      </c>
      <c r="F589" s="11" t="inlineStr">
        <is>
          <t>Senior</t>
        </is>
      </c>
      <c r="G589" s="21" t="inlineStr">
        <is>
          <t>Medium</t>
        </is>
      </c>
      <c r="H589" s="23">
        <f>VLOOKUP(F589,'Internal Cost Model'!$B$6:$F$15,5,FALSE)</f>
        <v/>
      </c>
      <c r="I589" s="24">
        <f>H589*VLOOKUP(G589,Assumptions!$B$43:$C$45,2,FALSE)</f>
        <v/>
      </c>
      <c r="J589" s="25">
        <f>VLOOKUP(F589,Assumptions!$B$50:$D$59,2,FALSE)*VLOOKUP("SI-T1",Assumptions!$B$27:$C$31,2,FALSE)*VLOOKUP(G589,Assumptions!$B$43:$C$45,2,FALSE)</f>
        <v/>
      </c>
    </row>
    <row r="590">
      <c r="B590" s="7" t="inlineStr">
        <is>
          <t>RC-0585</t>
        </is>
      </c>
      <c r="C590" s="11" t="inlineStr">
        <is>
          <t>Marketing Technology</t>
        </is>
      </c>
      <c r="D590" s="7" t="inlineStr">
        <is>
          <t>Adobe Target Specialist</t>
        </is>
      </c>
      <c r="E590" s="11" t="inlineStr">
        <is>
          <t>Adobe Analytics</t>
        </is>
      </c>
      <c r="F590" s="11" t="inlineStr">
        <is>
          <t>Intermediate</t>
        </is>
      </c>
      <c r="G590" s="21" t="inlineStr">
        <is>
          <t>Medium</t>
        </is>
      </c>
      <c r="H590" s="23">
        <f>VLOOKUP(F590,'Internal Cost Model'!$B$6:$F$15,5,FALSE)</f>
        <v/>
      </c>
      <c r="I590" s="24">
        <f>H590*VLOOKUP(G590,Assumptions!$B$43:$C$45,2,FALSE)</f>
        <v/>
      </c>
      <c r="J590" s="25">
        <f>VLOOKUP(F590,Assumptions!$B$50:$D$59,2,FALSE)*VLOOKUP("SI-T1",Assumptions!$B$27:$C$31,2,FALSE)*VLOOKUP(G590,Assumptions!$B$43:$C$45,2,FALSE)</f>
        <v/>
      </c>
    </row>
    <row r="591">
      <c r="B591" s="7" t="inlineStr">
        <is>
          <t>RC-0586</t>
        </is>
      </c>
      <c r="C591" s="11" t="inlineStr">
        <is>
          <t>Marketing Technology</t>
        </is>
      </c>
      <c r="D591" s="7" t="inlineStr">
        <is>
          <t>MarTech Engineer</t>
        </is>
      </c>
      <c r="E591" s="11" t="inlineStr">
        <is>
          <t>MarTech Strategy</t>
        </is>
      </c>
      <c r="F591" s="11" t="inlineStr">
        <is>
          <t>Senior</t>
        </is>
      </c>
      <c r="G591" s="21" t="inlineStr">
        <is>
          <t>Medium</t>
        </is>
      </c>
      <c r="H591" s="23">
        <f>VLOOKUP(F591,'Internal Cost Model'!$B$6:$F$15,5,FALSE)</f>
        <v/>
      </c>
      <c r="I591" s="24">
        <f>H591*VLOOKUP(G591,Assumptions!$B$43:$C$45,2,FALSE)</f>
        <v/>
      </c>
      <c r="J591" s="25">
        <f>VLOOKUP(F591,Assumptions!$B$50:$D$59,2,FALSE)*VLOOKUP("SI-T1",Assumptions!$B$27:$C$31,2,FALSE)*VLOOKUP(G591,Assumptions!$B$43:$C$45,2,FALSE)</f>
        <v/>
      </c>
    </row>
    <row r="592">
      <c r="B592" s="7" t="inlineStr">
        <is>
          <t>RC-0587</t>
        </is>
      </c>
      <c r="C592" s="11" t="inlineStr">
        <is>
          <t>Marketing Technology</t>
        </is>
      </c>
      <c r="D592" s="7" t="inlineStr">
        <is>
          <t>MarTech Engineer</t>
        </is>
      </c>
      <c r="E592" s="11" t="inlineStr">
        <is>
          <t>MarTech Strategy</t>
        </is>
      </c>
      <c r="F592" s="11" t="inlineStr">
        <is>
          <t>Intermediate</t>
        </is>
      </c>
      <c r="G592" s="21" t="inlineStr">
        <is>
          <t>Medium</t>
        </is>
      </c>
      <c r="H592" s="23">
        <f>VLOOKUP(F592,'Internal Cost Model'!$B$6:$F$15,5,FALSE)</f>
        <v/>
      </c>
      <c r="I592" s="24">
        <f>H592*VLOOKUP(G592,Assumptions!$B$43:$C$45,2,FALSE)</f>
        <v/>
      </c>
      <c r="J592" s="25">
        <f>VLOOKUP(F592,Assumptions!$B$50:$D$59,2,FALSE)*VLOOKUP("SI-T1",Assumptions!$B$27:$C$31,2,FALSE)*VLOOKUP(G592,Assumptions!$B$43:$C$45,2,FALSE)</f>
        <v/>
      </c>
    </row>
    <row r="593">
      <c r="B593" s="7" t="inlineStr">
        <is>
          <t>RC-0588</t>
        </is>
      </c>
      <c r="C593" s="11" t="inlineStr">
        <is>
          <t>Marketing Technology</t>
        </is>
      </c>
      <c r="D593" s="7" t="inlineStr">
        <is>
          <t>Personalization Lead</t>
        </is>
      </c>
      <c r="E593" s="11" t="inlineStr">
        <is>
          <t>Journey Orchestration</t>
        </is>
      </c>
      <c r="F593" s="11" t="inlineStr">
        <is>
          <t>Senior Manager</t>
        </is>
      </c>
      <c r="G593" s="21" t="inlineStr">
        <is>
          <t>Medium</t>
        </is>
      </c>
      <c r="H593" s="23">
        <f>VLOOKUP(F593,'Internal Cost Model'!$B$6:$F$15,5,FALSE)</f>
        <v/>
      </c>
      <c r="I593" s="24">
        <f>H593*VLOOKUP(G593,Assumptions!$B$43:$C$45,2,FALSE)</f>
        <v/>
      </c>
      <c r="J593" s="25">
        <f>VLOOKUP(F593,Assumptions!$B$50:$D$59,2,FALSE)*VLOOKUP("SI-T1",Assumptions!$B$27:$C$31,2,FALSE)*VLOOKUP(G593,Assumptions!$B$43:$C$45,2,FALSE)</f>
        <v/>
      </c>
    </row>
    <row r="594">
      <c r="B594" s="7" t="inlineStr">
        <is>
          <t>RC-0589</t>
        </is>
      </c>
      <c r="C594" s="11" t="inlineStr">
        <is>
          <t>Marketing Technology</t>
        </is>
      </c>
      <c r="D594" s="7" t="inlineStr">
        <is>
          <t>Personalization Lead</t>
        </is>
      </c>
      <c r="E594" s="11" t="inlineStr">
        <is>
          <t>Journey Orchestration</t>
        </is>
      </c>
      <c r="F594" s="11" t="inlineStr">
        <is>
          <t>Manager</t>
        </is>
      </c>
      <c r="G594" s="21" t="inlineStr">
        <is>
          <t>Medium</t>
        </is>
      </c>
      <c r="H594" s="23">
        <f>VLOOKUP(F594,'Internal Cost Model'!$B$6:$F$15,5,FALSE)</f>
        <v/>
      </c>
      <c r="I594" s="24">
        <f>H594*VLOOKUP(G594,Assumptions!$B$43:$C$45,2,FALSE)</f>
        <v/>
      </c>
      <c r="J594" s="25">
        <f>VLOOKUP(F594,Assumptions!$B$50:$D$59,2,FALSE)*VLOOKUP("SI-T1",Assumptions!$B$27:$C$31,2,FALSE)*VLOOKUP(G594,Assumptions!$B$43:$C$45,2,FALSE)</f>
        <v/>
      </c>
    </row>
    <row r="595">
      <c r="B595" s="7" t="inlineStr">
        <is>
          <t>RC-0590</t>
        </is>
      </c>
      <c r="C595" s="11" t="inlineStr">
        <is>
          <t>Marketing Technology</t>
        </is>
      </c>
      <c r="D595" s="7" t="inlineStr">
        <is>
          <t>Personalization Lead</t>
        </is>
      </c>
      <c r="E595" s="11" t="inlineStr">
        <is>
          <t>Journey Orchestration</t>
        </is>
      </c>
      <c r="F595" s="11" t="inlineStr">
        <is>
          <t>Lead</t>
        </is>
      </c>
      <c r="G595" s="21" t="inlineStr">
        <is>
          <t>Medium</t>
        </is>
      </c>
      <c r="H595" s="23">
        <f>VLOOKUP(F595,'Internal Cost Model'!$B$6:$F$15,5,FALSE)</f>
        <v/>
      </c>
      <c r="I595" s="24">
        <f>H595*VLOOKUP(G595,Assumptions!$B$43:$C$45,2,FALSE)</f>
        <v/>
      </c>
      <c r="J595" s="25">
        <f>VLOOKUP(F595,Assumptions!$B$50:$D$59,2,FALSE)*VLOOKUP("SI-T1",Assumptions!$B$27:$C$31,2,FALSE)*VLOOKUP(G595,Assumptions!$B$43:$C$45,2,FALSE)</f>
        <v/>
      </c>
    </row>
    <row r="596">
      <c r="B596" s="7" t="inlineStr">
        <is>
          <t>RC-0591</t>
        </is>
      </c>
      <c r="C596" s="11" t="inlineStr">
        <is>
          <t>Marketing Technology</t>
        </is>
      </c>
      <c r="D596" s="7" t="inlineStr">
        <is>
          <t>CDP Engineer</t>
        </is>
      </c>
      <c r="E596" s="11" t="inlineStr">
        <is>
          <t>Customer Data Platform</t>
        </is>
      </c>
      <c r="F596" s="11" t="inlineStr">
        <is>
          <t>Senior</t>
        </is>
      </c>
      <c r="G596" s="21" t="inlineStr">
        <is>
          <t>High</t>
        </is>
      </c>
      <c r="H596" s="23">
        <f>VLOOKUP(F596,'Internal Cost Model'!$B$6:$F$15,5,FALSE)</f>
        <v/>
      </c>
      <c r="I596" s="24">
        <f>H596*VLOOKUP(G596,Assumptions!$B$43:$C$45,2,FALSE)</f>
        <v/>
      </c>
      <c r="J596" s="25">
        <f>VLOOKUP(F596,Assumptions!$B$50:$D$59,2,FALSE)*VLOOKUP("SI-T1",Assumptions!$B$27:$C$31,2,FALSE)*VLOOKUP(G596,Assumptions!$B$43:$C$45,2,FALSE)</f>
        <v/>
      </c>
    </row>
    <row r="597">
      <c r="B597" s="7" t="inlineStr">
        <is>
          <t>RC-0592</t>
        </is>
      </c>
      <c r="C597" s="11" t="inlineStr">
        <is>
          <t>Marketing Technology</t>
        </is>
      </c>
      <c r="D597" s="7" t="inlineStr">
        <is>
          <t>CDP Engineer</t>
        </is>
      </c>
      <c r="E597" s="11" t="inlineStr">
        <is>
          <t>Customer Data Platform</t>
        </is>
      </c>
      <c r="F597" s="11" t="inlineStr">
        <is>
          <t>Intermediate</t>
        </is>
      </c>
      <c r="G597" s="21" t="inlineStr">
        <is>
          <t>High</t>
        </is>
      </c>
      <c r="H597" s="23">
        <f>VLOOKUP(F597,'Internal Cost Model'!$B$6:$F$15,5,FALSE)</f>
        <v/>
      </c>
      <c r="I597" s="24">
        <f>H597*VLOOKUP(G597,Assumptions!$B$43:$C$45,2,FALSE)</f>
        <v/>
      </c>
      <c r="J597" s="25">
        <f>VLOOKUP(F597,Assumptions!$B$50:$D$59,2,FALSE)*VLOOKUP("SI-T1",Assumptions!$B$27:$C$31,2,FALSE)*VLOOKUP(G597,Assumptions!$B$43:$C$45,2,FALSE)</f>
        <v/>
      </c>
    </row>
    <row r="598">
      <c r="B598" s="7" t="inlineStr">
        <is>
          <t>RC-0593</t>
        </is>
      </c>
      <c r="C598" s="11" t="inlineStr">
        <is>
          <t>Product Management</t>
        </is>
      </c>
      <c r="D598" s="7" t="inlineStr">
        <is>
          <t>Technical Product Manager</t>
        </is>
      </c>
      <c r="E598" s="11" t="inlineStr">
        <is>
          <t>Product Strategy</t>
        </is>
      </c>
      <c r="F598" s="11" t="inlineStr">
        <is>
          <t>Director</t>
        </is>
      </c>
      <c r="G598" s="21" t="inlineStr">
        <is>
          <t>High</t>
        </is>
      </c>
      <c r="H598" s="23">
        <f>VLOOKUP(F598,'Internal Cost Model'!$B$6:$F$15,5,FALSE)</f>
        <v/>
      </c>
      <c r="I598" s="24">
        <f>H598*VLOOKUP(G598,Assumptions!$B$43:$C$45,2,FALSE)</f>
        <v/>
      </c>
      <c r="J598" s="25">
        <f>VLOOKUP(F598,Assumptions!$B$50:$D$59,2,FALSE)*VLOOKUP("SI-T1",Assumptions!$B$27:$C$31,2,FALSE)*VLOOKUP(G598,Assumptions!$B$43:$C$45,2,FALSE)</f>
        <v/>
      </c>
    </row>
    <row r="599">
      <c r="B599" s="7" t="inlineStr">
        <is>
          <t>RC-0594</t>
        </is>
      </c>
      <c r="C599" s="11" t="inlineStr">
        <is>
          <t>Product Management</t>
        </is>
      </c>
      <c r="D599" s="7" t="inlineStr">
        <is>
          <t>Technical Product Manager</t>
        </is>
      </c>
      <c r="E599" s="11" t="inlineStr">
        <is>
          <t>Product Strategy</t>
        </is>
      </c>
      <c r="F599" s="11" t="inlineStr">
        <is>
          <t>Senior Manager</t>
        </is>
      </c>
      <c r="G599" s="21" t="inlineStr">
        <is>
          <t>High</t>
        </is>
      </c>
      <c r="H599" s="23">
        <f>VLOOKUP(F599,'Internal Cost Model'!$B$6:$F$15,5,FALSE)</f>
        <v/>
      </c>
      <c r="I599" s="24">
        <f>H599*VLOOKUP(G599,Assumptions!$B$43:$C$45,2,FALSE)</f>
        <v/>
      </c>
      <c r="J599" s="25">
        <f>VLOOKUP(F599,Assumptions!$B$50:$D$59,2,FALSE)*VLOOKUP("SI-T1",Assumptions!$B$27:$C$31,2,FALSE)*VLOOKUP(G599,Assumptions!$B$43:$C$45,2,FALSE)</f>
        <v/>
      </c>
    </row>
    <row r="600">
      <c r="B600" s="7" t="inlineStr">
        <is>
          <t>RC-0595</t>
        </is>
      </c>
      <c r="C600" s="11" t="inlineStr">
        <is>
          <t>Product Management</t>
        </is>
      </c>
      <c r="D600" s="7" t="inlineStr">
        <is>
          <t>Platform Product Manager</t>
        </is>
      </c>
      <c r="E600" s="11" t="inlineStr">
        <is>
          <t>Product Strategy</t>
        </is>
      </c>
      <c r="F600" s="11" t="inlineStr">
        <is>
          <t>Director</t>
        </is>
      </c>
      <c r="G600" s="21" t="inlineStr">
        <is>
          <t>High</t>
        </is>
      </c>
      <c r="H600" s="23">
        <f>VLOOKUP(F600,'Internal Cost Model'!$B$6:$F$15,5,FALSE)</f>
        <v/>
      </c>
      <c r="I600" s="24">
        <f>H600*VLOOKUP(G600,Assumptions!$B$43:$C$45,2,FALSE)</f>
        <v/>
      </c>
      <c r="J600" s="25">
        <f>VLOOKUP(F600,Assumptions!$B$50:$D$59,2,FALSE)*VLOOKUP("SI-T1",Assumptions!$B$27:$C$31,2,FALSE)*VLOOKUP(G600,Assumptions!$B$43:$C$45,2,FALSE)</f>
        <v/>
      </c>
    </row>
    <row r="601">
      <c r="B601" s="7" t="inlineStr">
        <is>
          <t>RC-0596</t>
        </is>
      </c>
      <c r="C601" s="11" t="inlineStr">
        <is>
          <t>Product Management</t>
        </is>
      </c>
      <c r="D601" s="7" t="inlineStr">
        <is>
          <t>Platform Product Manager</t>
        </is>
      </c>
      <c r="E601" s="11" t="inlineStr">
        <is>
          <t>Product Strategy</t>
        </is>
      </c>
      <c r="F601" s="11" t="inlineStr">
        <is>
          <t>Senior Manager</t>
        </is>
      </c>
      <c r="G601" s="21" t="inlineStr">
        <is>
          <t>High</t>
        </is>
      </c>
      <c r="H601" s="23">
        <f>VLOOKUP(F601,'Internal Cost Model'!$B$6:$F$15,5,FALSE)</f>
        <v/>
      </c>
      <c r="I601" s="24">
        <f>H601*VLOOKUP(G601,Assumptions!$B$43:$C$45,2,FALSE)</f>
        <v/>
      </c>
      <c r="J601" s="25">
        <f>VLOOKUP(F601,Assumptions!$B$50:$D$59,2,FALSE)*VLOOKUP("SI-T1",Assumptions!$B$27:$C$31,2,FALSE)*VLOOKUP(G601,Assumptions!$B$43:$C$45,2,FALSE)</f>
        <v/>
      </c>
    </row>
    <row r="602">
      <c r="B602" s="7" t="inlineStr">
        <is>
          <t>RC-0597</t>
        </is>
      </c>
      <c r="C602" s="11" t="inlineStr">
        <is>
          <t>Product Management</t>
        </is>
      </c>
      <c r="D602" s="7" t="inlineStr">
        <is>
          <t>Product Analyst</t>
        </is>
      </c>
      <c r="E602" s="11" t="inlineStr">
        <is>
          <t>Product Discovery</t>
        </is>
      </c>
      <c r="F602" s="11" t="inlineStr">
        <is>
          <t>Senior</t>
        </is>
      </c>
      <c r="G602" s="21" t="inlineStr">
        <is>
          <t>Medium</t>
        </is>
      </c>
      <c r="H602" s="23">
        <f>VLOOKUP(F602,'Internal Cost Model'!$B$6:$F$15,5,FALSE)</f>
        <v/>
      </c>
      <c r="I602" s="24">
        <f>H602*VLOOKUP(G602,Assumptions!$B$43:$C$45,2,FALSE)</f>
        <v/>
      </c>
      <c r="J602" s="25">
        <f>VLOOKUP(F602,Assumptions!$B$50:$D$59,2,FALSE)*VLOOKUP("SI-T1",Assumptions!$B$27:$C$31,2,FALSE)*VLOOKUP(G602,Assumptions!$B$43:$C$45,2,FALSE)</f>
        <v/>
      </c>
    </row>
    <row r="603">
      <c r="B603" s="7" t="inlineStr">
        <is>
          <t>RC-0598</t>
        </is>
      </c>
      <c r="C603" s="11" t="inlineStr">
        <is>
          <t>Product Management</t>
        </is>
      </c>
      <c r="D603" s="7" t="inlineStr">
        <is>
          <t>Product Analyst</t>
        </is>
      </c>
      <c r="E603" s="11" t="inlineStr">
        <is>
          <t>Product Discovery</t>
        </is>
      </c>
      <c r="F603" s="11" t="inlineStr">
        <is>
          <t>Intermediate</t>
        </is>
      </c>
      <c r="G603" s="21" t="inlineStr">
        <is>
          <t>Medium</t>
        </is>
      </c>
      <c r="H603" s="23">
        <f>VLOOKUP(F603,'Internal Cost Model'!$B$6:$F$15,5,FALSE)</f>
        <v/>
      </c>
      <c r="I603" s="24">
        <f>H603*VLOOKUP(G603,Assumptions!$B$43:$C$45,2,FALSE)</f>
        <v/>
      </c>
      <c r="J603" s="25">
        <f>VLOOKUP(F603,Assumptions!$B$50:$D$59,2,FALSE)*VLOOKUP("SI-T1",Assumptions!$B$27:$C$31,2,FALSE)*VLOOKUP(G603,Assumptions!$B$43:$C$45,2,FALSE)</f>
        <v/>
      </c>
    </row>
    <row r="604">
      <c r="B604" s="7" t="inlineStr">
        <is>
          <t>RC-0599</t>
        </is>
      </c>
      <c r="C604" s="11" t="inlineStr">
        <is>
          <t>Product Management</t>
        </is>
      </c>
      <c r="D604" s="7" t="inlineStr">
        <is>
          <t>Product Analyst</t>
        </is>
      </c>
      <c r="E604" s="11" t="inlineStr">
        <is>
          <t>Product Discovery</t>
        </is>
      </c>
      <c r="F604" s="11" t="inlineStr">
        <is>
          <t>Junior</t>
        </is>
      </c>
      <c r="G604" s="21" t="inlineStr">
        <is>
          <t>Medium</t>
        </is>
      </c>
      <c r="H604" s="23">
        <f>VLOOKUP(F604,'Internal Cost Model'!$B$6:$F$15,5,FALSE)</f>
        <v/>
      </c>
      <c r="I604" s="24">
        <f>H604*VLOOKUP(G604,Assumptions!$B$43:$C$45,2,FALSE)</f>
        <v/>
      </c>
      <c r="J604" s="25">
        <f>VLOOKUP(F604,Assumptions!$B$50:$D$59,2,FALSE)*VLOOKUP("SI-T1",Assumptions!$B$27:$C$31,2,FALSE)*VLOOKUP(G604,Assumptions!$B$43:$C$45,2,FALSE)</f>
        <v/>
      </c>
    </row>
    <row r="605">
      <c r="B605" s="7" t="inlineStr">
        <is>
          <t>RC-0600</t>
        </is>
      </c>
      <c r="C605" s="11" t="inlineStr">
        <is>
          <t>Product Management</t>
        </is>
      </c>
      <c r="D605" s="7" t="inlineStr">
        <is>
          <t>Product Designer</t>
        </is>
      </c>
      <c r="E605" s="11" t="inlineStr">
        <is>
          <t>Product Discovery</t>
        </is>
      </c>
      <c r="F605" s="11" t="inlineStr">
        <is>
          <t>Senior</t>
        </is>
      </c>
      <c r="G605" s="21" t="inlineStr">
        <is>
          <t>Medium</t>
        </is>
      </c>
      <c r="H605" s="23">
        <f>VLOOKUP(F605,'Internal Cost Model'!$B$6:$F$15,5,FALSE)</f>
        <v/>
      </c>
      <c r="I605" s="24">
        <f>H605*VLOOKUP(G605,Assumptions!$B$43:$C$45,2,FALSE)</f>
        <v/>
      </c>
      <c r="J605" s="25">
        <f>VLOOKUP(F605,Assumptions!$B$50:$D$59,2,FALSE)*VLOOKUP("SI-T1",Assumptions!$B$27:$C$31,2,FALSE)*VLOOKUP(G605,Assumptions!$B$43:$C$45,2,FALSE)</f>
        <v/>
      </c>
    </row>
    <row r="606">
      <c r="B606" s="7" t="inlineStr">
        <is>
          <t>RC-0601</t>
        </is>
      </c>
      <c r="C606" s="11" t="inlineStr">
        <is>
          <t>Product Management</t>
        </is>
      </c>
      <c r="D606" s="7" t="inlineStr">
        <is>
          <t>Product Designer</t>
        </is>
      </c>
      <c r="E606" s="11" t="inlineStr">
        <is>
          <t>Product Discovery</t>
        </is>
      </c>
      <c r="F606" s="11" t="inlineStr">
        <is>
          <t>Intermediate</t>
        </is>
      </c>
      <c r="G606" s="21" t="inlineStr">
        <is>
          <t>Medium</t>
        </is>
      </c>
      <c r="H606" s="23">
        <f>VLOOKUP(F606,'Internal Cost Model'!$B$6:$F$15,5,FALSE)</f>
        <v/>
      </c>
      <c r="I606" s="24">
        <f>H606*VLOOKUP(G606,Assumptions!$B$43:$C$45,2,FALSE)</f>
        <v/>
      </c>
      <c r="J606" s="25">
        <f>VLOOKUP(F606,Assumptions!$B$50:$D$59,2,FALSE)*VLOOKUP("SI-T1",Assumptions!$B$27:$C$31,2,FALSE)*VLOOKUP(G606,Assumptions!$B$43:$C$45,2,FALSE)</f>
        <v/>
      </c>
    </row>
    <row r="607">
      <c r="B607" s="7" t="inlineStr">
        <is>
          <t>RC-0602</t>
        </is>
      </c>
      <c r="C607" s="11" t="inlineStr">
        <is>
          <t>Application Engineering</t>
        </is>
      </c>
      <c r="D607" s="7" t="inlineStr">
        <is>
          <t>Staff Engineer</t>
        </is>
      </c>
      <c r="E607" s="11" t="inlineStr">
        <is>
          <t>Backend Engineering</t>
        </is>
      </c>
      <c r="F607" s="11" t="inlineStr">
        <is>
          <t>Principal</t>
        </is>
      </c>
      <c r="G607" s="21" t="inlineStr">
        <is>
          <t>High</t>
        </is>
      </c>
      <c r="H607" s="23">
        <f>VLOOKUP(F607,'Internal Cost Model'!$B$6:$F$15,5,FALSE)</f>
        <v/>
      </c>
      <c r="I607" s="24">
        <f>H607*VLOOKUP(G607,Assumptions!$B$43:$C$45,2,FALSE)</f>
        <v/>
      </c>
      <c r="J607" s="25">
        <f>VLOOKUP(F607,Assumptions!$B$50:$D$59,2,FALSE)*VLOOKUP("SI-T1",Assumptions!$B$27:$C$31,2,FALSE)*VLOOKUP(G607,Assumptions!$B$43:$C$45,2,FALSE)</f>
        <v/>
      </c>
    </row>
    <row r="608">
      <c r="B608" s="7" t="inlineStr">
        <is>
          <t>RC-0603</t>
        </is>
      </c>
      <c r="C608" s="11" t="inlineStr">
        <is>
          <t>Application Engineering</t>
        </is>
      </c>
      <c r="D608" s="7" t="inlineStr">
        <is>
          <t>Staff Engineer</t>
        </is>
      </c>
      <c r="E608" s="11" t="inlineStr">
        <is>
          <t>Backend Engineering</t>
        </is>
      </c>
      <c r="F608" s="11" t="inlineStr">
        <is>
          <t>Director</t>
        </is>
      </c>
      <c r="G608" s="21" t="inlineStr">
        <is>
          <t>High</t>
        </is>
      </c>
      <c r="H608" s="23">
        <f>VLOOKUP(F608,'Internal Cost Model'!$B$6:$F$15,5,FALSE)</f>
        <v/>
      </c>
      <c r="I608" s="24">
        <f>H608*VLOOKUP(G608,Assumptions!$B$43:$C$45,2,FALSE)</f>
        <v/>
      </c>
      <c r="J608" s="25">
        <f>VLOOKUP(F608,Assumptions!$B$50:$D$59,2,FALSE)*VLOOKUP("SI-T1",Assumptions!$B$27:$C$31,2,FALSE)*VLOOKUP(G608,Assumptions!$B$43:$C$45,2,FALSE)</f>
        <v/>
      </c>
    </row>
    <row r="609">
      <c r="B609" s="7" t="inlineStr">
        <is>
          <t>RC-0604</t>
        </is>
      </c>
      <c r="C609" s="11" t="inlineStr">
        <is>
          <t>Application Engineering</t>
        </is>
      </c>
      <c r="D609" s="7" t="inlineStr">
        <is>
          <t>Staff Engineer</t>
        </is>
      </c>
      <c r="E609" s="11" t="inlineStr">
        <is>
          <t>Backend Engineering</t>
        </is>
      </c>
      <c r="F609" s="11" t="inlineStr">
        <is>
          <t>Senior Manager</t>
        </is>
      </c>
      <c r="G609" s="21" t="inlineStr">
        <is>
          <t>High</t>
        </is>
      </c>
      <c r="H609" s="23">
        <f>VLOOKUP(F609,'Internal Cost Model'!$B$6:$F$15,5,FALSE)</f>
        <v/>
      </c>
      <c r="I609" s="24">
        <f>H609*VLOOKUP(G609,Assumptions!$B$43:$C$45,2,FALSE)</f>
        <v/>
      </c>
      <c r="J609" s="25">
        <f>VLOOKUP(F609,Assumptions!$B$50:$D$59,2,FALSE)*VLOOKUP("SI-T1",Assumptions!$B$27:$C$31,2,FALSE)*VLOOKUP(G609,Assumptions!$B$43:$C$45,2,FALSE)</f>
        <v/>
      </c>
    </row>
    <row r="610">
      <c r="B610" s="7" t="inlineStr">
        <is>
          <t>RC-0605</t>
        </is>
      </c>
      <c r="C610" s="11" t="inlineStr">
        <is>
          <t>Application Engineering</t>
        </is>
      </c>
      <c r="D610" s="7" t="inlineStr">
        <is>
          <t>Staff Engineer</t>
        </is>
      </c>
      <c r="E610" s="11" t="inlineStr">
        <is>
          <t>Backend Engineering</t>
        </is>
      </c>
      <c r="F610" s="11" t="inlineStr">
        <is>
          <t>Manager</t>
        </is>
      </c>
      <c r="G610" s="21" t="inlineStr">
        <is>
          <t>High</t>
        </is>
      </c>
      <c r="H610" s="23">
        <f>VLOOKUP(F610,'Internal Cost Model'!$B$6:$F$15,5,FALSE)</f>
        <v/>
      </c>
      <c r="I610" s="24">
        <f>H610*VLOOKUP(G610,Assumptions!$B$43:$C$45,2,FALSE)</f>
        <v/>
      </c>
      <c r="J610" s="25">
        <f>VLOOKUP(F610,Assumptions!$B$50:$D$59,2,FALSE)*VLOOKUP("SI-T1",Assumptions!$B$27:$C$31,2,FALSE)*VLOOKUP(G610,Assumptions!$B$43:$C$45,2,FALSE)</f>
        <v/>
      </c>
    </row>
    <row r="611">
      <c r="B611" s="7" t="inlineStr">
        <is>
          <t>RC-0606</t>
        </is>
      </c>
      <c r="C611" s="11" t="inlineStr">
        <is>
          <t>Application Engineering</t>
        </is>
      </c>
      <c r="D611" s="7" t="inlineStr">
        <is>
          <t>Staff Engineer</t>
        </is>
      </c>
      <c r="E611" s="11" t="inlineStr">
        <is>
          <t>Backend Engineering</t>
        </is>
      </c>
      <c r="F611" s="11" t="inlineStr">
        <is>
          <t>Lead</t>
        </is>
      </c>
      <c r="G611" s="21" t="inlineStr">
        <is>
          <t>High</t>
        </is>
      </c>
      <c r="H611" s="23">
        <f>VLOOKUP(F611,'Internal Cost Model'!$B$6:$F$15,5,FALSE)</f>
        <v/>
      </c>
      <c r="I611" s="24">
        <f>H611*VLOOKUP(G611,Assumptions!$B$43:$C$45,2,FALSE)</f>
        <v/>
      </c>
      <c r="J611" s="25">
        <f>VLOOKUP(F611,Assumptions!$B$50:$D$59,2,FALSE)*VLOOKUP("SI-T1",Assumptions!$B$27:$C$31,2,FALSE)*VLOOKUP(G611,Assumptions!$B$43:$C$45,2,FALSE)</f>
        <v/>
      </c>
    </row>
    <row r="612">
      <c r="B612" s="7" t="inlineStr">
        <is>
          <t>RC-0607</t>
        </is>
      </c>
      <c r="C612" s="11" t="inlineStr">
        <is>
          <t>Application Engineering</t>
        </is>
      </c>
      <c r="D612" s="7" t="inlineStr">
        <is>
          <t>Full-Stack Engineer</t>
        </is>
      </c>
      <c r="E612" s="11" t="inlineStr">
        <is>
          <t>Backend Engineering</t>
        </is>
      </c>
      <c r="F612" s="11" t="inlineStr">
        <is>
          <t>Senior</t>
        </is>
      </c>
      <c r="G612" s="21" t="inlineStr">
        <is>
          <t>Medium</t>
        </is>
      </c>
      <c r="H612" s="23">
        <f>VLOOKUP(F612,'Internal Cost Model'!$B$6:$F$15,5,FALSE)</f>
        <v/>
      </c>
      <c r="I612" s="24">
        <f>H612*VLOOKUP(G612,Assumptions!$B$43:$C$45,2,FALSE)</f>
        <v/>
      </c>
      <c r="J612" s="25">
        <f>VLOOKUP(F612,Assumptions!$B$50:$D$59,2,FALSE)*VLOOKUP("SI-T1",Assumptions!$B$27:$C$31,2,FALSE)*VLOOKUP(G612,Assumptions!$B$43:$C$45,2,FALSE)</f>
        <v/>
      </c>
    </row>
    <row r="613">
      <c r="B613" s="7" t="inlineStr">
        <is>
          <t>RC-0608</t>
        </is>
      </c>
      <c r="C613" s="11" t="inlineStr">
        <is>
          <t>Application Engineering</t>
        </is>
      </c>
      <c r="D613" s="7" t="inlineStr">
        <is>
          <t>Full-Stack Engineer</t>
        </is>
      </c>
      <c r="E613" s="11" t="inlineStr">
        <is>
          <t>Backend Engineering</t>
        </is>
      </c>
      <c r="F613" s="11" t="inlineStr">
        <is>
          <t>Intermediate</t>
        </is>
      </c>
      <c r="G613" s="21" t="inlineStr">
        <is>
          <t>Medium</t>
        </is>
      </c>
      <c r="H613" s="23">
        <f>VLOOKUP(F613,'Internal Cost Model'!$B$6:$F$15,5,FALSE)</f>
        <v/>
      </c>
      <c r="I613" s="24">
        <f>H613*VLOOKUP(G613,Assumptions!$B$43:$C$45,2,FALSE)</f>
        <v/>
      </c>
      <c r="J613" s="25">
        <f>VLOOKUP(F613,Assumptions!$B$50:$D$59,2,FALSE)*VLOOKUP("SI-T1",Assumptions!$B$27:$C$31,2,FALSE)*VLOOKUP(G613,Assumptions!$B$43:$C$45,2,FALSE)</f>
        <v/>
      </c>
    </row>
    <row r="614">
      <c r="B614" s="7" t="inlineStr">
        <is>
          <t>RC-0609</t>
        </is>
      </c>
      <c r="C614" s="11" t="inlineStr">
        <is>
          <t>Application Engineering</t>
        </is>
      </c>
      <c r="D614" s="7" t="inlineStr">
        <is>
          <t>Java Engineer</t>
        </is>
      </c>
      <c r="E614" s="11" t="inlineStr">
        <is>
          <t>Backend Engineering</t>
        </is>
      </c>
      <c r="F614" s="11" t="inlineStr">
        <is>
          <t>Senior</t>
        </is>
      </c>
      <c r="G614" s="21" t="inlineStr">
        <is>
          <t>Medium</t>
        </is>
      </c>
      <c r="H614" s="23">
        <f>VLOOKUP(F614,'Internal Cost Model'!$B$6:$F$15,5,FALSE)</f>
        <v/>
      </c>
      <c r="I614" s="24">
        <f>H614*VLOOKUP(G614,Assumptions!$B$43:$C$45,2,FALSE)</f>
        <v/>
      </c>
      <c r="J614" s="25">
        <f>VLOOKUP(F614,Assumptions!$B$50:$D$59,2,FALSE)*VLOOKUP("SI-T1",Assumptions!$B$27:$C$31,2,FALSE)*VLOOKUP(G614,Assumptions!$B$43:$C$45,2,FALSE)</f>
        <v/>
      </c>
    </row>
    <row r="615">
      <c r="B615" s="7" t="inlineStr">
        <is>
          <t>RC-0610</t>
        </is>
      </c>
      <c r="C615" s="11" t="inlineStr">
        <is>
          <t>Application Engineering</t>
        </is>
      </c>
      <c r="D615" s="7" t="inlineStr">
        <is>
          <t>Java Engineer</t>
        </is>
      </c>
      <c r="E615" s="11" t="inlineStr">
        <is>
          <t>Backend Engineering</t>
        </is>
      </c>
      <c r="F615" s="11" t="inlineStr">
        <is>
          <t>Intermediate</t>
        </is>
      </c>
      <c r="G615" s="21" t="inlineStr">
        <is>
          <t>Medium</t>
        </is>
      </c>
      <c r="H615" s="23">
        <f>VLOOKUP(F615,'Internal Cost Model'!$B$6:$F$15,5,FALSE)</f>
        <v/>
      </c>
      <c r="I615" s="24">
        <f>H615*VLOOKUP(G615,Assumptions!$B$43:$C$45,2,FALSE)</f>
        <v/>
      </c>
      <c r="J615" s="25">
        <f>VLOOKUP(F615,Assumptions!$B$50:$D$59,2,FALSE)*VLOOKUP("SI-T1",Assumptions!$B$27:$C$31,2,FALSE)*VLOOKUP(G615,Assumptions!$B$43:$C$45,2,FALSE)</f>
        <v/>
      </c>
    </row>
    <row r="616">
      <c r="B616" s="7" t="inlineStr">
        <is>
          <t>RC-0611</t>
        </is>
      </c>
      <c r="C616" s="11" t="inlineStr">
        <is>
          <t>Application Engineering</t>
        </is>
      </c>
      <c r="D616" s="7" t="inlineStr">
        <is>
          <t>.NET Engineer</t>
        </is>
      </c>
      <c r="E616" s="11" t="inlineStr">
        <is>
          <t>Backend Engineering</t>
        </is>
      </c>
      <c r="F616" s="11" t="inlineStr">
        <is>
          <t>Senior</t>
        </is>
      </c>
      <c r="G616" s="21" t="inlineStr">
        <is>
          <t>Medium</t>
        </is>
      </c>
      <c r="H616" s="23">
        <f>VLOOKUP(F616,'Internal Cost Model'!$B$6:$F$15,5,FALSE)</f>
        <v/>
      </c>
      <c r="I616" s="24">
        <f>H616*VLOOKUP(G616,Assumptions!$B$43:$C$45,2,FALSE)</f>
        <v/>
      </c>
      <c r="J616" s="25">
        <f>VLOOKUP(F616,Assumptions!$B$50:$D$59,2,FALSE)*VLOOKUP("SI-T1",Assumptions!$B$27:$C$31,2,FALSE)*VLOOKUP(G616,Assumptions!$B$43:$C$45,2,FALSE)</f>
        <v/>
      </c>
    </row>
    <row r="617">
      <c r="B617" s="7" t="inlineStr">
        <is>
          <t>RC-0612</t>
        </is>
      </c>
      <c r="C617" s="11" t="inlineStr">
        <is>
          <t>Application Engineering</t>
        </is>
      </c>
      <c r="D617" s="7" t="inlineStr">
        <is>
          <t>.NET Engineer</t>
        </is>
      </c>
      <c r="E617" s="11" t="inlineStr">
        <is>
          <t>Backend Engineering</t>
        </is>
      </c>
      <c r="F617" s="11" t="inlineStr">
        <is>
          <t>Intermediate</t>
        </is>
      </c>
      <c r="G617" s="21" t="inlineStr">
        <is>
          <t>Medium</t>
        </is>
      </c>
      <c r="H617" s="23">
        <f>VLOOKUP(F617,'Internal Cost Model'!$B$6:$F$15,5,FALSE)</f>
        <v/>
      </c>
      <c r="I617" s="24">
        <f>H617*VLOOKUP(G617,Assumptions!$B$43:$C$45,2,FALSE)</f>
        <v/>
      </c>
      <c r="J617" s="25">
        <f>VLOOKUP(F617,Assumptions!$B$50:$D$59,2,FALSE)*VLOOKUP("SI-T1",Assumptions!$B$27:$C$31,2,FALSE)*VLOOKUP(G617,Assumptions!$B$43:$C$45,2,FALSE)</f>
        <v/>
      </c>
    </row>
    <row r="618">
      <c r="B618" s="7" t="inlineStr">
        <is>
          <t>RC-0613</t>
        </is>
      </c>
      <c r="C618" s="11" t="inlineStr">
        <is>
          <t>Application Engineering</t>
        </is>
      </c>
      <c r="D618" s="7" t="inlineStr">
        <is>
          <t>Python Engineer</t>
        </is>
      </c>
      <c r="E618" s="11" t="inlineStr">
        <is>
          <t>Backend Engineering</t>
        </is>
      </c>
      <c r="F618" s="11" t="inlineStr">
        <is>
          <t>Senior</t>
        </is>
      </c>
      <c r="G618" s="21" t="inlineStr">
        <is>
          <t>Medium</t>
        </is>
      </c>
      <c r="H618" s="23">
        <f>VLOOKUP(F618,'Internal Cost Model'!$B$6:$F$15,5,FALSE)</f>
        <v/>
      </c>
      <c r="I618" s="24">
        <f>H618*VLOOKUP(G618,Assumptions!$B$43:$C$45,2,FALSE)</f>
        <v/>
      </c>
      <c r="J618" s="25">
        <f>VLOOKUP(F618,Assumptions!$B$50:$D$59,2,FALSE)*VLOOKUP("SI-T1",Assumptions!$B$27:$C$31,2,FALSE)*VLOOKUP(G618,Assumptions!$B$43:$C$45,2,FALSE)</f>
        <v/>
      </c>
    </row>
    <row r="619">
      <c r="B619" s="7" t="inlineStr">
        <is>
          <t>RC-0614</t>
        </is>
      </c>
      <c r="C619" s="11" t="inlineStr">
        <is>
          <t>Application Engineering</t>
        </is>
      </c>
      <c r="D619" s="7" t="inlineStr">
        <is>
          <t>Python Engineer</t>
        </is>
      </c>
      <c r="E619" s="11" t="inlineStr">
        <is>
          <t>Backend Engineering</t>
        </is>
      </c>
      <c r="F619" s="11" t="inlineStr">
        <is>
          <t>Intermediate</t>
        </is>
      </c>
      <c r="G619" s="21" t="inlineStr">
        <is>
          <t>Medium</t>
        </is>
      </c>
      <c r="H619" s="23">
        <f>VLOOKUP(F619,'Internal Cost Model'!$B$6:$F$15,5,FALSE)</f>
        <v/>
      </c>
      <c r="I619" s="24">
        <f>H619*VLOOKUP(G619,Assumptions!$B$43:$C$45,2,FALSE)</f>
        <v/>
      </c>
      <c r="J619" s="25">
        <f>VLOOKUP(F619,Assumptions!$B$50:$D$59,2,FALSE)*VLOOKUP("SI-T1",Assumptions!$B$27:$C$31,2,FALSE)*VLOOKUP(G619,Assumptions!$B$43:$C$45,2,FALSE)</f>
        <v/>
      </c>
    </row>
    <row r="620">
      <c r="B620" s="7" t="inlineStr">
        <is>
          <t>RC-0615</t>
        </is>
      </c>
      <c r="C620" s="11" t="inlineStr">
        <is>
          <t>Application Engineering</t>
        </is>
      </c>
      <c r="D620" s="7" t="inlineStr">
        <is>
          <t>React Engineer</t>
        </is>
      </c>
      <c r="E620" s="11" t="inlineStr">
        <is>
          <t>Frontend Engineering</t>
        </is>
      </c>
      <c r="F620" s="11" t="inlineStr">
        <is>
          <t>Senior</t>
        </is>
      </c>
      <c r="G620" s="21" t="inlineStr">
        <is>
          <t>Medium</t>
        </is>
      </c>
      <c r="H620" s="23">
        <f>VLOOKUP(F620,'Internal Cost Model'!$B$6:$F$15,5,FALSE)</f>
        <v/>
      </c>
      <c r="I620" s="24">
        <f>H620*VLOOKUP(G620,Assumptions!$B$43:$C$45,2,FALSE)</f>
        <v/>
      </c>
      <c r="J620" s="25">
        <f>VLOOKUP(F620,Assumptions!$B$50:$D$59,2,FALSE)*VLOOKUP("SI-T1",Assumptions!$B$27:$C$31,2,FALSE)*VLOOKUP(G620,Assumptions!$B$43:$C$45,2,FALSE)</f>
        <v/>
      </c>
    </row>
    <row r="621">
      <c r="B621" s="7" t="inlineStr">
        <is>
          <t>RC-0616</t>
        </is>
      </c>
      <c r="C621" s="11" t="inlineStr">
        <is>
          <t>Application Engineering</t>
        </is>
      </c>
      <c r="D621" s="7" t="inlineStr">
        <is>
          <t>React Engineer</t>
        </is>
      </c>
      <c r="E621" s="11" t="inlineStr">
        <is>
          <t>Frontend Engineering</t>
        </is>
      </c>
      <c r="F621" s="11" t="inlineStr">
        <is>
          <t>Intermediate</t>
        </is>
      </c>
      <c r="G621" s="21" t="inlineStr">
        <is>
          <t>Medium</t>
        </is>
      </c>
      <c r="H621" s="23">
        <f>VLOOKUP(F621,'Internal Cost Model'!$B$6:$F$15,5,FALSE)</f>
        <v/>
      </c>
      <c r="I621" s="24">
        <f>H621*VLOOKUP(G621,Assumptions!$B$43:$C$45,2,FALSE)</f>
        <v/>
      </c>
      <c r="J621" s="25">
        <f>VLOOKUP(F621,Assumptions!$B$50:$D$59,2,FALSE)*VLOOKUP("SI-T1",Assumptions!$B$27:$C$31,2,FALSE)*VLOOKUP(G621,Assumptions!$B$43:$C$45,2,FALSE)</f>
        <v/>
      </c>
    </row>
    <row r="622">
      <c r="B622" s="7" t="inlineStr">
        <is>
          <t>RC-0617</t>
        </is>
      </c>
      <c r="C622" s="11" t="inlineStr">
        <is>
          <t>Application Engineering</t>
        </is>
      </c>
      <c r="D622" s="7" t="inlineStr">
        <is>
          <t>iOS Engineer</t>
        </is>
      </c>
      <c r="E622" s="11" t="inlineStr">
        <is>
          <t>Mobile Engineering</t>
        </is>
      </c>
      <c r="F622" s="11" t="inlineStr">
        <is>
          <t>Senior</t>
        </is>
      </c>
      <c r="G622" s="21" t="inlineStr">
        <is>
          <t>Medium</t>
        </is>
      </c>
      <c r="H622" s="23">
        <f>VLOOKUP(F622,'Internal Cost Model'!$B$6:$F$15,5,FALSE)</f>
        <v/>
      </c>
      <c r="I622" s="24">
        <f>H622*VLOOKUP(G622,Assumptions!$B$43:$C$45,2,FALSE)</f>
        <v/>
      </c>
      <c r="J622" s="25">
        <f>VLOOKUP(F622,Assumptions!$B$50:$D$59,2,FALSE)*VLOOKUP("SI-T1",Assumptions!$B$27:$C$31,2,FALSE)*VLOOKUP(G622,Assumptions!$B$43:$C$45,2,FALSE)</f>
        <v/>
      </c>
    </row>
    <row r="623">
      <c r="B623" s="7" t="inlineStr">
        <is>
          <t>RC-0618</t>
        </is>
      </c>
      <c r="C623" s="11" t="inlineStr">
        <is>
          <t>Application Engineering</t>
        </is>
      </c>
      <c r="D623" s="7" t="inlineStr">
        <is>
          <t>iOS Engineer</t>
        </is>
      </c>
      <c r="E623" s="11" t="inlineStr">
        <is>
          <t>Mobile Engineering</t>
        </is>
      </c>
      <c r="F623" s="11" t="inlineStr">
        <is>
          <t>Intermediate</t>
        </is>
      </c>
      <c r="G623" s="21" t="inlineStr">
        <is>
          <t>Medium</t>
        </is>
      </c>
      <c r="H623" s="23">
        <f>VLOOKUP(F623,'Internal Cost Model'!$B$6:$F$15,5,FALSE)</f>
        <v/>
      </c>
      <c r="I623" s="24">
        <f>H623*VLOOKUP(G623,Assumptions!$B$43:$C$45,2,FALSE)</f>
        <v/>
      </c>
      <c r="J623" s="25">
        <f>VLOOKUP(F623,Assumptions!$B$50:$D$59,2,FALSE)*VLOOKUP("SI-T1",Assumptions!$B$27:$C$31,2,FALSE)*VLOOKUP(G623,Assumptions!$B$43:$C$45,2,FALSE)</f>
        <v/>
      </c>
    </row>
    <row r="624">
      <c r="B624" s="7" t="inlineStr">
        <is>
          <t>RC-0619</t>
        </is>
      </c>
      <c r="C624" s="11" t="inlineStr">
        <is>
          <t>Application Engineering</t>
        </is>
      </c>
      <c r="D624" s="7" t="inlineStr">
        <is>
          <t>Android Engineer</t>
        </is>
      </c>
      <c r="E624" s="11" t="inlineStr">
        <is>
          <t>Mobile Engineering</t>
        </is>
      </c>
      <c r="F624" s="11" t="inlineStr">
        <is>
          <t>Senior</t>
        </is>
      </c>
      <c r="G624" s="21" t="inlineStr">
        <is>
          <t>Medium</t>
        </is>
      </c>
      <c r="H624" s="23">
        <f>VLOOKUP(F624,'Internal Cost Model'!$B$6:$F$15,5,FALSE)</f>
        <v/>
      </c>
      <c r="I624" s="24">
        <f>H624*VLOOKUP(G624,Assumptions!$B$43:$C$45,2,FALSE)</f>
        <v/>
      </c>
      <c r="J624" s="25">
        <f>VLOOKUP(F624,Assumptions!$B$50:$D$59,2,FALSE)*VLOOKUP("SI-T1",Assumptions!$B$27:$C$31,2,FALSE)*VLOOKUP(G624,Assumptions!$B$43:$C$45,2,FALSE)</f>
        <v/>
      </c>
    </row>
    <row r="625">
      <c r="B625" s="7" t="inlineStr">
        <is>
          <t>RC-0620</t>
        </is>
      </c>
      <c r="C625" s="11" t="inlineStr">
        <is>
          <t>Application Engineering</t>
        </is>
      </c>
      <c r="D625" s="7" t="inlineStr">
        <is>
          <t>Android Engineer</t>
        </is>
      </c>
      <c r="E625" s="11" t="inlineStr">
        <is>
          <t>Mobile Engineering</t>
        </is>
      </c>
      <c r="F625" s="11" t="inlineStr">
        <is>
          <t>Intermediate</t>
        </is>
      </c>
      <c r="G625" s="21" t="inlineStr">
        <is>
          <t>Medium</t>
        </is>
      </c>
      <c r="H625" s="23">
        <f>VLOOKUP(F625,'Internal Cost Model'!$B$6:$F$15,5,FALSE)</f>
        <v/>
      </c>
      <c r="I625" s="24">
        <f>H625*VLOOKUP(G625,Assumptions!$B$43:$C$45,2,FALSE)</f>
        <v/>
      </c>
      <c r="J625" s="25">
        <f>VLOOKUP(F625,Assumptions!$B$50:$D$59,2,FALSE)*VLOOKUP("SI-T1",Assumptions!$B$27:$C$31,2,FALSE)*VLOOKUP(G625,Assumptions!$B$43:$C$45,2,FALSE)</f>
        <v/>
      </c>
    </row>
    <row r="626">
      <c r="B626" s="7" t="inlineStr">
        <is>
          <t>RC-0621</t>
        </is>
      </c>
      <c r="C626" s="11" t="inlineStr">
        <is>
          <t>Application Engineering</t>
        </is>
      </c>
      <c r="D626" s="7" t="inlineStr">
        <is>
          <t>GraphQL Engineer</t>
        </is>
      </c>
      <c r="E626" s="11" t="inlineStr">
        <is>
          <t>API Engineering</t>
        </is>
      </c>
      <c r="F626" s="11" t="inlineStr">
        <is>
          <t>Senior</t>
        </is>
      </c>
      <c r="G626" s="21" t="inlineStr">
        <is>
          <t>Medium</t>
        </is>
      </c>
      <c r="H626" s="23">
        <f>VLOOKUP(F626,'Internal Cost Model'!$B$6:$F$15,5,FALSE)</f>
        <v/>
      </c>
      <c r="I626" s="24">
        <f>H626*VLOOKUP(G626,Assumptions!$B$43:$C$45,2,FALSE)</f>
        <v/>
      </c>
      <c r="J626" s="25">
        <f>VLOOKUP(F626,Assumptions!$B$50:$D$59,2,FALSE)*VLOOKUP("SI-T1",Assumptions!$B$27:$C$31,2,FALSE)*VLOOKUP(G626,Assumptions!$B$43:$C$45,2,FALSE)</f>
        <v/>
      </c>
    </row>
    <row r="627">
      <c r="B627" s="7" t="inlineStr">
        <is>
          <t>RC-0622</t>
        </is>
      </c>
      <c r="C627" s="11" t="inlineStr">
        <is>
          <t>Application Engineering</t>
        </is>
      </c>
      <c r="D627" s="7" t="inlineStr">
        <is>
          <t>GraphQL Engineer</t>
        </is>
      </c>
      <c r="E627" s="11" t="inlineStr">
        <is>
          <t>API Engineering</t>
        </is>
      </c>
      <c r="F627" s="11" t="inlineStr">
        <is>
          <t>Intermediate</t>
        </is>
      </c>
      <c r="G627" s="21" t="inlineStr">
        <is>
          <t>Medium</t>
        </is>
      </c>
      <c r="H627" s="23">
        <f>VLOOKUP(F627,'Internal Cost Model'!$B$6:$F$15,5,FALSE)</f>
        <v/>
      </c>
      <c r="I627" s="24">
        <f>H627*VLOOKUP(G627,Assumptions!$B$43:$C$45,2,FALSE)</f>
        <v/>
      </c>
      <c r="J627" s="25">
        <f>VLOOKUP(F627,Assumptions!$B$50:$D$59,2,FALSE)*VLOOKUP("SI-T1",Assumptions!$B$27:$C$31,2,FALSE)*VLOOKUP(G627,Assumptions!$B$43:$C$45,2,FALSE)</f>
        <v/>
      </c>
    </row>
    <row r="628">
      <c r="B628" s="7" t="inlineStr">
        <is>
          <t>RC-0623</t>
        </is>
      </c>
      <c r="C628" s="11" t="inlineStr">
        <is>
          <t>Application Engineering</t>
        </is>
      </c>
      <c r="D628" s="7" t="inlineStr">
        <is>
          <t>ServiceNow Architect</t>
        </is>
      </c>
      <c r="E628" s="11" t="inlineStr">
        <is>
          <t>ServiceNow ITSM</t>
        </is>
      </c>
      <c r="F628" s="11" t="inlineStr">
        <is>
          <t>Director</t>
        </is>
      </c>
      <c r="G628" s="21" t="inlineStr">
        <is>
          <t>High</t>
        </is>
      </c>
      <c r="H628" s="23">
        <f>VLOOKUP(F628,'Internal Cost Model'!$B$6:$F$15,5,FALSE)</f>
        <v/>
      </c>
      <c r="I628" s="24">
        <f>H628*VLOOKUP(G628,Assumptions!$B$43:$C$45,2,FALSE)</f>
        <v/>
      </c>
      <c r="J628" s="25">
        <f>VLOOKUP(F628,Assumptions!$B$50:$D$59,2,FALSE)*VLOOKUP("SI-T1",Assumptions!$B$27:$C$31,2,FALSE)*VLOOKUP(G628,Assumptions!$B$43:$C$45,2,FALSE)</f>
        <v/>
      </c>
    </row>
    <row r="629">
      <c r="B629" s="7" t="inlineStr">
        <is>
          <t>RC-0624</t>
        </is>
      </c>
      <c r="C629" s="11" t="inlineStr">
        <is>
          <t>Application Engineering</t>
        </is>
      </c>
      <c r="D629" s="7" t="inlineStr">
        <is>
          <t>ServiceNow Architect</t>
        </is>
      </c>
      <c r="E629" s="11" t="inlineStr">
        <is>
          <t>ServiceNow ITSM</t>
        </is>
      </c>
      <c r="F629" s="11" t="inlineStr">
        <is>
          <t>Senior Manager</t>
        </is>
      </c>
      <c r="G629" s="21" t="inlineStr">
        <is>
          <t>High</t>
        </is>
      </c>
      <c r="H629" s="23">
        <f>VLOOKUP(F629,'Internal Cost Model'!$B$6:$F$15,5,FALSE)</f>
        <v/>
      </c>
      <c r="I629" s="24">
        <f>H629*VLOOKUP(G629,Assumptions!$B$43:$C$45,2,FALSE)</f>
        <v/>
      </c>
      <c r="J629" s="25">
        <f>VLOOKUP(F629,Assumptions!$B$50:$D$59,2,FALSE)*VLOOKUP("SI-T1",Assumptions!$B$27:$C$31,2,FALSE)*VLOOKUP(G629,Assumptions!$B$43:$C$45,2,FALSE)</f>
        <v/>
      </c>
    </row>
    <row r="630">
      <c r="B630" s="7" t="inlineStr">
        <is>
          <t>RC-0625</t>
        </is>
      </c>
      <c r="C630" s="11" t="inlineStr">
        <is>
          <t>Application Engineering</t>
        </is>
      </c>
      <c r="D630" s="7" t="inlineStr">
        <is>
          <t>ServiceNow Architect</t>
        </is>
      </c>
      <c r="E630" s="11" t="inlineStr">
        <is>
          <t>ServiceNow ITSM</t>
        </is>
      </c>
      <c r="F630" s="11" t="inlineStr">
        <is>
          <t>Manager</t>
        </is>
      </c>
      <c r="G630" s="21" t="inlineStr">
        <is>
          <t>High</t>
        </is>
      </c>
      <c r="H630" s="23">
        <f>VLOOKUP(F630,'Internal Cost Model'!$B$6:$F$15,5,FALSE)</f>
        <v/>
      </c>
      <c r="I630" s="24">
        <f>H630*VLOOKUP(G630,Assumptions!$B$43:$C$45,2,FALSE)</f>
        <v/>
      </c>
      <c r="J630" s="25">
        <f>VLOOKUP(F630,Assumptions!$B$50:$D$59,2,FALSE)*VLOOKUP("SI-T1",Assumptions!$B$27:$C$31,2,FALSE)*VLOOKUP(G630,Assumptions!$B$43:$C$45,2,FALSE)</f>
        <v/>
      </c>
    </row>
    <row r="631">
      <c r="B631" s="7" t="inlineStr">
        <is>
          <t>RC-0626</t>
        </is>
      </c>
      <c r="C631" s="11" t="inlineStr">
        <is>
          <t>Application Engineering</t>
        </is>
      </c>
      <c r="D631" s="7" t="inlineStr">
        <is>
          <t>ServiceNow Architect</t>
        </is>
      </c>
      <c r="E631" s="11" t="inlineStr">
        <is>
          <t>ServiceNow ITSM</t>
        </is>
      </c>
      <c r="F631" s="11" t="inlineStr">
        <is>
          <t>Lead</t>
        </is>
      </c>
      <c r="G631" s="21" t="inlineStr">
        <is>
          <t>High</t>
        </is>
      </c>
      <c r="H631" s="23">
        <f>VLOOKUP(F631,'Internal Cost Model'!$B$6:$F$15,5,FALSE)</f>
        <v/>
      </c>
      <c r="I631" s="24">
        <f>H631*VLOOKUP(G631,Assumptions!$B$43:$C$45,2,FALSE)</f>
        <v/>
      </c>
      <c r="J631" s="25">
        <f>VLOOKUP(F631,Assumptions!$B$50:$D$59,2,FALSE)*VLOOKUP("SI-T1",Assumptions!$B$27:$C$31,2,FALSE)*VLOOKUP(G631,Assumptions!$B$43:$C$45,2,FALSE)</f>
        <v/>
      </c>
    </row>
    <row r="632">
      <c r="B632" s="7" t="inlineStr">
        <is>
          <t>RC-0627</t>
        </is>
      </c>
      <c r="C632" s="11" t="inlineStr">
        <is>
          <t>Application Engineering</t>
        </is>
      </c>
      <c r="D632" s="7" t="inlineStr">
        <is>
          <t>ServiceNow ITSM Developer</t>
        </is>
      </c>
      <c r="E632" s="11" t="inlineStr">
        <is>
          <t>ServiceNow ITSM</t>
        </is>
      </c>
      <c r="F632" s="11" t="inlineStr">
        <is>
          <t>Senior</t>
        </is>
      </c>
      <c r="G632" s="21" t="inlineStr">
        <is>
          <t>High</t>
        </is>
      </c>
      <c r="H632" s="23">
        <f>VLOOKUP(F632,'Internal Cost Model'!$B$6:$F$15,5,FALSE)</f>
        <v/>
      </c>
      <c r="I632" s="24">
        <f>H632*VLOOKUP(G632,Assumptions!$B$43:$C$45,2,FALSE)</f>
        <v/>
      </c>
      <c r="J632" s="25">
        <f>VLOOKUP(F632,Assumptions!$B$50:$D$59,2,FALSE)*VLOOKUP("SI-T1",Assumptions!$B$27:$C$31,2,FALSE)*VLOOKUP(G632,Assumptions!$B$43:$C$45,2,FALSE)</f>
        <v/>
      </c>
    </row>
    <row r="633">
      <c r="B633" s="7" t="inlineStr">
        <is>
          <t>RC-0628</t>
        </is>
      </c>
      <c r="C633" s="11" t="inlineStr">
        <is>
          <t>Application Engineering</t>
        </is>
      </c>
      <c r="D633" s="7" t="inlineStr">
        <is>
          <t>ServiceNow ITSM Developer</t>
        </is>
      </c>
      <c r="E633" s="11" t="inlineStr">
        <is>
          <t>ServiceNow ITSM</t>
        </is>
      </c>
      <c r="F633" s="11" t="inlineStr">
        <is>
          <t>Intermediate</t>
        </is>
      </c>
      <c r="G633" s="21" t="inlineStr">
        <is>
          <t>High</t>
        </is>
      </c>
      <c r="H633" s="23">
        <f>VLOOKUP(F633,'Internal Cost Model'!$B$6:$F$15,5,FALSE)</f>
        <v/>
      </c>
      <c r="I633" s="24">
        <f>H633*VLOOKUP(G633,Assumptions!$B$43:$C$45,2,FALSE)</f>
        <v/>
      </c>
      <c r="J633" s="25">
        <f>VLOOKUP(F633,Assumptions!$B$50:$D$59,2,FALSE)*VLOOKUP("SI-T1",Assumptions!$B$27:$C$31,2,FALSE)*VLOOKUP(G633,Assumptions!$B$43:$C$45,2,FALSE)</f>
        <v/>
      </c>
    </row>
    <row r="634">
      <c r="B634" s="7" t="inlineStr">
        <is>
          <t>RC-0629</t>
        </is>
      </c>
      <c r="C634" s="11" t="inlineStr">
        <is>
          <t>Application Engineering</t>
        </is>
      </c>
      <c r="D634" s="7" t="inlineStr">
        <is>
          <t>ServiceNow HRSD Developer</t>
        </is>
      </c>
      <c r="E634" s="11" t="inlineStr">
        <is>
          <t>ServiceNow HRSD</t>
        </is>
      </c>
      <c r="F634" s="11" t="inlineStr">
        <is>
          <t>Senior</t>
        </is>
      </c>
      <c r="G634" s="21" t="inlineStr">
        <is>
          <t>Medium</t>
        </is>
      </c>
      <c r="H634" s="23">
        <f>VLOOKUP(F634,'Internal Cost Model'!$B$6:$F$15,5,FALSE)</f>
        <v/>
      </c>
      <c r="I634" s="24">
        <f>H634*VLOOKUP(G634,Assumptions!$B$43:$C$45,2,FALSE)</f>
        <v/>
      </c>
      <c r="J634" s="25">
        <f>VLOOKUP(F634,Assumptions!$B$50:$D$59,2,FALSE)*VLOOKUP("SI-T1",Assumptions!$B$27:$C$31,2,FALSE)*VLOOKUP(G634,Assumptions!$B$43:$C$45,2,FALSE)</f>
        <v/>
      </c>
    </row>
    <row r="635">
      <c r="B635" s="7" t="inlineStr">
        <is>
          <t>RC-0630</t>
        </is>
      </c>
      <c r="C635" s="11" t="inlineStr">
        <is>
          <t>Application Engineering</t>
        </is>
      </c>
      <c r="D635" s="7" t="inlineStr">
        <is>
          <t>ServiceNow HRSD Developer</t>
        </is>
      </c>
      <c r="E635" s="11" t="inlineStr">
        <is>
          <t>ServiceNow HRSD</t>
        </is>
      </c>
      <c r="F635" s="11" t="inlineStr">
        <is>
          <t>Intermediate</t>
        </is>
      </c>
      <c r="G635" s="21" t="inlineStr">
        <is>
          <t>Medium</t>
        </is>
      </c>
      <c r="H635" s="23">
        <f>VLOOKUP(F635,'Internal Cost Model'!$B$6:$F$15,5,FALSE)</f>
        <v/>
      </c>
      <c r="I635" s="24">
        <f>H635*VLOOKUP(G635,Assumptions!$B$43:$C$45,2,FALSE)</f>
        <v/>
      </c>
      <c r="J635" s="25">
        <f>VLOOKUP(F635,Assumptions!$B$50:$D$59,2,FALSE)*VLOOKUP("SI-T1",Assumptions!$B$27:$C$31,2,FALSE)*VLOOKUP(G635,Assumptions!$B$43:$C$45,2,FALSE)</f>
        <v/>
      </c>
    </row>
    <row r="636">
      <c r="B636" s="7" t="inlineStr">
        <is>
          <t>RC-0631</t>
        </is>
      </c>
      <c r="C636" s="11" t="inlineStr">
        <is>
          <t>Application Engineering</t>
        </is>
      </c>
      <c r="D636" s="7" t="inlineStr">
        <is>
          <t>ServiceNow ITOM Consultant</t>
        </is>
      </c>
      <c r="E636" s="11" t="inlineStr">
        <is>
          <t>ServiceNow ITOM</t>
        </is>
      </c>
      <c r="F636" s="11" t="inlineStr">
        <is>
          <t>Senior Manager</t>
        </is>
      </c>
      <c r="G636" s="21" t="inlineStr">
        <is>
          <t>High</t>
        </is>
      </c>
      <c r="H636" s="23">
        <f>VLOOKUP(F636,'Internal Cost Model'!$B$6:$F$15,5,FALSE)</f>
        <v/>
      </c>
      <c r="I636" s="24">
        <f>H636*VLOOKUP(G636,Assumptions!$B$43:$C$45,2,FALSE)</f>
        <v/>
      </c>
      <c r="J636" s="25">
        <f>VLOOKUP(F636,Assumptions!$B$50:$D$59,2,FALSE)*VLOOKUP("SI-T1",Assumptions!$B$27:$C$31,2,FALSE)*VLOOKUP(G636,Assumptions!$B$43:$C$45,2,FALSE)</f>
        <v/>
      </c>
    </row>
    <row r="637">
      <c r="B637" s="7" t="inlineStr">
        <is>
          <t>RC-0632</t>
        </is>
      </c>
      <c r="C637" s="11" t="inlineStr">
        <is>
          <t>Application Engineering</t>
        </is>
      </c>
      <c r="D637" s="7" t="inlineStr">
        <is>
          <t>ServiceNow ITOM Consultant</t>
        </is>
      </c>
      <c r="E637" s="11" t="inlineStr">
        <is>
          <t>ServiceNow ITOM</t>
        </is>
      </c>
      <c r="F637" s="11" t="inlineStr">
        <is>
          <t>Manager</t>
        </is>
      </c>
      <c r="G637" s="21" t="inlineStr">
        <is>
          <t>High</t>
        </is>
      </c>
      <c r="H637" s="23">
        <f>VLOOKUP(F637,'Internal Cost Model'!$B$6:$F$15,5,FALSE)</f>
        <v/>
      </c>
      <c r="I637" s="24">
        <f>H637*VLOOKUP(G637,Assumptions!$B$43:$C$45,2,FALSE)</f>
        <v/>
      </c>
      <c r="J637" s="25">
        <f>VLOOKUP(F637,Assumptions!$B$50:$D$59,2,FALSE)*VLOOKUP("SI-T1",Assumptions!$B$27:$C$31,2,FALSE)*VLOOKUP(G637,Assumptions!$B$43:$C$45,2,FALSE)</f>
        <v/>
      </c>
    </row>
    <row r="638">
      <c r="B638" s="7" t="inlineStr">
        <is>
          <t>RC-0633</t>
        </is>
      </c>
      <c r="C638" s="11" t="inlineStr">
        <is>
          <t>Application Engineering</t>
        </is>
      </c>
      <c r="D638" s="7" t="inlineStr">
        <is>
          <t>ServiceNow ITOM Consultant</t>
        </is>
      </c>
      <c r="E638" s="11" t="inlineStr">
        <is>
          <t>ServiceNow ITOM</t>
        </is>
      </c>
      <c r="F638" s="11" t="inlineStr">
        <is>
          <t>Lead</t>
        </is>
      </c>
      <c r="G638" s="21" t="inlineStr">
        <is>
          <t>High</t>
        </is>
      </c>
      <c r="H638" s="23">
        <f>VLOOKUP(F638,'Internal Cost Model'!$B$6:$F$15,5,FALSE)</f>
        <v/>
      </c>
      <c r="I638" s="24">
        <f>H638*VLOOKUP(G638,Assumptions!$B$43:$C$45,2,FALSE)</f>
        <v/>
      </c>
      <c r="J638" s="25">
        <f>VLOOKUP(F638,Assumptions!$B$50:$D$59,2,FALSE)*VLOOKUP("SI-T1",Assumptions!$B$27:$C$31,2,FALSE)*VLOOKUP(G638,Assumptions!$B$43:$C$45,2,FALSE)</f>
        <v/>
      </c>
    </row>
    <row r="639">
      <c r="B639" s="7" t="inlineStr">
        <is>
          <t>RC-0634</t>
        </is>
      </c>
      <c r="C639" s="11" t="inlineStr">
        <is>
          <t>Application Engineering</t>
        </is>
      </c>
      <c r="D639" s="7" t="inlineStr">
        <is>
          <t>ServiceNow ITOM Consultant</t>
        </is>
      </c>
      <c r="E639" s="11" t="inlineStr">
        <is>
          <t>ServiceNow ITOM</t>
        </is>
      </c>
      <c r="F639" s="11" t="inlineStr">
        <is>
          <t>Senior</t>
        </is>
      </c>
      <c r="G639" s="21" t="inlineStr">
        <is>
          <t>High</t>
        </is>
      </c>
      <c r="H639" s="23">
        <f>VLOOKUP(F639,'Internal Cost Model'!$B$6:$F$15,5,FALSE)</f>
        <v/>
      </c>
      <c r="I639" s="24">
        <f>H639*VLOOKUP(G639,Assumptions!$B$43:$C$45,2,FALSE)</f>
        <v/>
      </c>
      <c r="J639" s="25">
        <f>VLOOKUP(F639,Assumptions!$B$50:$D$59,2,FALSE)*VLOOKUP("SI-T1",Assumptions!$B$27:$C$31,2,FALSE)*VLOOKUP(G639,Assumptions!$B$43:$C$45,2,FALSE)</f>
        <v/>
      </c>
    </row>
    <row r="640">
      <c r="B640" s="7" t="inlineStr">
        <is>
          <t>RC-0635</t>
        </is>
      </c>
      <c r="C640" s="11" t="inlineStr">
        <is>
          <t>Application Engineering</t>
        </is>
      </c>
      <c r="D640" s="7" t="inlineStr">
        <is>
          <t>ServiceNow SecOps Consultant</t>
        </is>
      </c>
      <c r="E640" s="11" t="inlineStr">
        <is>
          <t>ServiceNow SecOps</t>
        </is>
      </c>
      <c r="F640" s="11" t="inlineStr">
        <is>
          <t>Senior Manager</t>
        </is>
      </c>
      <c r="G640" s="21" t="inlineStr">
        <is>
          <t>High</t>
        </is>
      </c>
      <c r="H640" s="23">
        <f>VLOOKUP(F640,'Internal Cost Model'!$B$6:$F$15,5,FALSE)</f>
        <v/>
      </c>
      <c r="I640" s="24">
        <f>H640*VLOOKUP(G640,Assumptions!$B$43:$C$45,2,FALSE)</f>
        <v/>
      </c>
      <c r="J640" s="25">
        <f>VLOOKUP(F640,Assumptions!$B$50:$D$59,2,FALSE)*VLOOKUP("SI-T1",Assumptions!$B$27:$C$31,2,FALSE)*VLOOKUP(G640,Assumptions!$B$43:$C$45,2,FALSE)</f>
        <v/>
      </c>
    </row>
    <row r="641">
      <c r="B641" s="7" t="inlineStr">
        <is>
          <t>RC-0636</t>
        </is>
      </c>
      <c r="C641" s="11" t="inlineStr">
        <is>
          <t>Application Engineering</t>
        </is>
      </c>
      <c r="D641" s="7" t="inlineStr">
        <is>
          <t>ServiceNow SecOps Consultant</t>
        </is>
      </c>
      <c r="E641" s="11" t="inlineStr">
        <is>
          <t>ServiceNow SecOps</t>
        </is>
      </c>
      <c r="F641" s="11" t="inlineStr">
        <is>
          <t>Manager</t>
        </is>
      </c>
      <c r="G641" s="21" t="inlineStr">
        <is>
          <t>High</t>
        </is>
      </c>
      <c r="H641" s="23">
        <f>VLOOKUP(F641,'Internal Cost Model'!$B$6:$F$15,5,FALSE)</f>
        <v/>
      </c>
      <c r="I641" s="24">
        <f>H641*VLOOKUP(G641,Assumptions!$B$43:$C$45,2,FALSE)</f>
        <v/>
      </c>
      <c r="J641" s="25">
        <f>VLOOKUP(F641,Assumptions!$B$50:$D$59,2,FALSE)*VLOOKUP("SI-T1",Assumptions!$B$27:$C$31,2,FALSE)*VLOOKUP(G641,Assumptions!$B$43:$C$45,2,FALSE)</f>
        <v/>
      </c>
    </row>
    <row r="642">
      <c r="B642" s="7" t="inlineStr">
        <is>
          <t>RC-0637</t>
        </is>
      </c>
      <c r="C642" s="11" t="inlineStr">
        <is>
          <t>Application Engineering</t>
        </is>
      </c>
      <c r="D642" s="7" t="inlineStr">
        <is>
          <t>ServiceNow SecOps Consultant</t>
        </is>
      </c>
      <c r="E642" s="11" t="inlineStr">
        <is>
          <t>ServiceNow SecOps</t>
        </is>
      </c>
      <c r="F642" s="11" t="inlineStr">
        <is>
          <t>Lead</t>
        </is>
      </c>
      <c r="G642" s="21" t="inlineStr">
        <is>
          <t>High</t>
        </is>
      </c>
      <c r="H642" s="23">
        <f>VLOOKUP(F642,'Internal Cost Model'!$B$6:$F$15,5,FALSE)</f>
        <v/>
      </c>
      <c r="I642" s="24">
        <f>H642*VLOOKUP(G642,Assumptions!$B$43:$C$45,2,FALSE)</f>
        <v/>
      </c>
      <c r="J642" s="25">
        <f>VLOOKUP(F642,Assumptions!$B$50:$D$59,2,FALSE)*VLOOKUP("SI-T1",Assumptions!$B$27:$C$31,2,FALSE)*VLOOKUP(G642,Assumptions!$B$43:$C$45,2,FALSE)</f>
        <v/>
      </c>
    </row>
    <row r="643">
      <c r="B643" s="7" t="inlineStr">
        <is>
          <t>RC-0638</t>
        </is>
      </c>
      <c r="C643" s="11" t="inlineStr">
        <is>
          <t>Application Engineering</t>
        </is>
      </c>
      <c r="D643" s="7" t="inlineStr">
        <is>
          <t>ServiceNow SecOps Consultant</t>
        </is>
      </c>
      <c r="E643" s="11" t="inlineStr">
        <is>
          <t>ServiceNow SecOps</t>
        </is>
      </c>
      <c r="F643" s="11" t="inlineStr">
        <is>
          <t>Senior</t>
        </is>
      </c>
      <c r="G643" s="21" t="inlineStr">
        <is>
          <t>High</t>
        </is>
      </c>
      <c r="H643" s="23">
        <f>VLOOKUP(F643,'Internal Cost Model'!$B$6:$F$15,5,FALSE)</f>
        <v/>
      </c>
      <c r="I643" s="24">
        <f>H643*VLOOKUP(G643,Assumptions!$B$43:$C$45,2,FALSE)</f>
        <v/>
      </c>
      <c r="J643" s="25">
        <f>VLOOKUP(F643,Assumptions!$B$50:$D$59,2,FALSE)*VLOOKUP("SI-T1",Assumptions!$B$27:$C$31,2,FALSE)*VLOOKUP(G643,Assumptions!$B$43:$C$45,2,FALSE)</f>
        <v/>
      </c>
    </row>
    <row r="644">
      <c r="B644" s="7" t="inlineStr">
        <is>
          <t>RC-0639</t>
        </is>
      </c>
      <c r="C644" s="11" t="inlineStr">
        <is>
          <t>Application Engineering</t>
        </is>
      </c>
      <c r="D644" s="7" t="inlineStr">
        <is>
          <t>Salesforce Architect</t>
        </is>
      </c>
      <c r="E644" s="11" t="inlineStr">
        <is>
          <t>Salesforce Platform</t>
        </is>
      </c>
      <c r="F644" s="11" t="inlineStr">
        <is>
          <t>Director</t>
        </is>
      </c>
      <c r="G644" s="21" t="inlineStr">
        <is>
          <t>High</t>
        </is>
      </c>
      <c r="H644" s="23">
        <f>VLOOKUP(F644,'Internal Cost Model'!$B$6:$F$15,5,FALSE)</f>
        <v/>
      </c>
      <c r="I644" s="24">
        <f>H644*VLOOKUP(G644,Assumptions!$B$43:$C$45,2,FALSE)</f>
        <v/>
      </c>
      <c r="J644" s="25">
        <f>VLOOKUP(F644,Assumptions!$B$50:$D$59,2,FALSE)*VLOOKUP("SI-T1",Assumptions!$B$27:$C$31,2,FALSE)*VLOOKUP(G644,Assumptions!$B$43:$C$45,2,FALSE)</f>
        <v/>
      </c>
    </row>
    <row r="645">
      <c r="B645" s="7" t="inlineStr">
        <is>
          <t>RC-0640</t>
        </is>
      </c>
      <c r="C645" s="11" t="inlineStr">
        <is>
          <t>Application Engineering</t>
        </is>
      </c>
      <c r="D645" s="7" t="inlineStr">
        <is>
          <t>Salesforce Architect</t>
        </is>
      </c>
      <c r="E645" s="11" t="inlineStr">
        <is>
          <t>Salesforce Platform</t>
        </is>
      </c>
      <c r="F645" s="11" t="inlineStr">
        <is>
          <t>Senior Manager</t>
        </is>
      </c>
      <c r="G645" s="21" t="inlineStr">
        <is>
          <t>High</t>
        </is>
      </c>
      <c r="H645" s="23">
        <f>VLOOKUP(F645,'Internal Cost Model'!$B$6:$F$15,5,FALSE)</f>
        <v/>
      </c>
      <c r="I645" s="24">
        <f>H645*VLOOKUP(G645,Assumptions!$B$43:$C$45,2,FALSE)</f>
        <v/>
      </c>
      <c r="J645" s="25">
        <f>VLOOKUP(F645,Assumptions!$B$50:$D$59,2,FALSE)*VLOOKUP("SI-T1",Assumptions!$B$27:$C$31,2,FALSE)*VLOOKUP(G645,Assumptions!$B$43:$C$45,2,FALSE)</f>
        <v/>
      </c>
    </row>
    <row r="646">
      <c r="B646" s="7" t="inlineStr">
        <is>
          <t>RC-0641</t>
        </is>
      </c>
      <c r="C646" s="11" t="inlineStr">
        <is>
          <t>Application Engineering</t>
        </is>
      </c>
      <c r="D646" s="7" t="inlineStr">
        <is>
          <t>Salesforce Architect</t>
        </is>
      </c>
      <c r="E646" s="11" t="inlineStr">
        <is>
          <t>Salesforce Platform</t>
        </is>
      </c>
      <c r="F646" s="11" t="inlineStr">
        <is>
          <t>Manager</t>
        </is>
      </c>
      <c r="G646" s="21" t="inlineStr">
        <is>
          <t>High</t>
        </is>
      </c>
      <c r="H646" s="23">
        <f>VLOOKUP(F646,'Internal Cost Model'!$B$6:$F$15,5,FALSE)</f>
        <v/>
      </c>
      <c r="I646" s="24">
        <f>H646*VLOOKUP(G646,Assumptions!$B$43:$C$45,2,FALSE)</f>
        <v/>
      </c>
      <c r="J646" s="25">
        <f>VLOOKUP(F646,Assumptions!$B$50:$D$59,2,FALSE)*VLOOKUP("SI-T1",Assumptions!$B$27:$C$31,2,FALSE)*VLOOKUP(G646,Assumptions!$B$43:$C$45,2,FALSE)</f>
        <v/>
      </c>
    </row>
    <row r="647">
      <c r="B647" s="7" t="inlineStr">
        <is>
          <t>RC-0642</t>
        </is>
      </c>
      <c r="C647" s="11" t="inlineStr">
        <is>
          <t>Application Engineering</t>
        </is>
      </c>
      <c r="D647" s="7" t="inlineStr">
        <is>
          <t>Salesforce Architect</t>
        </is>
      </c>
      <c r="E647" s="11" t="inlineStr">
        <is>
          <t>Salesforce Platform</t>
        </is>
      </c>
      <c r="F647" s="11" t="inlineStr">
        <is>
          <t>Lead</t>
        </is>
      </c>
      <c r="G647" s="21" t="inlineStr">
        <is>
          <t>High</t>
        </is>
      </c>
      <c r="H647" s="23">
        <f>VLOOKUP(F647,'Internal Cost Model'!$B$6:$F$15,5,FALSE)</f>
        <v/>
      </c>
      <c r="I647" s="24">
        <f>H647*VLOOKUP(G647,Assumptions!$B$43:$C$45,2,FALSE)</f>
        <v/>
      </c>
      <c r="J647" s="25">
        <f>VLOOKUP(F647,Assumptions!$B$50:$D$59,2,FALSE)*VLOOKUP("SI-T1",Assumptions!$B$27:$C$31,2,FALSE)*VLOOKUP(G647,Assumptions!$B$43:$C$45,2,FALSE)</f>
        <v/>
      </c>
    </row>
    <row r="648">
      <c r="B648" s="7" t="inlineStr">
        <is>
          <t>RC-0643</t>
        </is>
      </c>
      <c r="C648" s="11" t="inlineStr">
        <is>
          <t>Application Engineering</t>
        </is>
      </c>
      <c r="D648" s="7" t="inlineStr">
        <is>
          <t>Salesforce Sales Cloud Consultant</t>
        </is>
      </c>
      <c r="E648" s="11" t="inlineStr">
        <is>
          <t>Salesforce Sales Cloud</t>
        </is>
      </c>
      <c r="F648" s="11" t="inlineStr">
        <is>
          <t>Manager</t>
        </is>
      </c>
      <c r="G648" s="21" t="inlineStr">
        <is>
          <t>High</t>
        </is>
      </c>
      <c r="H648" s="23">
        <f>VLOOKUP(F648,'Internal Cost Model'!$B$6:$F$15,5,FALSE)</f>
        <v/>
      </c>
      <c r="I648" s="24">
        <f>H648*VLOOKUP(G648,Assumptions!$B$43:$C$45,2,FALSE)</f>
        <v/>
      </c>
      <c r="J648" s="25">
        <f>VLOOKUP(F648,Assumptions!$B$50:$D$59,2,FALSE)*VLOOKUP("SI-T1",Assumptions!$B$27:$C$31,2,FALSE)*VLOOKUP(G648,Assumptions!$B$43:$C$45,2,FALSE)</f>
        <v/>
      </c>
    </row>
    <row r="649">
      <c r="B649" s="7" t="inlineStr">
        <is>
          <t>RC-0644</t>
        </is>
      </c>
      <c r="C649" s="11" t="inlineStr">
        <is>
          <t>Application Engineering</t>
        </is>
      </c>
      <c r="D649" s="7" t="inlineStr">
        <is>
          <t>Salesforce Sales Cloud Consultant</t>
        </is>
      </c>
      <c r="E649" s="11" t="inlineStr">
        <is>
          <t>Salesforce Sales Cloud</t>
        </is>
      </c>
      <c r="F649" s="11" t="inlineStr">
        <is>
          <t>Lead</t>
        </is>
      </c>
      <c r="G649" s="21" t="inlineStr">
        <is>
          <t>High</t>
        </is>
      </c>
      <c r="H649" s="23">
        <f>VLOOKUP(F649,'Internal Cost Model'!$B$6:$F$15,5,FALSE)</f>
        <v/>
      </c>
      <c r="I649" s="24">
        <f>H649*VLOOKUP(G649,Assumptions!$B$43:$C$45,2,FALSE)</f>
        <v/>
      </c>
      <c r="J649" s="25">
        <f>VLOOKUP(F649,Assumptions!$B$50:$D$59,2,FALSE)*VLOOKUP("SI-T1",Assumptions!$B$27:$C$31,2,FALSE)*VLOOKUP(G649,Assumptions!$B$43:$C$45,2,FALSE)</f>
        <v/>
      </c>
    </row>
    <row r="650">
      <c r="B650" s="7" t="inlineStr">
        <is>
          <t>RC-0645</t>
        </is>
      </c>
      <c r="C650" s="11" t="inlineStr">
        <is>
          <t>Application Engineering</t>
        </is>
      </c>
      <c r="D650" s="7" t="inlineStr">
        <is>
          <t>Salesforce Sales Cloud Consultant</t>
        </is>
      </c>
      <c r="E650" s="11" t="inlineStr">
        <is>
          <t>Salesforce Sales Cloud</t>
        </is>
      </c>
      <c r="F650" s="11" t="inlineStr">
        <is>
          <t>Senior</t>
        </is>
      </c>
      <c r="G650" s="21" t="inlineStr">
        <is>
          <t>High</t>
        </is>
      </c>
      <c r="H650" s="23">
        <f>VLOOKUP(F650,'Internal Cost Model'!$B$6:$F$15,5,FALSE)</f>
        <v/>
      </c>
      <c r="I650" s="24">
        <f>H650*VLOOKUP(G650,Assumptions!$B$43:$C$45,2,FALSE)</f>
        <v/>
      </c>
      <c r="J650" s="25">
        <f>VLOOKUP(F650,Assumptions!$B$50:$D$59,2,FALSE)*VLOOKUP("SI-T1",Assumptions!$B$27:$C$31,2,FALSE)*VLOOKUP(G650,Assumptions!$B$43:$C$45,2,FALSE)</f>
        <v/>
      </c>
    </row>
    <row r="651">
      <c r="B651" s="7" t="inlineStr">
        <is>
          <t>RC-0646</t>
        </is>
      </c>
      <c r="C651" s="11" t="inlineStr">
        <is>
          <t>Application Engineering</t>
        </is>
      </c>
      <c r="D651" s="7" t="inlineStr">
        <is>
          <t>Salesforce Service Cloud Consultant</t>
        </is>
      </c>
      <c r="E651" s="11" t="inlineStr">
        <is>
          <t>Salesforce Service Cloud</t>
        </is>
      </c>
      <c r="F651" s="11" t="inlineStr">
        <is>
          <t>Manager</t>
        </is>
      </c>
      <c r="G651" s="21" t="inlineStr">
        <is>
          <t>High</t>
        </is>
      </c>
      <c r="H651" s="23">
        <f>VLOOKUP(F651,'Internal Cost Model'!$B$6:$F$15,5,FALSE)</f>
        <v/>
      </c>
      <c r="I651" s="24">
        <f>H651*VLOOKUP(G651,Assumptions!$B$43:$C$45,2,FALSE)</f>
        <v/>
      </c>
      <c r="J651" s="25">
        <f>VLOOKUP(F651,Assumptions!$B$50:$D$59,2,FALSE)*VLOOKUP("SI-T1",Assumptions!$B$27:$C$31,2,FALSE)*VLOOKUP(G651,Assumptions!$B$43:$C$45,2,FALSE)</f>
        <v/>
      </c>
    </row>
    <row r="652">
      <c r="B652" s="7" t="inlineStr">
        <is>
          <t>RC-0647</t>
        </is>
      </c>
      <c r="C652" s="11" t="inlineStr">
        <is>
          <t>Application Engineering</t>
        </is>
      </c>
      <c r="D652" s="7" t="inlineStr">
        <is>
          <t>Salesforce Service Cloud Consultant</t>
        </is>
      </c>
      <c r="E652" s="11" t="inlineStr">
        <is>
          <t>Salesforce Service Cloud</t>
        </is>
      </c>
      <c r="F652" s="11" t="inlineStr">
        <is>
          <t>Lead</t>
        </is>
      </c>
      <c r="G652" s="21" t="inlineStr">
        <is>
          <t>High</t>
        </is>
      </c>
      <c r="H652" s="23">
        <f>VLOOKUP(F652,'Internal Cost Model'!$B$6:$F$15,5,FALSE)</f>
        <v/>
      </c>
      <c r="I652" s="24">
        <f>H652*VLOOKUP(G652,Assumptions!$B$43:$C$45,2,FALSE)</f>
        <v/>
      </c>
      <c r="J652" s="25">
        <f>VLOOKUP(F652,Assumptions!$B$50:$D$59,2,FALSE)*VLOOKUP("SI-T1",Assumptions!$B$27:$C$31,2,FALSE)*VLOOKUP(G652,Assumptions!$B$43:$C$45,2,FALSE)</f>
        <v/>
      </c>
    </row>
    <row r="653">
      <c r="B653" s="7" t="inlineStr">
        <is>
          <t>RC-0648</t>
        </is>
      </c>
      <c r="C653" s="11" t="inlineStr">
        <is>
          <t>Application Engineering</t>
        </is>
      </c>
      <c r="D653" s="7" t="inlineStr">
        <is>
          <t>Salesforce Service Cloud Consultant</t>
        </is>
      </c>
      <c r="E653" s="11" t="inlineStr">
        <is>
          <t>Salesforce Service Cloud</t>
        </is>
      </c>
      <c r="F653" s="11" t="inlineStr">
        <is>
          <t>Senior</t>
        </is>
      </c>
      <c r="G653" s="21" t="inlineStr">
        <is>
          <t>High</t>
        </is>
      </c>
      <c r="H653" s="23">
        <f>VLOOKUP(F653,'Internal Cost Model'!$B$6:$F$15,5,FALSE)</f>
        <v/>
      </c>
      <c r="I653" s="24">
        <f>H653*VLOOKUP(G653,Assumptions!$B$43:$C$45,2,FALSE)</f>
        <v/>
      </c>
      <c r="J653" s="25">
        <f>VLOOKUP(F653,Assumptions!$B$50:$D$59,2,FALSE)*VLOOKUP("SI-T1",Assumptions!$B$27:$C$31,2,FALSE)*VLOOKUP(G653,Assumptions!$B$43:$C$45,2,FALSE)</f>
        <v/>
      </c>
    </row>
    <row r="654">
      <c r="B654" s="7" t="inlineStr">
        <is>
          <t>RC-0649</t>
        </is>
      </c>
      <c r="C654" s="11" t="inlineStr">
        <is>
          <t>Application Engineering</t>
        </is>
      </c>
      <c r="D654" s="7" t="inlineStr">
        <is>
          <t>Salesforce Marketing Cloud Consultant</t>
        </is>
      </c>
      <c r="E654" s="11" t="inlineStr">
        <is>
          <t>Salesforce Marketing Cloud</t>
        </is>
      </c>
      <c r="F654" s="11" t="inlineStr">
        <is>
          <t>Manager</t>
        </is>
      </c>
      <c r="G654" s="21" t="inlineStr">
        <is>
          <t>Medium</t>
        </is>
      </c>
      <c r="H654" s="23">
        <f>VLOOKUP(F654,'Internal Cost Model'!$B$6:$F$15,5,FALSE)</f>
        <v/>
      </c>
      <c r="I654" s="24">
        <f>H654*VLOOKUP(G654,Assumptions!$B$43:$C$45,2,FALSE)</f>
        <v/>
      </c>
      <c r="J654" s="25">
        <f>VLOOKUP(F654,Assumptions!$B$50:$D$59,2,FALSE)*VLOOKUP("SI-T1",Assumptions!$B$27:$C$31,2,FALSE)*VLOOKUP(G654,Assumptions!$B$43:$C$45,2,FALSE)</f>
        <v/>
      </c>
    </row>
    <row r="655">
      <c r="B655" s="7" t="inlineStr">
        <is>
          <t>RC-0650</t>
        </is>
      </c>
      <c r="C655" s="11" t="inlineStr">
        <is>
          <t>Application Engineering</t>
        </is>
      </c>
      <c r="D655" s="7" t="inlineStr">
        <is>
          <t>Salesforce Marketing Cloud Consultant</t>
        </is>
      </c>
      <c r="E655" s="11" t="inlineStr">
        <is>
          <t>Salesforce Marketing Cloud</t>
        </is>
      </c>
      <c r="F655" s="11" t="inlineStr">
        <is>
          <t>Lead</t>
        </is>
      </c>
      <c r="G655" s="21" t="inlineStr">
        <is>
          <t>Medium</t>
        </is>
      </c>
      <c r="H655" s="23">
        <f>VLOOKUP(F655,'Internal Cost Model'!$B$6:$F$15,5,FALSE)</f>
        <v/>
      </c>
      <c r="I655" s="24">
        <f>H655*VLOOKUP(G655,Assumptions!$B$43:$C$45,2,FALSE)</f>
        <v/>
      </c>
      <c r="J655" s="25">
        <f>VLOOKUP(F655,Assumptions!$B$50:$D$59,2,FALSE)*VLOOKUP("SI-T1",Assumptions!$B$27:$C$31,2,FALSE)*VLOOKUP(G655,Assumptions!$B$43:$C$45,2,FALSE)</f>
        <v/>
      </c>
    </row>
    <row r="656">
      <c r="B656" s="7" t="inlineStr">
        <is>
          <t>RC-0651</t>
        </is>
      </c>
      <c r="C656" s="11" t="inlineStr">
        <is>
          <t>Application Engineering</t>
        </is>
      </c>
      <c r="D656" s="7" t="inlineStr">
        <is>
          <t>Salesforce Marketing Cloud Consultant</t>
        </is>
      </c>
      <c r="E656" s="11" t="inlineStr">
        <is>
          <t>Salesforce Marketing Cloud</t>
        </is>
      </c>
      <c r="F656" s="11" t="inlineStr">
        <is>
          <t>Senior</t>
        </is>
      </c>
      <c r="G656" s="21" t="inlineStr">
        <is>
          <t>Medium</t>
        </is>
      </c>
      <c r="H656" s="23">
        <f>VLOOKUP(F656,'Internal Cost Model'!$B$6:$F$15,5,FALSE)</f>
        <v/>
      </c>
      <c r="I656" s="24">
        <f>H656*VLOOKUP(G656,Assumptions!$B$43:$C$45,2,FALSE)</f>
        <v/>
      </c>
      <c r="J656" s="25">
        <f>VLOOKUP(F656,Assumptions!$B$50:$D$59,2,FALSE)*VLOOKUP("SI-T1",Assumptions!$B$27:$C$31,2,FALSE)*VLOOKUP(G656,Assumptions!$B$43:$C$45,2,FALSE)</f>
        <v/>
      </c>
    </row>
    <row r="657">
      <c r="B657" s="7" t="inlineStr">
        <is>
          <t>RC-0652</t>
        </is>
      </c>
      <c r="C657" s="11" t="inlineStr">
        <is>
          <t>Application Engineering</t>
        </is>
      </c>
      <c r="D657" s="7" t="inlineStr">
        <is>
          <t>Apex Developer</t>
        </is>
      </c>
      <c r="E657" s="11" t="inlineStr">
        <is>
          <t>Salesforce Platform</t>
        </is>
      </c>
      <c r="F657" s="11" t="inlineStr">
        <is>
          <t>Senior</t>
        </is>
      </c>
      <c r="G657" s="21" t="inlineStr">
        <is>
          <t>Medium</t>
        </is>
      </c>
      <c r="H657" s="23">
        <f>VLOOKUP(F657,'Internal Cost Model'!$B$6:$F$15,5,FALSE)</f>
        <v/>
      </c>
      <c r="I657" s="24">
        <f>H657*VLOOKUP(G657,Assumptions!$B$43:$C$45,2,FALSE)</f>
        <v/>
      </c>
      <c r="J657" s="25">
        <f>VLOOKUP(F657,Assumptions!$B$50:$D$59,2,FALSE)*VLOOKUP("SI-T1",Assumptions!$B$27:$C$31,2,FALSE)*VLOOKUP(G657,Assumptions!$B$43:$C$45,2,FALSE)</f>
        <v/>
      </c>
    </row>
    <row r="658">
      <c r="B658" s="7" t="inlineStr">
        <is>
          <t>RC-0653</t>
        </is>
      </c>
      <c r="C658" s="11" t="inlineStr">
        <is>
          <t>Application Engineering</t>
        </is>
      </c>
      <c r="D658" s="7" t="inlineStr">
        <is>
          <t>Apex Developer</t>
        </is>
      </c>
      <c r="E658" s="11" t="inlineStr">
        <is>
          <t>Salesforce Platform</t>
        </is>
      </c>
      <c r="F658" s="11" t="inlineStr">
        <is>
          <t>Intermediate</t>
        </is>
      </c>
      <c r="G658" s="21" t="inlineStr">
        <is>
          <t>Medium</t>
        </is>
      </c>
      <c r="H658" s="23">
        <f>VLOOKUP(F658,'Internal Cost Model'!$B$6:$F$15,5,FALSE)</f>
        <v/>
      </c>
      <c r="I658" s="24">
        <f>H658*VLOOKUP(G658,Assumptions!$B$43:$C$45,2,FALSE)</f>
        <v/>
      </c>
      <c r="J658" s="25">
        <f>VLOOKUP(F658,Assumptions!$B$50:$D$59,2,FALSE)*VLOOKUP("SI-T1",Assumptions!$B$27:$C$31,2,FALSE)*VLOOKUP(G658,Assumptions!$B$43:$C$45,2,FALSE)</f>
        <v/>
      </c>
    </row>
    <row r="659">
      <c r="B659" s="7" t="inlineStr">
        <is>
          <t>RC-0654</t>
        </is>
      </c>
      <c r="C659" s="11" t="inlineStr">
        <is>
          <t>Application Engineering</t>
        </is>
      </c>
      <c r="D659" s="7" t="inlineStr">
        <is>
          <t>LWC Developer</t>
        </is>
      </c>
      <c r="E659" s="11" t="inlineStr">
        <is>
          <t>Salesforce Platform</t>
        </is>
      </c>
      <c r="F659" s="11" t="inlineStr">
        <is>
          <t>Senior</t>
        </is>
      </c>
      <c r="G659" s="21" t="inlineStr">
        <is>
          <t>Medium</t>
        </is>
      </c>
      <c r="H659" s="23">
        <f>VLOOKUP(F659,'Internal Cost Model'!$B$6:$F$15,5,FALSE)</f>
        <v/>
      </c>
      <c r="I659" s="24">
        <f>H659*VLOOKUP(G659,Assumptions!$B$43:$C$45,2,FALSE)</f>
        <v/>
      </c>
      <c r="J659" s="25">
        <f>VLOOKUP(F659,Assumptions!$B$50:$D$59,2,FALSE)*VLOOKUP("SI-T1",Assumptions!$B$27:$C$31,2,FALSE)*VLOOKUP(G659,Assumptions!$B$43:$C$45,2,FALSE)</f>
        <v/>
      </c>
    </row>
    <row r="660">
      <c r="B660" s="7" t="inlineStr">
        <is>
          <t>RC-0655</t>
        </is>
      </c>
      <c r="C660" s="11" t="inlineStr">
        <is>
          <t>Application Engineering</t>
        </is>
      </c>
      <c r="D660" s="7" t="inlineStr">
        <is>
          <t>LWC Developer</t>
        </is>
      </c>
      <c r="E660" s="11" t="inlineStr">
        <is>
          <t>Salesforce Platform</t>
        </is>
      </c>
      <c r="F660" s="11" t="inlineStr">
        <is>
          <t>Intermediate</t>
        </is>
      </c>
      <c r="G660" s="21" t="inlineStr">
        <is>
          <t>Medium</t>
        </is>
      </c>
      <c r="H660" s="23">
        <f>VLOOKUP(F660,'Internal Cost Model'!$B$6:$F$15,5,FALSE)</f>
        <v/>
      </c>
      <c r="I660" s="24">
        <f>H660*VLOOKUP(G660,Assumptions!$B$43:$C$45,2,FALSE)</f>
        <v/>
      </c>
      <c r="J660" s="25">
        <f>VLOOKUP(F660,Assumptions!$B$50:$D$59,2,FALSE)*VLOOKUP("SI-T1",Assumptions!$B$27:$C$31,2,FALSE)*VLOOKUP(G660,Assumptions!$B$43:$C$45,2,FALSE)</f>
        <v/>
      </c>
    </row>
    <row r="661">
      <c r="B661" s="7" t="inlineStr">
        <is>
          <t>RC-0656</t>
        </is>
      </c>
      <c r="C661" s="11" t="inlineStr">
        <is>
          <t>Integration</t>
        </is>
      </c>
      <c r="D661" s="7" t="inlineStr">
        <is>
          <t>MuleSoft Architect</t>
        </is>
      </c>
      <c r="E661" s="11" t="inlineStr">
        <is>
          <t>MuleSoft</t>
        </is>
      </c>
      <c r="F661" s="11" t="inlineStr">
        <is>
          <t>Director</t>
        </is>
      </c>
      <c r="G661" s="21" t="inlineStr">
        <is>
          <t>High</t>
        </is>
      </c>
      <c r="H661" s="23">
        <f>VLOOKUP(F661,'Internal Cost Model'!$B$6:$F$15,5,FALSE)</f>
        <v/>
      </c>
      <c r="I661" s="24">
        <f>H661*VLOOKUP(G661,Assumptions!$B$43:$C$45,2,FALSE)</f>
        <v/>
      </c>
      <c r="J661" s="25">
        <f>VLOOKUP(F661,Assumptions!$B$50:$D$59,2,FALSE)*VLOOKUP("SI-T1",Assumptions!$B$27:$C$31,2,FALSE)*VLOOKUP(G661,Assumptions!$B$43:$C$45,2,FALSE)</f>
        <v/>
      </c>
    </row>
    <row r="662">
      <c r="B662" s="7" t="inlineStr">
        <is>
          <t>RC-0657</t>
        </is>
      </c>
      <c r="C662" s="11" t="inlineStr">
        <is>
          <t>Integration</t>
        </is>
      </c>
      <c r="D662" s="7" t="inlineStr">
        <is>
          <t>MuleSoft Architect</t>
        </is>
      </c>
      <c r="E662" s="11" t="inlineStr">
        <is>
          <t>MuleSoft</t>
        </is>
      </c>
      <c r="F662" s="11" t="inlineStr">
        <is>
          <t>Senior Manager</t>
        </is>
      </c>
      <c r="G662" s="21" t="inlineStr">
        <is>
          <t>High</t>
        </is>
      </c>
      <c r="H662" s="23">
        <f>VLOOKUP(F662,'Internal Cost Model'!$B$6:$F$15,5,FALSE)</f>
        <v/>
      </c>
      <c r="I662" s="24">
        <f>H662*VLOOKUP(G662,Assumptions!$B$43:$C$45,2,FALSE)</f>
        <v/>
      </c>
      <c r="J662" s="25">
        <f>VLOOKUP(F662,Assumptions!$B$50:$D$59,2,FALSE)*VLOOKUP("SI-T1",Assumptions!$B$27:$C$31,2,FALSE)*VLOOKUP(G662,Assumptions!$B$43:$C$45,2,FALSE)</f>
        <v/>
      </c>
    </row>
    <row r="663">
      <c r="B663" s="7" t="inlineStr">
        <is>
          <t>RC-0658</t>
        </is>
      </c>
      <c r="C663" s="11" t="inlineStr">
        <is>
          <t>Integration</t>
        </is>
      </c>
      <c r="D663" s="7" t="inlineStr">
        <is>
          <t>MuleSoft Architect</t>
        </is>
      </c>
      <c r="E663" s="11" t="inlineStr">
        <is>
          <t>MuleSoft</t>
        </is>
      </c>
      <c r="F663" s="11" t="inlineStr">
        <is>
          <t>Manager</t>
        </is>
      </c>
      <c r="G663" s="21" t="inlineStr">
        <is>
          <t>High</t>
        </is>
      </c>
      <c r="H663" s="23">
        <f>VLOOKUP(F663,'Internal Cost Model'!$B$6:$F$15,5,FALSE)</f>
        <v/>
      </c>
      <c r="I663" s="24">
        <f>H663*VLOOKUP(G663,Assumptions!$B$43:$C$45,2,FALSE)</f>
        <v/>
      </c>
      <c r="J663" s="25">
        <f>VLOOKUP(F663,Assumptions!$B$50:$D$59,2,FALSE)*VLOOKUP("SI-T1",Assumptions!$B$27:$C$31,2,FALSE)*VLOOKUP(G663,Assumptions!$B$43:$C$45,2,FALSE)</f>
        <v/>
      </c>
    </row>
    <row r="664">
      <c r="B664" s="7" t="inlineStr">
        <is>
          <t>RC-0659</t>
        </is>
      </c>
      <c r="C664" s="11" t="inlineStr">
        <is>
          <t>Integration</t>
        </is>
      </c>
      <c r="D664" s="7" t="inlineStr">
        <is>
          <t>MuleSoft Architect</t>
        </is>
      </c>
      <c r="E664" s="11" t="inlineStr">
        <is>
          <t>MuleSoft</t>
        </is>
      </c>
      <c r="F664" s="11" t="inlineStr">
        <is>
          <t>Lead</t>
        </is>
      </c>
      <c r="G664" s="21" t="inlineStr">
        <is>
          <t>High</t>
        </is>
      </c>
      <c r="H664" s="23">
        <f>VLOOKUP(F664,'Internal Cost Model'!$B$6:$F$15,5,FALSE)</f>
        <v/>
      </c>
      <c r="I664" s="24">
        <f>H664*VLOOKUP(G664,Assumptions!$B$43:$C$45,2,FALSE)</f>
        <v/>
      </c>
      <c r="J664" s="25">
        <f>VLOOKUP(F664,Assumptions!$B$50:$D$59,2,FALSE)*VLOOKUP("SI-T1",Assumptions!$B$27:$C$31,2,FALSE)*VLOOKUP(G664,Assumptions!$B$43:$C$45,2,FALSE)</f>
        <v/>
      </c>
    </row>
    <row r="665">
      <c r="B665" s="7" t="inlineStr">
        <is>
          <t>RC-0660</t>
        </is>
      </c>
      <c r="C665" s="11" t="inlineStr">
        <is>
          <t>Integration</t>
        </is>
      </c>
      <c r="D665" s="7" t="inlineStr">
        <is>
          <t>MuleSoft Developer</t>
        </is>
      </c>
      <c r="E665" s="11" t="inlineStr">
        <is>
          <t>MuleSoft</t>
        </is>
      </c>
      <c r="F665" s="11" t="inlineStr">
        <is>
          <t>Senior</t>
        </is>
      </c>
      <c r="G665" s="21" t="inlineStr">
        <is>
          <t>High</t>
        </is>
      </c>
      <c r="H665" s="23">
        <f>VLOOKUP(F665,'Internal Cost Model'!$B$6:$F$15,5,FALSE)</f>
        <v/>
      </c>
      <c r="I665" s="24">
        <f>H665*VLOOKUP(G665,Assumptions!$B$43:$C$45,2,FALSE)</f>
        <v/>
      </c>
      <c r="J665" s="25">
        <f>VLOOKUP(F665,Assumptions!$B$50:$D$59,2,FALSE)*VLOOKUP("SI-T1",Assumptions!$B$27:$C$31,2,FALSE)*VLOOKUP(G665,Assumptions!$B$43:$C$45,2,FALSE)</f>
        <v/>
      </c>
    </row>
    <row r="666">
      <c r="B666" s="7" t="inlineStr">
        <is>
          <t>RC-0661</t>
        </is>
      </c>
      <c r="C666" s="11" t="inlineStr">
        <is>
          <t>Integration</t>
        </is>
      </c>
      <c r="D666" s="7" t="inlineStr">
        <is>
          <t>MuleSoft Developer</t>
        </is>
      </c>
      <c r="E666" s="11" t="inlineStr">
        <is>
          <t>MuleSoft</t>
        </is>
      </c>
      <c r="F666" s="11" t="inlineStr">
        <is>
          <t>Intermediate</t>
        </is>
      </c>
      <c r="G666" s="21" t="inlineStr">
        <is>
          <t>High</t>
        </is>
      </c>
      <c r="H666" s="23">
        <f>VLOOKUP(F666,'Internal Cost Model'!$B$6:$F$15,5,FALSE)</f>
        <v/>
      </c>
      <c r="I666" s="24">
        <f>H666*VLOOKUP(G666,Assumptions!$B$43:$C$45,2,FALSE)</f>
        <v/>
      </c>
      <c r="J666" s="25">
        <f>VLOOKUP(F666,Assumptions!$B$50:$D$59,2,FALSE)*VLOOKUP("SI-T1",Assumptions!$B$27:$C$31,2,FALSE)*VLOOKUP(G666,Assumptions!$B$43:$C$45,2,FALSE)</f>
        <v/>
      </c>
    </row>
    <row r="667">
      <c r="B667" s="7" t="inlineStr">
        <is>
          <t>RC-0662</t>
        </is>
      </c>
      <c r="C667" s="11" t="inlineStr">
        <is>
          <t>Integration</t>
        </is>
      </c>
      <c r="D667" s="7" t="inlineStr">
        <is>
          <t>Kafka Engineer</t>
        </is>
      </c>
      <c r="E667" s="11" t="inlineStr">
        <is>
          <t>Event Streaming</t>
        </is>
      </c>
      <c r="F667" s="11" t="inlineStr">
        <is>
          <t>Lead</t>
        </is>
      </c>
      <c r="G667" s="21" t="inlineStr">
        <is>
          <t>High</t>
        </is>
      </c>
      <c r="H667" s="23">
        <f>VLOOKUP(F667,'Internal Cost Model'!$B$6:$F$15,5,FALSE)</f>
        <v/>
      </c>
      <c r="I667" s="24">
        <f>H667*VLOOKUP(G667,Assumptions!$B$43:$C$45,2,FALSE)</f>
        <v/>
      </c>
      <c r="J667" s="25">
        <f>VLOOKUP(F667,Assumptions!$B$50:$D$59,2,FALSE)*VLOOKUP("SI-T1",Assumptions!$B$27:$C$31,2,FALSE)*VLOOKUP(G667,Assumptions!$B$43:$C$45,2,FALSE)</f>
        <v/>
      </c>
    </row>
    <row r="668">
      <c r="B668" s="7" t="inlineStr">
        <is>
          <t>RC-0663</t>
        </is>
      </c>
      <c r="C668" s="11" t="inlineStr">
        <is>
          <t>Integration</t>
        </is>
      </c>
      <c r="D668" s="7" t="inlineStr">
        <is>
          <t>Kafka Engineer</t>
        </is>
      </c>
      <c r="E668" s="11" t="inlineStr">
        <is>
          <t>Event Streaming</t>
        </is>
      </c>
      <c r="F668" s="11" t="inlineStr">
        <is>
          <t>Senior</t>
        </is>
      </c>
      <c r="G668" s="21" t="inlineStr">
        <is>
          <t>High</t>
        </is>
      </c>
      <c r="H668" s="23">
        <f>VLOOKUP(F668,'Internal Cost Model'!$B$6:$F$15,5,FALSE)</f>
        <v/>
      </c>
      <c r="I668" s="24">
        <f>H668*VLOOKUP(G668,Assumptions!$B$43:$C$45,2,FALSE)</f>
        <v/>
      </c>
      <c r="J668" s="25">
        <f>VLOOKUP(F668,Assumptions!$B$50:$D$59,2,FALSE)*VLOOKUP("SI-T1",Assumptions!$B$27:$C$31,2,FALSE)*VLOOKUP(G668,Assumptions!$B$43:$C$45,2,FALSE)</f>
        <v/>
      </c>
    </row>
    <row r="669">
      <c r="B669" s="7" t="inlineStr">
        <is>
          <t>RC-0664</t>
        </is>
      </c>
      <c r="C669" s="11" t="inlineStr">
        <is>
          <t>Integration</t>
        </is>
      </c>
      <c r="D669" s="7" t="inlineStr">
        <is>
          <t>EDI Specialist</t>
        </is>
      </c>
      <c r="E669" s="11" t="inlineStr">
        <is>
          <t>ESB / Middleware</t>
        </is>
      </c>
      <c r="F669" s="11" t="inlineStr">
        <is>
          <t>Senior</t>
        </is>
      </c>
      <c r="G669" s="21" t="inlineStr">
        <is>
          <t>Medium</t>
        </is>
      </c>
      <c r="H669" s="23">
        <f>VLOOKUP(F669,'Internal Cost Model'!$B$6:$F$15,5,FALSE)</f>
        <v/>
      </c>
      <c r="I669" s="24">
        <f>H669*VLOOKUP(G669,Assumptions!$B$43:$C$45,2,FALSE)</f>
        <v/>
      </c>
      <c r="J669" s="25">
        <f>VLOOKUP(F669,Assumptions!$B$50:$D$59,2,FALSE)*VLOOKUP("SI-T1",Assumptions!$B$27:$C$31,2,FALSE)*VLOOKUP(G669,Assumptions!$B$43:$C$45,2,FALSE)</f>
        <v/>
      </c>
    </row>
    <row r="670">
      <c r="B670" s="7" t="inlineStr">
        <is>
          <t>RC-0665</t>
        </is>
      </c>
      <c r="C670" s="11" t="inlineStr">
        <is>
          <t>Integration</t>
        </is>
      </c>
      <c r="D670" s="7" t="inlineStr">
        <is>
          <t>EDI Specialist</t>
        </is>
      </c>
      <c r="E670" s="11" t="inlineStr">
        <is>
          <t>ESB / Middleware</t>
        </is>
      </c>
      <c r="F670" s="11" t="inlineStr">
        <is>
          <t>Intermediate</t>
        </is>
      </c>
      <c r="G670" s="21" t="inlineStr">
        <is>
          <t>Medium</t>
        </is>
      </c>
      <c r="H670" s="23">
        <f>VLOOKUP(F670,'Internal Cost Model'!$B$6:$F$15,5,FALSE)</f>
        <v/>
      </c>
      <c r="I670" s="24">
        <f>H670*VLOOKUP(G670,Assumptions!$B$43:$C$45,2,FALSE)</f>
        <v/>
      </c>
      <c r="J670" s="25">
        <f>VLOOKUP(F670,Assumptions!$B$50:$D$59,2,FALSE)*VLOOKUP("SI-T1",Assumptions!$B$27:$C$31,2,FALSE)*VLOOKUP(G670,Assumptions!$B$43:$C$45,2,FALSE)</f>
        <v/>
      </c>
    </row>
    <row r="671">
      <c r="B671" s="7" t="inlineStr">
        <is>
          <t>RC-0666</t>
        </is>
      </c>
      <c r="C671" s="11" t="inlineStr">
        <is>
          <t>Integration</t>
        </is>
      </c>
      <c r="D671" s="7" t="inlineStr">
        <is>
          <t>API Product Manager</t>
        </is>
      </c>
      <c r="E671" s="11" t="inlineStr">
        <is>
          <t>API Management</t>
        </is>
      </c>
      <c r="F671" s="11" t="inlineStr">
        <is>
          <t>Director</t>
        </is>
      </c>
      <c r="G671" s="21" t="inlineStr">
        <is>
          <t>Medium</t>
        </is>
      </c>
      <c r="H671" s="23">
        <f>VLOOKUP(F671,'Internal Cost Model'!$B$6:$F$15,5,FALSE)</f>
        <v/>
      </c>
      <c r="I671" s="24">
        <f>H671*VLOOKUP(G671,Assumptions!$B$43:$C$45,2,FALSE)</f>
        <v/>
      </c>
      <c r="J671" s="25">
        <f>VLOOKUP(F671,Assumptions!$B$50:$D$59,2,FALSE)*VLOOKUP("SI-T1",Assumptions!$B$27:$C$31,2,FALSE)*VLOOKUP(G671,Assumptions!$B$43:$C$45,2,FALSE)</f>
        <v/>
      </c>
    </row>
    <row r="672">
      <c r="B672" s="7" t="inlineStr">
        <is>
          <t>RC-0667</t>
        </is>
      </c>
      <c r="C672" s="11" t="inlineStr">
        <is>
          <t>Integration</t>
        </is>
      </c>
      <c r="D672" s="7" t="inlineStr">
        <is>
          <t>API Product Manager</t>
        </is>
      </c>
      <c r="E672" s="11" t="inlineStr">
        <is>
          <t>API Management</t>
        </is>
      </c>
      <c r="F672" s="11" t="inlineStr">
        <is>
          <t>Senior Manager</t>
        </is>
      </c>
      <c r="G672" s="21" t="inlineStr">
        <is>
          <t>Medium</t>
        </is>
      </c>
      <c r="H672" s="23">
        <f>VLOOKUP(F672,'Internal Cost Model'!$B$6:$F$15,5,FALSE)</f>
        <v/>
      </c>
      <c r="I672" s="24">
        <f>H672*VLOOKUP(G672,Assumptions!$B$43:$C$45,2,FALSE)</f>
        <v/>
      </c>
      <c r="J672" s="25">
        <f>VLOOKUP(F672,Assumptions!$B$50:$D$59,2,FALSE)*VLOOKUP("SI-T1",Assumptions!$B$27:$C$31,2,FALSE)*VLOOKUP(G672,Assumptions!$B$43:$C$45,2,FALSE)</f>
        <v/>
      </c>
    </row>
    <row r="673">
      <c r="B673" s="7" t="inlineStr">
        <is>
          <t>RC-0668</t>
        </is>
      </c>
      <c r="C673" s="11" t="inlineStr">
        <is>
          <t>ERP</t>
        </is>
      </c>
      <c r="D673" s="7" t="inlineStr">
        <is>
          <t>SAP FICO Consultant</t>
        </is>
      </c>
      <c r="E673" s="11" t="inlineStr">
        <is>
          <t>SAP Finance</t>
        </is>
      </c>
      <c r="F673" s="11" t="inlineStr">
        <is>
          <t>Senior Manager</t>
        </is>
      </c>
      <c r="G673" s="21" t="inlineStr">
        <is>
          <t>High</t>
        </is>
      </c>
      <c r="H673" s="23">
        <f>VLOOKUP(F673,'Internal Cost Model'!$B$6:$F$15,5,FALSE)</f>
        <v/>
      </c>
      <c r="I673" s="24">
        <f>H673*VLOOKUP(G673,Assumptions!$B$43:$C$45,2,FALSE)</f>
        <v/>
      </c>
      <c r="J673" s="25">
        <f>VLOOKUP(F673,Assumptions!$B$50:$D$59,2,FALSE)*VLOOKUP("SI-T1",Assumptions!$B$27:$C$31,2,FALSE)*VLOOKUP(G673,Assumptions!$B$43:$C$45,2,FALSE)</f>
        <v/>
      </c>
    </row>
    <row r="674">
      <c r="B674" s="7" t="inlineStr">
        <is>
          <t>RC-0669</t>
        </is>
      </c>
      <c r="C674" s="11" t="inlineStr">
        <is>
          <t>ERP</t>
        </is>
      </c>
      <c r="D674" s="7" t="inlineStr">
        <is>
          <t>SAP FICO Consultant</t>
        </is>
      </c>
      <c r="E674" s="11" t="inlineStr">
        <is>
          <t>SAP Finance</t>
        </is>
      </c>
      <c r="F674" s="11" t="inlineStr">
        <is>
          <t>Manager</t>
        </is>
      </c>
      <c r="G674" s="21" t="inlineStr">
        <is>
          <t>High</t>
        </is>
      </c>
      <c r="H674" s="23">
        <f>VLOOKUP(F674,'Internal Cost Model'!$B$6:$F$15,5,FALSE)</f>
        <v/>
      </c>
      <c r="I674" s="24">
        <f>H674*VLOOKUP(G674,Assumptions!$B$43:$C$45,2,FALSE)</f>
        <v/>
      </c>
      <c r="J674" s="25">
        <f>VLOOKUP(F674,Assumptions!$B$50:$D$59,2,FALSE)*VLOOKUP("SI-T1",Assumptions!$B$27:$C$31,2,FALSE)*VLOOKUP(G674,Assumptions!$B$43:$C$45,2,FALSE)</f>
        <v/>
      </c>
    </row>
    <row r="675">
      <c r="B675" s="7" t="inlineStr">
        <is>
          <t>RC-0670</t>
        </is>
      </c>
      <c r="C675" s="11" t="inlineStr">
        <is>
          <t>ERP</t>
        </is>
      </c>
      <c r="D675" s="7" t="inlineStr">
        <is>
          <t>SAP FICO Consultant</t>
        </is>
      </c>
      <c r="E675" s="11" t="inlineStr">
        <is>
          <t>SAP Finance</t>
        </is>
      </c>
      <c r="F675" s="11" t="inlineStr">
        <is>
          <t>Lead</t>
        </is>
      </c>
      <c r="G675" s="21" t="inlineStr">
        <is>
          <t>High</t>
        </is>
      </c>
      <c r="H675" s="23">
        <f>VLOOKUP(F675,'Internal Cost Model'!$B$6:$F$15,5,FALSE)</f>
        <v/>
      </c>
      <c r="I675" s="24">
        <f>H675*VLOOKUP(G675,Assumptions!$B$43:$C$45,2,FALSE)</f>
        <v/>
      </c>
      <c r="J675" s="25">
        <f>VLOOKUP(F675,Assumptions!$B$50:$D$59,2,FALSE)*VLOOKUP("SI-T1",Assumptions!$B$27:$C$31,2,FALSE)*VLOOKUP(G675,Assumptions!$B$43:$C$45,2,FALSE)</f>
        <v/>
      </c>
    </row>
    <row r="676">
      <c r="B676" s="7" t="inlineStr">
        <is>
          <t>RC-0671</t>
        </is>
      </c>
      <c r="C676" s="11" t="inlineStr">
        <is>
          <t>ERP</t>
        </is>
      </c>
      <c r="D676" s="7" t="inlineStr">
        <is>
          <t>SAP FICO Consultant</t>
        </is>
      </c>
      <c r="E676" s="11" t="inlineStr">
        <is>
          <t>SAP Finance</t>
        </is>
      </c>
      <c r="F676" s="11" t="inlineStr">
        <is>
          <t>Senior</t>
        </is>
      </c>
      <c r="G676" s="21" t="inlineStr">
        <is>
          <t>High</t>
        </is>
      </c>
      <c r="H676" s="23">
        <f>VLOOKUP(F676,'Internal Cost Model'!$B$6:$F$15,5,FALSE)</f>
        <v/>
      </c>
      <c r="I676" s="24">
        <f>H676*VLOOKUP(G676,Assumptions!$B$43:$C$45,2,FALSE)</f>
        <v/>
      </c>
      <c r="J676" s="25">
        <f>VLOOKUP(F676,Assumptions!$B$50:$D$59,2,FALSE)*VLOOKUP("SI-T1",Assumptions!$B$27:$C$31,2,FALSE)*VLOOKUP(G676,Assumptions!$B$43:$C$45,2,FALSE)</f>
        <v/>
      </c>
    </row>
    <row r="677">
      <c r="B677" s="7" t="inlineStr">
        <is>
          <t>RC-0672</t>
        </is>
      </c>
      <c r="C677" s="11" t="inlineStr">
        <is>
          <t>ERP</t>
        </is>
      </c>
      <c r="D677" s="7" t="inlineStr">
        <is>
          <t>SAP MM Consultant</t>
        </is>
      </c>
      <c r="E677" s="11" t="inlineStr">
        <is>
          <t>SAP Supply Chain</t>
        </is>
      </c>
      <c r="F677" s="11" t="inlineStr">
        <is>
          <t>Senior Manager</t>
        </is>
      </c>
      <c r="G677" s="21" t="inlineStr">
        <is>
          <t>High</t>
        </is>
      </c>
      <c r="H677" s="23">
        <f>VLOOKUP(F677,'Internal Cost Model'!$B$6:$F$15,5,FALSE)</f>
        <v/>
      </c>
      <c r="I677" s="24">
        <f>H677*VLOOKUP(G677,Assumptions!$B$43:$C$45,2,FALSE)</f>
        <v/>
      </c>
      <c r="J677" s="25">
        <f>VLOOKUP(F677,Assumptions!$B$50:$D$59,2,FALSE)*VLOOKUP("SI-T1",Assumptions!$B$27:$C$31,2,FALSE)*VLOOKUP(G677,Assumptions!$B$43:$C$45,2,FALSE)</f>
        <v/>
      </c>
    </row>
    <row r="678">
      <c r="B678" s="7" t="inlineStr">
        <is>
          <t>RC-0673</t>
        </is>
      </c>
      <c r="C678" s="11" t="inlineStr">
        <is>
          <t>ERP</t>
        </is>
      </c>
      <c r="D678" s="7" t="inlineStr">
        <is>
          <t>SAP MM Consultant</t>
        </is>
      </c>
      <c r="E678" s="11" t="inlineStr">
        <is>
          <t>SAP Supply Chain</t>
        </is>
      </c>
      <c r="F678" s="11" t="inlineStr">
        <is>
          <t>Manager</t>
        </is>
      </c>
      <c r="G678" s="21" t="inlineStr">
        <is>
          <t>High</t>
        </is>
      </c>
      <c r="H678" s="23">
        <f>VLOOKUP(F678,'Internal Cost Model'!$B$6:$F$15,5,FALSE)</f>
        <v/>
      </c>
      <c r="I678" s="24">
        <f>H678*VLOOKUP(G678,Assumptions!$B$43:$C$45,2,FALSE)</f>
        <v/>
      </c>
      <c r="J678" s="25">
        <f>VLOOKUP(F678,Assumptions!$B$50:$D$59,2,FALSE)*VLOOKUP("SI-T1",Assumptions!$B$27:$C$31,2,FALSE)*VLOOKUP(G678,Assumptions!$B$43:$C$45,2,FALSE)</f>
        <v/>
      </c>
    </row>
    <row r="679">
      <c r="B679" s="7" t="inlineStr">
        <is>
          <t>RC-0674</t>
        </is>
      </c>
      <c r="C679" s="11" t="inlineStr">
        <is>
          <t>ERP</t>
        </is>
      </c>
      <c r="D679" s="7" t="inlineStr">
        <is>
          <t>SAP MM Consultant</t>
        </is>
      </c>
      <c r="E679" s="11" t="inlineStr">
        <is>
          <t>SAP Supply Chain</t>
        </is>
      </c>
      <c r="F679" s="11" t="inlineStr">
        <is>
          <t>Lead</t>
        </is>
      </c>
      <c r="G679" s="21" t="inlineStr">
        <is>
          <t>High</t>
        </is>
      </c>
      <c r="H679" s="23">
        <f>VLOOKUP(F679,'Internal Cost Model'!$B$6:$F$15,5,FALSE)</f>
        <v/>
      </c>
      <c r="I679" s="24">
        <f>H679*VLOOKUP(G679,Assumptions!$B$43:$C$45,2,FALSE)</f>
        <v/>
      </c>
      <c r="J679" s="25">
        <f>VLOOKUP(F679,Assumptions!$B$50:$D$59,2,FALSE)*VLOOKUP("SI-T1",Assumptions!$B$27:$C$31,2,FALSE)*VLOOKUP(G679,Assumptions!$B$43:$C$45,2,FALSE)</f>
        <v/>
      </c>
    </row>
    <row r="680">
      <c r="B680" s="7" t="inlineStr">
        <is>
          <t>RC-0675</t>
        </is>
      </c>
      <c r="C680" s="11" t="inlineStr">
        <is>
          <t>ERP</t>
        </is>
      </c>
      <c r="D680" s="7" t="inlineStr">
        <is>
          <t>SAP MM Consultant</t>
        </is>
      </c>
      <c r="E680" s="11" t="inlineStr">
        <is>
          <t>SAP Supply Chain</t>
        </is>
      </c>
      <c r="F680" s="11" t="inlineStr">
        <is>
          <t>Senior</t>
        </is>
      </c>
      <c r="G680" s="21" t="inlineStr">
        <is>
          <t>High</t>
        </is>
      </c>
      <c r="H680" s="23">
        <f>VLOOKUP(F680,'Internal Cost Model'!$B$6:$F$15,5,FALSE)</f>
        <v/>
      </c>
      <c r="I680" s="24">
        <f>H680*VLOOKUP(G680,Assumptions!$B$43:$C$45,2,FALSE)</f>
        <v/>
      </c>
      <c r="J680" s="25">
        <f>VLOOKUP(F680,Assumptions!$B$50:$D$59,2,FALSE)*VLOOKUP("SI-T1",Assumptions!$B$27:$C$31,2,FALSE)*VLOOKUP(G680,Assumptions!$B$43:$C$45,2,FALSE)</f>
        <v/>
      </c>
    </row>
    <row r="681">
      <c r="B681" s="7" t="inlineStr">
        <is>
          <t>RC-0676</t>
        </is>
      </c>
      <c r="C681" s="11" t="inlineStr">
        <is>
          <t>ERP</t>
        </is>
      </c>
      <c r="D681" s="7" t="inlineStr">
        <is>
          <t>SAP SD Consultant</t>
        </is>
      </c>
      <c r="E681" s="11" t="inlineStr">
        <is>
          <t>SAP Supply Chain</t>
        </is>
      </c>
      <c r="F681" s="11" t="inlineStr">
        <is>
          <t>Senior Manager</t>
        </is>
      </c>
      <c r="G681" s="21" t="inlineStr">
        <is>
          <t>High</t>
        </is>
      </c>
      <c r="H681" s="23">
        <f>VLOOKUP(F681,'Internal Cost Model'!$B$6:$F$15,5,FALSE)</f>
        <v/>
      </c>
      <c r="I681" s="24">
        <f>H681*VLOOKUP(G681,Assumptions!$B$43:$C$45,2,FALSE)</f>
        <v/>
      </c>
      <c r="J681" s="25">
        <f>VLOOKUP(F681,Assumptions!$B$50:$D$59,2,FALSE)*VLOOKUP("SI-T1",Assumptions!$B$27:$C$31,2,FALSE)*VLOOKUP(G681,Assumptions!$B$43:$C$45,2,FALSE)</f>
        <v/>
      </c>
    </row>
    <row r="682">
      <c r="B682" s="7" t="inlineStr">
        <is>
          <t>RC-0677</t>
        </is>
      </c>
      <c r="C682" s="11" t="inlineStr">
        <is>
          <t>ERP</t>
        </is>
      </c>
      <c r="D682" s="7" t="inlineStr">
        <is>
          <t>SAP SD Consultant</t>
        </is>
      </c>
      <c r="E682" s="11" t="inlineStr">
        <is>
          <t>SAP Supply Chain</t>
        </is>
      </c>
      <c r="F682" s="11" t="inlineStr">
        <is>
          <t>Manager</t>
        </is>
      </c>
      <c r="G682" s="21" t="inlineStr">
        <is>
          <t>High</t>
        </is>
      </c>
      <c r="H682" s="23">
        <f>VLOOKUP(F682,'Internal Cost Model'!$B$6:$F$15,5,FALSE)</f>
        <v/>
      </c>
      <c r="I682" s="24">
        <f>H682*VLOOKUP(G682,Assumptions!$B$43:$C$45,2,FALSE)</f>
        <v/>
      </c>
      <c r="J682" s="25">
        <f>VLOOKUP(F682,Assumptions!$B$50:$D$59,2,FALSE)*VLOOKUP("SI-T1",Assumptions!$B$27:$C$31,2,FALSE)*VLOOKUP(G682,Assumptions!$B$43:$C$45,2,FALSE)</f>
        <v/>
      </c>
    </row>
    <row r="683">
      <c r="B683" s="7" t="inlineStr">
        <is>
          <t>RC-0678</t>
        </is>
      </c>
      <c r="C683" s="11" t="inlineStr">
        <is>
          <t>ERP</t>
        </is>
      </c>
      <c r="D683" s="7" t="inlineStr">
        <is>
          <t>SAP SD Consultant</t>
        </is>
      </c>
      <c r="E683" s="11" t="inlineStr">
        <is>
          <t>SAP Supply Chain</t>
        </is>
      </c>
      <c r="F683" s="11" t="inlineStr">
        <is>
          <t>Lead</t>
        </is>
      </c>
      <c r="G683" s="21" t="inlineStr">
        <is>
          <t>High</t>
        </is>
      </c>
      <c r="H683" s="23">
        <f>VLOOKUP(F683,'Internal Cost Model'!$B$6:$F$15,5,FALSE)</f>
        <v/>
      </c>
      <c r="I683" s="24">
        <f>H683*VLOOKUP(G683,Assumptions!$B$43:$C$45,2,FALSE)</f>
        <v/>
      </c>
      <c r="J683" s="25">
        <f>VLOOKUP(F683,Assumptions!$B$50:$D$59,2,FALSE)*VLOOKUP("SI-T1",Assumptions!$B$27:$C$31,2,FALSE)*VLOOKUP(G683,Assumptions!$B$43:$C$45,2,FALSE)</f>
        <v/>
      </c>
    </row>
    <row r="684">
      <c r="B684" s="7" t="inlineStr">
        <is>
          <t>RC-0679</t>
        </is>
      </c>
      <c r="C684" s="11" t="inlineStr">
        <is>
          <t>ERP</t>
        </is>
      </c>
      <c r="D684" s="7" t="inlineStr">
        <is>
          <t>SAP SD Consultant</t>
        </is>
      </c>
      <c r="E684" s="11" t="inlineStr">
        <is>
          <t>SAP Supply Chain</t>
        </is>
      </c>
      <c r="F684" s="11" t="inlineStr">
        <is>
          <t>Senior</t>
        </is>
      </c>
      <c r="G684" s="21" t="inlineStr">
        <is>
          <t>High</t>
        </is>
      </c>
      <c r="H684" s="23">
        <f>VLOOKUP(F684,'Internal Cost Model'!$B$6:$F$15,5,FALSE)</f>
        <v/>
      </c>
      <c r="I684" s="24">
        <f>H684*VLOOKUP(G684,Assumptions!$B$43:$C$45,2,FALSE)</f>
        <v/>
      </c>
      <c r="J684" s="25">
        <f>VLOOKUP(F684,Assumptions!$B$50:$D$59,2,FALSE)*VLOOKUP("SI-T1",Assumptions!$B$27:$C$31,2,FALSE)*VLOOKUP(G684,Assumptions!$B$43:$C$45,2,FALSE)</f>
        <v/>
      </c>
    </row>
    <row r="685">
      <c r="B685" s="7" t="inlineStr">
        <is>
          <t>RC-0680</t>
        </is>
      </c>
      <c r="C685" s="11" t="inlineStr">
        <is>
          <t>ERP</t>
        </is>
      </c>
      <c r="D685" s="7" t="inlineStr">
        <is>
          <t>SAP PP Consultant</t>
        </is>
      </c>
      <c r="E685" s="11" t="inlineStr">
        <is>
          <t>SAP Supply Chain</t>
        </is>
      </c>
      <c r="F685" s="11" t="inlineStr">
        <is>
          <t>Senior Manager</t>
        </is>
      </c>
      <c r="G685" s="21" t="inlineStr">
        <is>
          <t>Medium</t>
        </is>
      </c>
      <c r="H685" s="23">
        <f>VLOOKUP(F685,'Internal Cost Model'!$B$6:$F$15,5,FALSE)</f>
        <v/>
      </c>
      <c r="I685" s="24">
        <f>H685*VLOOKUP(G685,Assumptions!$B$43:$C$45,2,FALSE)</f>
        <v/>
      </c>
      <c r="J685" s="25">
        <f>VLOOKUP(F685,Assumptions!$B$50:$D$59,2,FALSE)*VLOOKUP("SI-T1",Assumptions!$B$27:$C$31,2,FALSE)*VLOOKUP(G685,Assumptions!$B$43:$C$45,2,FALSE)</f>
        <v/>
      </c>
    </row>
    <row r="686">
      <c r="B686" s="7" t="inlineStr">
        <is>
          <t>RC-0681</t>
        </is>
      </c>
      <c r="C686" s="11" t="inlineStr">
        <is>
          <t>ERP</t>
        </is>
      </c>
      <c r="D686" s="7" t="inlineStr">
        <is>
          <t>SAP PP Consultant</t>
        </is>
      </c>
      <c r="E686" s="11" t="inlineStr">
        <is>
          <t>SAP Supply Chain</t>
        </is>
      </c>
      <c r="F686" s="11" t="inlineStr">
        <is>
          <t>Manager</t>
        </is>
      </c>
      <c r="G686" s="21" t="inlineStr">
        <is>
          <t>Medium</t>
        </is>
      </c>
      <c r="H686" s="23">
        <f>VLOOKUP(F686,'Internal Cost Model'!$B$6:$F$15,5,FALSE)</f>
        <v/>
      </c>
      <c r="I686" s="24">
        <f>H686*VLOOKUP(G686,Assumptions!$B$43:$C$45,2,FALSE)</f>
        <v/>
      </c>
      <c r="J686" s="25">
        <f>VLOOKUP(F686,Assumptions!$B$50:$D$59,2,FALSE)*VLOOKUP("SI-T1",Assumptions!$B$27:$C$31,2,FALSE)*VLOOKUP(G686,Assumptions!$B$43:$C$45,2,FALSE)</f>
        <v/>
      </c>
    </row>
    <row r="687">
      <c r="B687" s="7" t="inlineStr">
        <is>
          <t>RC-0682</t>
        </is>
      </c>
      <c r="C687" s="11" t="inlineStr">
        <is>
          <t>ERP</t>
        </is>
      </c>
      <c r="D687" s="7" t="inlineStr">
        <is>
          <t>SAP PP Consultant</t>
        </is>
      </c>
      <c r="E687" s="11" t="inlineStr">
        <is>
          <t>SAP Supply Chain</t>
        </is>
      </c>
      <c r="F687" s="11" t="inlineStr">
        <is>
          <t>Lead</t>
        </is>
      </c>
      <c r="G687" s="21" t="inlineStr">
        <is>
          <t>Medium</t>
        </is>
      </c>
      <c r="H687" s="23">
        <f>VLOOKUP(F687,'Internal Cost Model'!$B$6:$F$15,5,FALSE)</f>
        <v/>
      </c>
      <c r="I687" s="24">
        <f>H687*VLOOKUP(G687,Assumptions!$B$43:$C$45,2,FALSE)</f>
        <v/>
      </c>
      <c r="J687" s="25">
        <f>VLOOKUP(F687,Assumptions!$B$50:$D$59,2,FALSE)*VLOOKUP("SI-T1",Assumptions!$B$27:$C$31,2,FALSE)*VLOOKUP(G687,Assumptions!$B$43:$C$45,2,FALSE)</f>
        <v/>
      </c>
    </row>
    <row r="688">
      <c r="B688" s="7" t="inlineStr">
        <is>
          <t>RC-0683</t>
        </is>
      </c>
      <c r="C688" s="11" t="inlineStr">
        <is>
          <t>ERP</t>
        </is>
      </c>
      <c r="D688" s="7" t="inlineStr">
        <is>
          <t>SAP PP Consultant</t>
        </is>
      </c>
      <c r="E688" s="11" t="inlineStr">
        <is>
          <t>SAP Supply Chain</t>
        </is>
      </c>
      <c r="F688" s="11" t="inlineStr">
        <is>
          <t>Senior</t>
        </is>
      </c>
      <c r="G688" s="21" t="inlineStr">
        <is>
          <t>Medium</t>
        </is>
      </c>
      <c r="H688" s="23">
        <f>VLOOKUP(F688,'Internal Cost Model'!$B$6:$F$15,5,FALSE)</f>
        <v/>
      </c>
      <c r="I688" s="24">
        <f>H688*VLOOKUP(G688,Assumptions!$B$43:$C$45,2,FALSE)</f>
        <v/>
      </c>
      <c r="J688" s="25">
        <f>VLOOKUP(F688,Assumptions!$B$50:$D$59,2,FALSE)*VLOOKUP("SI-T1",Assumptions!$B$27:$C$31,2,FALSE)*VLOOKUP(G688,Assumptions!$B$43:$C$45,2,FALSE)</f>
        <v/>
      </c>
    </row>
    <row r="689">
      <c r="B689" s="7" t="inlineStr">
        <is>
          <t>RC-0684</t>
        </is>
      </c>
      <c r="C689" s="11" t="inlineStr">
        <is>
          <t>ERP</t>
        </is>
      </c>
      <c r="D689" s="7" t="inlineStr">
        <is>
          <t>SAP EWM Consultant</t>
        </is>
      </c>
      <c r="E689" s="11" t="inlineStr">
        <is>
          <t>SAP Supply Chain</t>
        </is>
      </c>
      <c r="F689" s="11" t="inlineStr">
        <is>
          <t>Senior Manager</t>
        </is>
      </c>
      <c r="G689" s="21" t="inlineStr">
        <is>
          <t>Medium</t>
        </is>
      </c>
      <c r="H689" s="23">
        <f>VLOOKUP(F689,'Internal Cost Model'!$B$6:$F$15,5,FALSE)</f>
        <v/>
      </c>
      <c r="I689" s="24">
        <f>H689*VLOOKUP(G689,Assumptions!$B$43:$C$45,2,FALSE)</f>
        <v/>
      </c>
      <c r="J689" s="25">
        <f>VLOOKUP(F689,Assumptions!$B$50:$D$59,2,FALSE)*VLOOKUP("SI-T1",Assumptions!$B$27:$C$31,2,FALSE)*VLOOKUP(G689,Assumptions!$B$43:$C$45,2,FALSE)</f>
        <v/>
      </c>
    </row>
    <row r="690">
      <c r="B690" s="7" t="inlineStr">
        <is>
          <t>RC-0685</t>
        </is>
      </c>
      <c r="C690" s="11" t="inlineStr">
        <is>
          <t>ERP</t>
        </is>
      </c>
      <c r="D690" s="7" t="inlineStr">
        <is>
          <t>SAP EWM Consultant</t>
        </is>
      </c>
      <c r="E690" s="11" t="inlineStr">
        <is>
          <t>SAP Supply Chain</t>
        </is>
      </c>
      <c r="F690" s="11" t="inlineStr">
        <is>
          <t>Manager</t>
        </is>
      </c>
      <c r="G690" s="21" t="inlineStr">
        <is>
          <t>Medium</t>
        </is>
      </c>
      <c r="H690" s="23">
        <f>VLOOKUP(F690,'Internal Cost Model'!$B$6:$F$15,5,FALSE)</f>
        <v/>
      </c>
      <c r="I690" s="24">
        <f>H690*VLOOKUP(G690,Assumptions!$B$43:$C$45,2,FALSE)</f>
        <v/>
      </c>
      <c r="J690" s="25">
        <f>VLOOKUP(F690,Assumptions!$B$50:$D$59,2,FALSE)*VLOOKUP("SI-T1",Assumptions!$B$27:$C$31,2,FALSE)*VLOOKUP(G690,Assumptions!$B$43:$C$45,2,FALSE)</f>
        <v/>
      </c>
    </row>
    <row r="691">
      <c r="B691" s="7" t="inlineStr">
        <is>
          <t>RC-0686</t>
        </is>
      </c>
      <c r="C691" s="11" t="inlineStr">
        <is>
          <t>ERP</t>
        </is>
      </c>
      <c r="D691" s="7" t="inlineStr">
        <is>
          <t>SAP EWM Consultant</t>
        </is>
      </c>
      <c r="E691" s="11" t="inlineStr">
        <is>
          <t>SAP Supply Chain</t>
        </is>
      </c>
      <c r="F691" s="11" t="inlineStr">
        <is>
          <t>Lead</t>
        </is>
      </c>
      <c r="G691" s="21" t="inlineStr">
        <is>
          <t>Medium</t>
        </is>
      </c>
      <c r="H691" s="23">
        <f>VLOOKUP(F691,'Internal Cost Model'!$B$6:$F$15,5,FALSE)</f>
        <v/>
      </c>
      <c r="I691" s="24">
        <f>H691*VLOOKUP(G691,Assumptions!$B$43:$C$45,2,FALSE)</f>
        <v/>
      </c>
      <c r="J691" s="25">
        <f>VLOOKUP(F691,Assumptions!$B$50:$D$59,2,FALSE)*VLOOKUP("SI-T1",Assumptions!$B$27:$C$31,2,FALSE)*VLOOKUP(G691,Assumptions!$B$43:$C$45,2,FALSE)</f>
        <v/>
      </c>
    </row>
    <row r="692">
      <c r="B692" s="7" t="inlineStr">
        <is>
          <t>RC-0687</t>
        </is>
      </c>
      <c r="C692" s="11" t="inlineStr">
        <is>
          <t>ERP</t>
        </is>
      </c>
      <c r="D692" s="7" t="inlineStr">
        <is>
          <t>SAP EWM Consultant</t>
        </is>
      </c>
      <c r="E692" s="11" t="inlineStr">
        <is>
          <t>SAP Supply Chain</t>
        </is>
      </c>
      <c r="F692" s="11" t="inlineStr">
        <is>
          <t>Senior</t>
        </is>
      </c>
      <c r="G692" s="21" t="inlineStr">
        <is>
          <t>Medium</t>
        </is>
      </c>
      <c r="H692" s="23">
        <f>VLOOKUP(F692,'Internal Cost Model'!$B$6:$F$15,5,FALSE)</f>
        <v/>
      </c>
      <c r="I692" s="24">
        <f>H692*VLOOKUP(G692,Assumptions!$B$43:$C$45,2,FALSE)</f>
        <v/>
      </c>
      <c r="J692" s="25">
        <f>VLOOKUP(F692,Assumptions!$B$50:$D$59,2,FALSE)*VLOOKUP("SI-T1",Assumptions!$B$27:$C$31,2,FALSE)*VLOOKUP(G692,Assumptions!$B$43:$C$45,2,FALSE)</f>
        <v/>
      </c>
    </row>
    <row r="693">
      <c r="B693" s="7" t="inlineStr">
        <is>
          <t>RC-0688</t>
        </is>
      </c>
      <c r="C693" s="11" t="inlineStr">
        <is>
          <t>ERP</t>
        </is>
      </c>
      <c r="D693" s="7" t="inlineStr">
        <is>
          <t>SAP ABAP Developer</t>
        </is>
      </c>
      <c r="E693" s="11" t="inlineStr">
        <is>
          <t>SAP ABAP &amp; Fiori</t>
        </is>
      </c>
      <c r="F693" s="11" t="inlineStr">
        <is>
          <t>Senior</t>
        </is>
      </c>
      <c r="G693" s="21" t="inlineStr">
        <is>
          <t>Medium</t>
        </is>
      </c>
      <c r="H693" s="23">
        <f>VLOOKUP(F693,'Internal Cost Model'!$B$6:$F$15,5,FALSE)</f>
        <v/>
      </c>
      <c r="I693" s="24">
        <f>H693*VLOOKUP(G693,Assumptions!$B$43:$C$45,2,FALSE)</f>
        <v/>
      </c>
      <c r="J693" s="25">
        <f>VLOOKUP(F693,Assumptions!$B$50:$D$59,2,FALSE)*VLOOKUP("SI-T1",Assumptions!$B$27:$C$31,2,FALSE)*VLOOKUP(G693,Assumptions!$B$43:$C$45,2,FALSE)</f>
        <v/>
      </c>
    </row>
    <row r="694">
      <c r="B694" s="7" t="inlineStr">
        <is>
          <t>RC-0689</t>
        </is>
      </c>
      <c r="C694" s="11" t="inlineStr">
        <is>
          <t>ERP</t>
        </is>
      </c>
      <c r="D694" s="7" t="inlineStr">
        <is>
          <t>SAP ABAP Developer</t>
        </is>
      </c>
      <c r="E694" s="11" t="inlineStr">
        <is>
          <t>SAP ABAP &amp; Fiori</t>
        </is>
      </c>
      <c r="F694" s="11" t="inlineStr">
        <is>
          <t>Intermediate</t>
        </is>
      </c>
      <c r="G694" s="21" t="inlineStr">
        <is>
          <t>Medium</t>
        </is>
      </c>
      <c r="H694" s="23">
        <f>VLOOKUP(F694,'Internal Cost Model'!$B$6:$F$15,5,FALSE)</f>
        <v/>
      </c>
      <c r="I694" s="24">
        <f>H694*VLOOKUP(G694,Assumptions!$B$43:$C$45,2,FALSE)</f>
        <v/>
      </c>
      <c r="J694" s="25">
        <f>VLOOKUP(F694,Assumptions!$B$50:$D$59,2,FALSE)*VLOOKUP("SI-T1",Assumptions!$B$27:$C$31,2,FALSE)*VLOOKUP(G694,Assumptions!$B$43:$C$45,2,FALSE)</f>
        <v/>
      </c>
    </row>
    <row r="695">
      <c r="B695" s="7" t="inlineStr">
        <is>
          <t>RC-0690</t>
        </is>
      </c>
      <c r="C695" s="11" t="inlineStr">
        <is>
          <t>ERP</t>
        </is>
      </c>
      <c r="D695" s="7" t="inlineStr">
        <is>
          <t>SAP Fiori Developer</t>
        </is>
      </c>
      <c r="E695" s="11" t="inlineStr">
        <is>
          <t>SAP ABAP &amp; Fiori</t>
        </is>
      </c>
      <c r="F695" s="11" t="inlineStr">
        <is>
          <t>Senior</t>
        </is>
      </c>
      <c r="G695" s="21" t="inlineStr">
        <is>
          <t>Medium</t>
        </is>
      </c>
      <c r="H695" s="23">
        <f>VLOOKUP(F695,'Internal Cost Model'!$B$6:$F$15,5,FALSE)</f>
        <v/>
      </c>
      <c r="I695" s="24">
        <f>H695*VLOOKUP(G695,Assumptions!$B$43:$C$45,2,FALSE)</f>
        <v/>
      </c>
      <c r="J695" s="25">
        <f>VLOOKUP(F695,Assumptions!$B$50:$D$59,2,FALSE)*VLOOKUP("SI-T1",Assumptions!$B$27:$C$31,2,FALSE)*VLOOKUP(G695,Assumptions!$B$43:$C$45,2,FALSE)</f>
        <v/>
      </c>
    </row>
    <row r="696">
      <c r="B696" s="7" t="inlineStr">
        <is>
          <t>RC-0691</t>
        </is>
      </c>
      <c r="C696" s="11" t="inlineStr">
        <is>
          <t>ERP</t>
        </is>
      </c>
      <c r="D696" s="7" t="inlineStr">
        <is>
          <t>SAP Fiori Developer</t>
        </is>
      </c>
      <c r="E696" s="11" t="inlineStr">
        <is>
          <t>SAP ABAP &amp; Fiori</t>
        </is>
      </c>
      <c r="F696" s="11" t="inlineStr">
        <is>
          <t>Intermediate</t>
        </is>
      </c>
      <c r="G696" s="21" t="inlineStr">
        <is>
          <t>Medium</t>
        </is>
      </c>
      <c r="H696" s="23">
        <f>VLOOKUP(F696,'Internal Cost Model'!$B$6:$F$15,5,FALSE)</f>
        <v/>
      </c>
      <c r="I696" s="24">
        <f>H696*VLOOKUP(G696,Assumptions!$B$43:$C$45,2,FALSE)</f>
        <v/>
      </c>
      <c r="J696" s="25">
        <f>VLOOKUP(F696,Assumptions!$B$50:$D$59,2,FALSE)*VLOOKUP("SI-T1",Assumptions!$B$27:$C$31,2,FALSE)*VLOOKUP(G696,Assumptions!$B$43:$C$45,2,FALSE)</f>
        <v/>
      </c>
    </row>
    <row r="697">
      <c r="B697" s="7" t="inlineStr">
        <is>
          <t>RC-0692</t>
        </is>
      </c>
      <c r="C697" s="11" t="inlineStr">
        <is>
          <t>ERP</t>
        </is>
      </c>
      <c r="D697" s="7" t="inlineStr">
        <is>
          <t>SAP BTP Architect</t>
        </is>
      </c>
      <c r="E697" s="11" t="inlineStr">
        <is>
          <t>SAP BTP &amp; Integration</t>
        </is>
      </c>
      <c r="F697" s="11" t="inlineStr">
        <is>
          <t>Director</t>
        </is>
      </c>
      <c r="G697" s="21" t="inlineStr">
        <is>
          <t>High</t>
        </is>
      </c>
      <c r="H697" s="23">
        <f>VLOOKUP(F697,'Internal Cost Model'!$B$6:$F$15,5,FALSE)</f>
        <v/>
      </c>
      <c r="I697" s="24">
        <f>H697*VLOOKUP(G697,Assumptions!$B$43:$C$45,2,FALSE)</f>
        <v/>
      </c>
      <c r="J697" s="25">
        <f>VLOOKUP(F697,Assumptions!$B$50:$D$59,2,FALSE)*VLOOKUP("SI-T1",Assumptions!$B$27:$C$31,2,FALSE)*VLOOKUP(G697,Assumptions!$B$43:$C$45,2,FALSE)</f>
        <v/>
      </c>
    </row>
    <row r="698">
      <c r="B698" s="7" t="inlineStr">
        <is>
          <t>RC-0693</t>
        </is>
      </c>
      <c r="C698" s="11" t="inlineStr">
        <is>
          <t>ERP</t>
        </is>
      </c>
      <c r="D698" s="7" t="inlineStr">
        <is>
          <t>SAP BTP Architect</t>
        </is>
      </c>
      <c r="E698" s="11" t="inlineStr">
        <is>
          <t>SAP BTP &amp; Integration</t>
        </is>
      </c>
      <c r="F698" s="11" t="inlineStr">
        <is>
          <t>Senior Manager</t>
        </is>
      </c>
      <c r="G698" s="21" t="inlineStr">
        <is>
          <t>High</t>
        </is>
      </c>
      <c r="H698" s="23">
        <f>VLOOKUP(F698,'Internal Cost Model'!$B$6:$F$15,5,FALSE)</f>
        <v/>
      </c>
      <c r="I698" s="24">
        <f>H698*VLOOKUP(G698,Assumptions!$B$43:$C$45,2,FALSE)</f>
        <v/>
      </c>
      <c r="J698" s="25">
        <f>VLOOKUP(F698,Assumptions!$B$50:$D$59,2,FALSE)*VLOOKUP("SI-T1",Assumptions!$B$27:$C$31,2,FALSE)*VLOOKUP(G698,Assumptions!$B$43:$C$45,2,FALSE)</f>
        <v/>
      </c>
    </row>
    <row r="699">
      <c r="B699" s="7" t="inlineStr">
        <is>
          <t>RC-0694</t>
        </is>
      </c>
      <c r="C699" s="11" t="inlineStr">
        <is>
          <t>ERP</t>
        </is>
      </c>
      <c r="D699" s="7" t="inlineStr">
        <is>
          <t>SAP BTP Architect</t>
        </is>
      </c>
      <c r="E699" s="11" t="inlineStr">
        <is>
          <t>SAP BTP &amp; Integration</t>
        </is>
      </c>
      <c r="F699" s="11" t="inlineStr">
        <is>
          <t>Manager</t>
        </is>
      </c>
      <c r="G699" s="21" t="inlineStr">
        <is>
          <t>High</t>
        </is>
      </c>
      <c r="H699" s="23">
        <f>VLOOKUP(F699,'Internal Cost Model'!$B$6:$F$15,5,FALSE)</f>
        <v/>
      </c>
      <c r="I699" s="24">
        <f>H699*VLOOKUP(G699,Assumptions!$B$43:$C$45,2,FALSE)</f>
        <v/>
      </c>
      <c r="J699" s="25">
        <f>VLOOKUP(F699,Assumptions!$B$50:$D$59,2,FALSE)*VLOOKUP("SI-T1",Assumptions!$B$27:$C$31,2,FALSE)*VLOOKUP(G699,Assumptions!$B$43:$C$45,2,FALSE)</f>
        <v/>
      </c>
    </row>
    <row r="700">
      <c r="B700" s="7" t="inlineStr">
        <is>
          <t>RC-0695</t>
        </is>
      </c>
      <c r="C700" s="11" t="inlineStr">
        <is>
          <t>ERP</t>
        </is>
      </c>
      <c r="D700" s="7" t="inlineStr">
        <is>
          <t>SAP BTP Architect</t>
        </is>
      </c>
      <c r="E700" s="11" t="inlineStr">
        <is>
          <t>SAP BTP &amp; Integration</t>
        </is>
      </c>
      <c r="F700" s="11" t="inlineStr">
        <is>
          <t>Lead</t>
        </is>
      </c>
      <c r="G700" s="21" t="inlineStr">
        <is>
          <t>High</t>
        </is>
      </c>
      <c r="H700" s="23">
        <f>VLOOKUP(F700,'Internal Cost Model'!$B$6:$F$15,5,FALSE)</f>
        <v/>
      </c>
      <c r="I700" s="24">
        <f>H700*VLOOKUP(G700,Assumptions!$B$43:$C$45,2,FALSE)</f>
        <v/>
      </c>
      <c r="J700" s="25">
        <f>VLOOKUP(F700,Assumptions!$B$50:$D$59,2,FALSE)*VLOOKUP("SI-T1",Assumptions!$B$27:$C$31,2,FALSE)*VLOOKUP(G700,Assumptions!$B$43:$C$45,2,FALSE)</f>
        <v/>
      </c>
    </row>
    <row r="701">
      <c r="B701" s="7" t="inlineStr">
        <is>
          <t>RC-0696</t>
        </is>
      </c>
      <c r="C701" s="11" t="inlineStr">
        <is>
          <t>ERP</t>
        </is>
      </c>
      <c r="D701" s="7" t="inlineStr">
        <is>
          <t>SAP CPI Consultant</t>
        </is>
      </c>
      <c r="E701" s="11" t="inlineStr">
        <is>
          <t>SAP BTP &amp; Integration</t>
        </is>
      </c>
      <c r="F701" s="11" t="inlineStr">
        <is>
          <t>Senior Manager</t>
        </is>
      </c>
      <c r="G701" s="21" t="inlineStr">
        <is>
          <t>Medium</t>
        </is>
      </c>
      <c r="H701" s="23">
        <f>VLOOKUP(F701,'Internal Cost Model'!$B$6:$F$15,5,FALSE)</f>
        <v/>
      </c>
      <c r="I701" s="24">
        <f>H701*VLOOKUP(G701,Assumptions!$B$43:$C$45,2,FALSE)</f>
        <v/>
      </c>
      <c r="J701" s="25">
        <f>VLOOKUP(F701,Assumptions!$B$50:$D$59,2,FALSE)*VLOOKUP("SI-T1",Assumptions!$B$27:$C$31,2,FALSE)*VLOOKUP(G701,Assumptions!$B$43:$C$45,2,FALSE)</f>
        <v/>
      </c>
    </row>
    <row r="702">
      <c r="B702" s="7" t="inlineStr">
        <is>
          <t>RC-0697</t>
        </is>
      </c>
      <c r="C702" s="11" t="inlineStr">
        <is>
          <t>ERP</t>
        </is>
      </c>
      <c r="D702" s="7" t="inlineStr">
        <is>
          <t>SAP CPI Consultant</t>
        </is>
      </c>
      <c r="E702" s="11" t="inlineStr">
        <is>
          <t>SAP BTP &amp; Integration</t>
        </is>
      </c>
      <c r="F702" s="11" t="inlineStr">
        <is>
          <t>Manager</t>
        </is>
      </c>
      <c r="G702" s="21" t="inlineStr">
        <is>
          <t>Medium</t>
        </is>
      </c>
      <c r="H702" s="23">
        <f>VLOOKUP(F702,'Internal Cost Model'!$B$6:$F$15,5,FALSE)</f>
        <v/>
      </c>
      <c r="I702" s="24">
        <f>H702*VLOOKUP(G702,Assumptions!$B$43:$C$45,2,FALSE)</f>
        <v/>
      </c>
      <c r="J702" s="25">
        <f>VLOOKUP(F702,Assumptions!$B$50:$D$59,2,FALSE)*VLOOKUP("SI-T1",Assumptions!$B$27:$C$31,2,FALSE)*VLOOKUP(G702,Assumptions!$B$43:$C$45,2,FALSE)</f>
        <v/>
      </c>
    </row>
    <row r="703">
      <c r="B703" s="7" t="inlineStr">
        <is>
          <t>RC-0698</t>
        </is>
      </c>
      <c r="C703" s="11" t="inlineStr">
        <is>
          <t>ERP</t>
        </is>
      </c>
      <c r="D703" s="7" t="inlineStr">
        <is>
          <t>SAP CPI Consultant</t>
        </is>
      </c>
      <c r="E703" s="11" t="inlineStr">
        <is>
          <t>SAP BTP &amp; Integration</t>
        </is>
      </c>
      <c r="F703" s="11" t="inlineStr">
        <is>
          <t>Lead</t>
        </is>
      </c>
      <c r="G703" s="21" t="inlineStr">
        <is>
          <t>Medium</t>
        </is>
      </c>
      <c r="H703" s="23">
        <f>VLOOKUP(F703,'Internal Cost Model'!$B$6:$F$15,5,FALSE)</f>
        <v/>
      </c>
      <c r="I703" s="24">
        <f>H703*VLOOKUP(G703,Assumptions!$B$43:$C$45,2,FALSE)</f>
        <v/>
      </c>
      <c r="J703" s="25">
        <f>VLOOKUP(F703,Assumptions!$B$50:$D$59,2,FALSE)*VLOOKUP("SI-T1",Assumptions!$B$27:$C$31,2,FALSE)*VLOOKUP(G703,Assumptions!$B$43:$C$45,2,FALSE)</f>
        <v/>
      </c>
    </row>
    <row r="704">
      <c r="B704" s="7" t="inlineStr">
        <is>
          <t>RC-0699</t>
        </is>
      </c>
      <c r="C704" s="11" t="inlineStr">
        <is>
          <t>ERP</t>
        </is>
      </c>
      <c r="D704" s="7" t="inlineStr">
        <is>
          <t>SAP CPI Consultant</t>
        </is>
      </c>
      <c r="E704" s="11" t="inlineStr">
        <is>
          <t>SAP BTP &amp; Integration</t>
        </is>
      </c>
      <c r="F704" s="11" t="inlineStr">
        <is>
          <t>Senior</t>
        </is>
      </c>
      <c r="G704" s="21" t="inlineStr">
        <is>
          <t>Medium</t>
        </is>
      </c>
      <c r="H704" s="23">
        <f>VLOOKUP(F704,'Internal Cost Model'!$B$6:$F$15,5,FALSE)</f>
        <v/>
      </c>
      <c r="I704" s="24">
        <f>H704*VLOOKUP(G704,Assumptions!$B$43:$C$45,2,FALSE)</f>
        <v/>
      </c>
      <c r="J704" s="25">
        <f>VLOOKUP(F704,Assumptions!$B$50:$D$59,2,FALSE)*VLOOKUP("SI-T1",Assumptions!$B$27:$C$31,2,FALSE)*VLOOKUP(G704,Assumptions!$B$43:$C$45,2,FALSE)</f>
        <v/>
      </c>
    </row>
    <row r="705">
      <c r="B705" s="7" t="inlineStr">
        <is>
          <t>RC-0700</t>
        </is>
      </c>
      <c r="C705" s="11" t="inlineStr">
        <is>
          <t>ERP</t>
        </is>
      </c>
      <c r="D705" s="7" t="inlineStr">
        <is>
          <t>S/4HANA Migration Lead</t>
        </is>
      </c>
      <c r="E705" s="11" t="inlineStr">
        <is>
          <t>SAP S/4HANA</t>
        </is>
      </c>
      <c r="F705" s="11" t="inlineStr">
        <is>
          <t>Director</t>
        </is>
      </c>
      <c r="G705" s="21" t="inlineStr">
        <is>
          <t>High</t>
        </is>
      </c>
      <c r="H705" s="23">
        <f>VLOOKUP(F705,'Internal Cost Model'!$B$6:$F$15,5,FALSE)</f>
        <v/>
      </c>
      <c r="I705" s="24">
        <f>H705*VLOOKUP(G705,Assumptions!$B$43:$C$45,2,FALSE)</f>
        <v/>
      </c>
      <c r="J705" s="25">
        <f>VLOOKUP(F705,Assumptions!$B$50:$D$59,2,FALSE)*VLOOKUP("SI-T1",Assumptions!$B$27:$C$31,2,FALSE)*VLOOKUP(G705,Assumptions!$B$43:$C$45,2,FALSE)</f>
        <v/>
      </c>
    </row>
    <row r="706">
      <c r="B706" s="7" t="inlineStr">
        <is>
          <t>RC-0701</t>
        </is>
      </c>
      <c r="C706" s="11" t="inlineStr">
        <is>
          <t>ERP</t>
        </is>
      </c>
      <c r="D706" s="7" t="inlineStr">
        <is>
          <t>S/4HANA Migration Lead</t>
        </is>
      </c>
      <c r="E706" s="11" t="inlineStr">
        <is>
          <t>SAP S/4HANA</t>
        </is>
      </c>
      <c r="F706" s="11" t="inlineStr">
        <is>
          <t>Senior Manager</t>
        </is>
      </c>
      <c r="G706" s="21" t="inlineStr">
        <is>
          <t>High</t>
        </is>
      </c>
      <c r="H706" s="23">
        <f>VLOOKUP(F706,'Internal Cost Model'!$B$6:$F$15,5,FALSE)</f>
        <v/>
      </c>
      <c r="I706" s="24">
        <f>H706*VLOOKUP(G706,Assumptions!$B$43:$C$45,2,FALSE)</f>
        <v/>
      </c>
      <c r="J706" s="25">
        <f>VLOOKUP(F706,Assumptions!$B$50:$D$59,2,FALSE)*VLOOKUP("SI-T1",Assumptions!$B$27:$C$31,2,FALSE)*VLOOKUP(G706,Assumptions!$B$43:$C$45,2,FALSE)</f>
        <v/>
      </c>
    </row>
    <row r="707">
      <c r="B707" s="7" t="inlineStr">
        <is>
          <t>RC-0702</t>
        </is>
      </c>
      <c r="C707" s="11" t="inlineStr">
        <is>
          <t>ERP</t>
        </is>
      </c>
      <c r="D707" s="7" t="inlineStr">
        <is>
          <t>S/4HANA Migration Lead</t>
        </is>
      </c>
      <c r="E707" s="11" t="inlineStr">
        <is>
          <t>SAP S/4HANA</t>
        </is>
      </c>
      <c r="F707" s="11" t="inlineStr">
        <is>
          <t>Manager</t>
        </is>
      </c>
      <c r="G707" s="21" t="inlineStr">
        <is>
          <t>High</t>
        </is>
      </c>
      <c r="H707" s="23">
        <f>VLOOKUP(F707,'Internal Cost Model'!$B$6:$F$15,5,FALSE)</f>
        <v/>
      </c>
      <c r="I707" s="24">
        <f>H707*VLOOKUP(G707,Assumptions!$B$43:$C$45,2,FALSE)</f>
        <v/>
      </c>
      <c r="J707" s="25">
        <f>VLOOKUP(F707,Assumptions!$B$50:$D$59,2,FALSE)*VLOOKUP("SI-T1",Assumptions!$B$27:$C$31,2,FALSE)*VLOOKUP(G707,Assumptions!$B$43:$C$45,2,FALSE)</f>
        <v/>
      </c>
    </row>
    <row r="708">
      <c r="B708" s="7" t="inlineStr">
        <is>
          <t>RC-0703</t>
        </is>
      </c>
      <c r="C708" s="11" t="inlineStr">
        <is>
          <t>ERP</t>
        </is>
      </c>
      <c r="D708" s="7" t="inlineStr">
        <is>
          <t>S/4HANA Migration Lead</t>
        </is>
      </c>
      <c r="E708" s="11" t="inlineStr">
        <is>
          <t>SAP S/4HANA</t>
        </is>
      </c>
      <c r="F708" s="11" t="inlineStr">
        <is>
          <t>Lead</t>
        </is>
      </c>
      <c r="G708" s="21" t="inlineStr">
        <is>
          <t>High</t>
        </is>
      </c>
      <c r="H708" s="23">
        <f>VLOOKUP(F708,'Internal Cost Model'!$B$6:$F$15,5,FALSE)</f>
        <v/>
      </c>
      <c r="I708" s="24">
        <f>H708*VLOOKUP(G708,Assumptions!$B$43:$C$45,2,FALSE)</f>
        <v/>
      </c>
      <c r="J708" s="25">
        <f>VLOOKUP(F708,Assumptions!$B$50:$D$59,2,FALSE)*VLOOKUP("SI-T1",Assumptions!$B$27:$C$31,2,FALSE)*VLOOKUP(G708,Assumptions!$B$43:$C$45,2,FALSE)</f>
        <v/>
      </c>
    </row>
    <row r="709">
      <c r="B709" s="7" t="inlineStr">
        <is>
          <t>RC-0704</t>
        </is>
      </c>
      <c r="C709" s="11" t="inlineStr">
        <is>
          <t>ERP</t>
        </is>
      </c>
      <c r="D709" s="7" t="inlineStr">
        <is>
          <t>SAP Analytics Cloud Consultant</t>
        </is>
      </c>
      <c r="E709" s="11" t="inlineStr">
        <is>
          <t>SAP Analytics Cloud</t>
        </is>
      </c>
      <c r="F709" s="11" t="inlineStr">
        <is>
          <t>Senior Manager</t>
        </is>
      </c>
      <c r="G709" s="21" t="inlineStr">
        <is>
          <t>Medium</t>
        </is>
      </c>
      <c r="H709" s="23">
        <f>VLOOKUP(F709,'Internal Cost Model'!$B$6:$F$15,5,FALSE)</f>
        <v/>
      </c>
      <c r="I709" s="24">
        <f>H709*VLOOKUP(G709,Assumptions!$B$43:$C$45,2,FALSE)</f>
        <v/>
      </c>
      <c r="J709" s="25">
        <f>VLOOKUP(F709,Assumptions!$B$50:$D$59,2,FALSE)*VLOOKUP("SI-T1",Assumptions!$B$27:$C$31,2,FALSE)*VLOOKUP(G709,Assumptions!$B$43:$C$45,2,FALSE)</f>
        <v/>
      </c>
    </row>
    <row r="710">
      <c r="B710" s="7" t="inlineStr">
        <is>
          <t>RC-0705</t>
        </is>
      </c>
      <c r="C710" s="11" t="inlineStr">
        <is>
          <t>ERP</t>
        </is>
      </c>
      <c r="D710" s="7" t="inlineStr">
        <is>
          <t>SAP Analytics Cloud Consultant</t>
        </is>
      </c>
      <c r="E710" s="11" t="inlineStr">
        <is>
          <t>SAP Analytics Cloud</t>
        </is>
      </c>
      <c r="F710" s="11" t="inlineStr">
        <is>
          <t>Manager</t>
        </is>
      </c>
      <c r="G710" s="21" t="inlineStr">
        <is>
          <t>Medium</t>
        </is>
      </c>
      <c r="H710" s="23">
        <f>VLOOKUP(F710,'Internal Cost Model'!$B$6:$F$15,5,FALSE)</f>
        <v/>
      </c>
      <c r="I710" s="24">
        <f>H710*VLOOKUP(G710,Assumptions!$B$43:$C$45,2,FALSE)</f>
        <v/>
      </c>
      <c r="J710" s="25">
        <f>VLOOKUP(F710,Assumptions!$B$50:$D$59,2,FALSE)*VLOOKUP("SI-T1",Assumptions!$B$27:$C$31,2,FALSE)*VLOOKUP(G710,Assumptions!$B$43:$C$45,2,FALSE)</f>
        <v/>
      </c>
    </row>
    <row r="711">
      <c r="B711" s="7" t="inlineStr">
        <is>
          <t>RC-0706</t>
        </is>
      </c>
      <c r="C711" s="11" t="inlineStr">
        <is>
          <t>ERP</t>
        </is>
      </c>
      <c r="D711" s="7" t="inlineStr">
        <is>
          <t>SAP Analytics Cloud Consultant</t>
        </is>
      </c>
      <c r="E711" s="11" t="inlineStr">
        <is>
          <t>SAP Analytics Cloud</t>
        </is>
      </c>
      <c r="F711" s="11" t="inlineStr">
        <is>
          <t>Lead</t>
        </is>
      </c>
      <c r="G711" s="21" t="inlineStr">
        <is>
          <t>Medium</t>
        </is>
      </c>
      <c r="H711" s="23">
        <f>VLOOKUP(F711,'Internal Cost Model'!$B$6:$F$15,5,FALSE)</f>
        <v/>
      </c>
      <c r="I711" s="24">
        <f>H711*VLOOKUP(G711,Assumptions!$B$43:$C$45,2,FALSE)</f>
        <v/>
      </c>
      <c r="J711" s="25">
        <f>VLOOKUP(F711,Assumptions!$B$50:$D$59,2,FALSE)*VLOOKUP("SI-T1",Assumptions!$B$27:$C$31,2,FALSE)*VLOOKUP(G711,Assumptions!$B$43:$C$45,2,FALSE)</f>
        <v/>
      </c>
    </row>
    <row r="712">
      <c r="B712" s="7" t="inlineStr">
        <is>
          <t>RC-0707</t>
        </is>
      </c>
      <c r="C712" s="11" t="inlineStr">
        <is>
          <t>ERP</t>
        </is>
      </c>
      <c r="D712" s="7" t="inlineStr">
        <is>
          <t>SAP Analytics Cloud Consultant</t>
        </is>
      </c>
      <c r="E712" s="11" t="inlineStr">
        <is>
          <t>SAP Analytics Cloud</t>
        </is>
      </c>
      <c r="F712" s="11" t="inlineStr">
        <is>
          <t>Senior</t>
        </is>
      </c>
      <c r="G712" s="21" t="inlineStr">
        <is>
          <t>Medium</t>
        </is>
      </c>
      <c r="H712" s="23">
        <f>VLOOKUP(F712,'Internal Cost Model'!$B$6:$F$15,5,FALSE)</f>
        <v/>
      </c>
      <c r="I712" s="24">
        <f>H712*VLOOKUP(G712,Assumptions!$B$43:$C$45,2,FALSE)</f>
        <v/>
      </c>
      <c r="J712" s="25">
        <f>VLOOKUP(F712,Assumptions!$B$50:$D$59,2,FALSE)*VLOOKUP("SI-T1",Assumptions!$B$27:$C$31,2,FALSE)*VLOOKUP(G712,Assumptions!$B$43:$C$45,2,FALSE)</f>
        <v/>
      </c>
    </row>
    <row r="713">
      <c r="B713" s="7" t="inlineStr">
        <is>
          <t>RC-0708</t>
        </is>
      </c>
      <c r="C713" s="11" t="inlineStr">
        <is>
          <t>ERP</t>
        </is>
      </c>
      <c r="D713" s="7" t="inlineStr">
        <is>
          <t>SAP SuccessFactors Consultant</t>
        </is>
      </c>
      <c r="E713" s="11" t="inlineStr">
        <is>
          <t>SAP SuccessFactors</t>
        </is>
      </c>
      <c r="F713" s="11" t="inlineStr">
        <is>
          <t>Senior Manager</t>
        </is>
      </c>
      <c r="G713" s="21" t="inlineStr">
        <is>
          <t>Medium</t>
        </is>
      </c>
      <c r="H713" s="23">
        <f>VLOOKUP(F713,'Internal Cost Model'!$B$6:$F$15,5,FALSE)</f>
        <v/>
      </c>
      <c r="I713" s="24">
        <f>H713*VLOOKUP(G713,Assumptions!$B$43:$C$45,2,FALSE)</f>
        <v/>
      </c>
      <c r="J713" s="25">
        <f>VLOOKUP(F713,Assumptions!$B$50:$D$59,2,FALSE)*VLOOKUP("SI-T1",Assumptions!$B$27:$C$31,2,FALSE)*VLOOKUP(G713,Assumptions!$B$43:$C$45,2,FALSE)</f>
        <v/>
      </c>
    </row>
    <row r="714">
      <c r="B714" s="7" t="inlineStr">
        <is>
          <t>RC-0709</t>
        </is>
      </c>
      <c r="C714" s="11" t="inlineStr">
        <is>
          <t>ERP</t>
        </is>
      </c>
      <c r="D714" s="7" t="inlineStr">
        <is>
          <t>SAP SuccessFactors Consultant</t>
        </is>
      </c>
      <c r="E714" s="11" t="inlineStr">
        <is>
          <t>SAP SuccessFactors</t>
        </is>
      </c>
      <c r="F714" s="11" t="inlineStr">
        <is>
          <t>Manager</t>
        </is>
      </c>
      <c r="G714" s="21" t="inlineStr">
        <is>
          <t>Medium</t>
        </is>
      </c>
      <c r="H714" s="23">
        <f>VLOOKUP(F714,'Internal Cost Model'!$B$6:$F$15,5,FALSE)</f>
        <v/>
      </c>
      <c r="I714" s="24">
        <f>H714*VLOOKUP(G714,Assumptions!$B$43:$C$45,2,FALSE)</f>
        <v/>
      </c>
      <c r="J714" s="25">
        <f>VLOOKUP(F714,Assumptions!$B$50:$D$59,2,FALSE)*VLOOKUP("SI-T1",Assumptions!$B$27:$C$31,2,FALSE)*VLOOKUP(G714,Assumptions!$B$43:$C$45,2,FALSE)</f>
        <v/>
      </c>
    </row>
    <row r="715">
      <c r="B715" s="7" t="inlineStr">
        <is>
          <t>RC-0710</t>
        </is>
      </c>
      <c r="C715" s="11" t="inlineStr">
        <is>
          <t>ERP</t>
        </is>
      </c>
      <c r="D715" s="7" t="inlineStr">
        <is>
          <t>SAP SuccessFactors Consultant</t>
        </is>
      </c>
      <c r="E715" s="11" t="inlineStr">
        <is>
          <t>SAP SuccessFactors</t>
        </is>
      </c>
      <c r="F715" s="11" t="inlineStr">
        <is>
          <t>Lead</t>
        </is>
      </c>
      <c r="G715" s="21" t="inlineStr">
        <is>
          <t>Medium</t>
        </is>
      </c>
      <c r="H715" s="23">
        <f>VLOOKUP(F715,'Internal Cost Model'!$B$6:$F$15,5,FALSE)</f>
        <v/>
      </c>
      <c r="I715" s="24">
        <f>H715*VLOOKUP(G715,Assumptions!$B$43:$C$45,2,FALSE)</f>
        <v/>
      </c>
      <c r="J715" s="25">
        <f>VLOOKUP(F715,Assumptions!$B$50:$D$59,2,FALSE)*VLOOKUP("SI-T1",Assumptions!$B$27:$C$31,2,FALSE)*VLOOKUP(G715,Assumptions!$B$43:$C$45,2,FALSE)</f>
        <v/>
      </c>
    </row>
    <row r="716">
      <c r="B716" s="7" t="inlineStr">
        <is>
          <t>RC-0711</t>
        </is>
      </c>
      <c r="C716" s="11" t="inlineStr">
        <is>
          <t>ERP</t>
        </is>
      </c>
      <c r="D716" s="7" t="inlineStr">
        <is>
          <t>SAP SuccessFactors Consultant</t>
        </is>
      </c>
      <c r="E716" s="11" t="inlineStr">
        <is>
          <t>SAP SuccessFactors</t>
        </is>
      </c>
      <c r="F716" s="11" t="inlineStr">
        <is>
          <t>Senior</t>
        </is>
      </c>
      <c r="G716" s="21" t="inlineStr">
        <is>
          <t>Medium</t>
        </is>
      </c>
      <c r="H716" s="23">
        <f>VLOOKUP(F716,'Internal Cost Model'!$B$6:$F$15,5,FALSE)</f>
        <v/>
      </c>
      <c r="I716" s="24">
        <f>H716*VLOOKUP(G716,Assumptions!$B$43:$C$45,2,FALSE)</f>
        <v/>
      </c>
      <c r="J716" s="25">
        <f>VLOOKUP(F716,Assumptions!$B$50:$D$59,2,FALSE)*VLOOKUP("SI-T1",Assumptions!$B$27:$C$31,2,FALSE)*VLOOKUP(G716,Assumptions!$B$43:$C$45,2,FALSE)</f>
        <v/>
      </c>
    </row>
    <row r="717">
      <c r="B717" s="7" t="inlineStr">
        <is>
          <t>RC-0712</t>
        </is>
      </c>
      <c r="C717" s="11" t="inlineStr">
        <is>
          <t>ERP</t>
        </is>
      </c>
      <c r="D717" s="7" t="inlineStr">
        <is>
          <t>SAP Ariba Consultant</t>
        </is>
      </c>
      <c r="E717" s="11" t="inlineStr">
        <is>
          <t>SAP Ariba</t>
        </is>
      </c>
      <c r="F717" s="11" t="inlineStr">
        <is>
          <t>Senior Manager</t>
        </is>
      </c>
      <c r="G717" s="21" t="inlineStr">
        <is>
          <t>Medium</t>
        </is>
      </c>
      <c r="H717" s="23">
        <f>VLOOKUP(F717,'Internal Cost Model'!$B$6:$F$15,5,FALSE)</f>
        <v/>
      </c>
      <c r="I717" s="24">
        <f>H717*VLOOKUP(G717,Assumptions!$B$43:$C$45,2,FALSE)</f>
        <v/>
      </c>
      <c r="J717" s="25">
        <f>VLOOKUP(F717,Assumptions!$B$50:$D$59,2,FALSE)*VLOOKUP("SI-T1",Assumptions!$B$27:$C$31,2,FALSE)*VLOOKUP(G717,Assumptions!$B$43:$C$45,2,FALSE)</f>
        <v/>
      </c>
    </row>
    <row r="718">
      <c r="B718" s="7" t="inlineStr">
        <is>
          <t>RC-0713</t>
        </is>
      </c>
      <c r="C718" s="11" t="inlineStr">
        <is>
          <t>ERP</t>
        </is>
      </c>
      <c r="D718" s="7" t="inlineStr">
        <is>
          <t>SAP Ariba Consultant</t>
        </is>
      </c>
      <c r="E718" s="11" t="inlineStr">
        <is>
          <t>SAP Ariba</t>
        </is>
      </c>
      <c r="F718" s="11" t="inlineStr">
        <is>
          <t>Manager</t>
        </is>
      </c>
      <c r="G718" s="21" t="inlineStr">
        <is>
          <t>Medium</t>
        </is>
      </c>
      <c r="H718" s="23">
        <f>VLOOKUP(F718,'Internal Cost Model'!$B$6:$F$15,5,FALSE)</f>
        <v/>
      </c>
      <c r="I718" s="24">
        <f>H718*VLOOKUP(G718,Assumptions!$B$43:$C$45,2,FALSE)</f>
        <v/>
      </c>
      <c r="J718" s="25">
        <f>VLOOKUP(F718,Assumptions!$B$50:$D$59,2,FALSE)*VLOOKUP("SI-T1",Assumptions!$B$27:$C$31,2,FALSE)*VLOOKUP(G718,Assumptions!$B$43:$C$45,2,FALSE)</f>
        <v/>
      </c>
    </row>
    <row r="719">
      <c r="B719" s="7" t="inlineStr">
        <is>
          <t>RC-0714</t>
        </is>
      </c>
      <c r="C719" s="11" t="inlineStr">
        <is>
          <t>ERP</t>
        </is>
      </c>
      <c r="D719" s="7" t="inlineStr">
        <is>
          <t>SAP Ariba Consultant</t>
        </is>
      </c>
      <c r="E719" s="11" t="inlineStr">
        <is>
          <t>SAP Ariba</t>
        </is>
      </c>
      <c r="F719" s="11" t="inlineStr">
        <is>
          <t>Lead</t>
        </is>
      </c>
      <c r="G719" s="21" t="inlineStr">
        <is>
          <t>Medium</t>
        </is>
      </c>
      <c r="H719" s="23">
        <f>VLOOKUP(F719,'Internal Cost Model'!$B$6:$F$15,5,FALSE)</f>
        <v/>
      </c>
      <c r="I719" s="24">
        <f>H719*VLOOKUP(G719,Assumptions!$B$43:$C$45,2,FALSE)</f>
        <v/>
      </c>
      <c r="J719" s="25">
        <f>VLOOKUP(F719,Assumptions!$B$50:$D$59,2,FALSE)*VLOOKUP("SI-T1",Assumptions!$B$27:$C$31,2,FALSE)*VLOOKUP(G719,Assumptions!$B$43:$C$45,2,FALSE)</f>
        <v/>
      </c>
    </row>
    <row r="720">
      <c r="B720" s="7" t="inlineStr">
        <is>
          <t>RC-0715</t>
        </is>
      </c>
      <c r="C720" s="11" t="inlineStr">
        <is>
          <t>ERP</t>
        </is>
      </c>
      <c r="D720" s="7" t="inlineStr">
        <is>
          <t>SAP Ariba Consultant</t>
        </is>
      </c>
      <c r="E720" s="11" t="inlineStr">
        <is>
          <t>SAP Ariba</t>
        </is>
      </c>
      <c r="F720" s="11" t="inlineStr">
        <is>
          <t>Senior</t>
        </is>
      </c>
      <c r="G720" s="21" t="inlineStr">
        <is>
          <t>Medium</t>
        </is>
      </c>
      <c r="H720" s="23">
        <f>VLOOKUP(F720,'Internal Cost Model'!$B$6:$F$15,5,FALSE)</f>
        <v/>
      </c>
      <c r="I720" s="24">
        <f>H720*VLOOKUP(G720,Assumptions!$B$43:$C$45,2,FALSE)</f>
        <v/>
      </c>
      <c r="J720" s="25">
        <f>VLOOKUP(F720,Assumptions!$B$50:$D$59,2,FALSE)*VLOOKUP("SI-T1",Assumptions!$B$27:$C$31,2,FALSE)*VLOOKUP(G720,Assumptions!$B$43:$C$45,2,FALSE)</f>
        <v/>
      </c>
    </row>
    <row r="721">
      <c r="B721" s="7" t="inlineStr">
        <is>
          <t>RC-0716</t>
        </is>
      </c>
      <c r="C721" s="11" t="inlineStr">
        <is>
          <t>ERP</t>
        </is>
      </c>
      <c r="D721" s="7" t="inlineStr">
        <is>
          <t>Oracle Fusion Finance Consultant</t>
        </is>
      </c>
      <c r="E721" s="11" t="inlineStr">
        <is>
          <t>Oracle Fusion</t>
        </is>
      </c>
      <c r="F721" s="11" t="inlineStr">
        <is>
          <t>Senior Manager</t>
        </is>
      </c>
      <c r="G721" s="21" t="inlineStr">
        <is>
          <t>High</t>
        </is>
      </c>
      <c r="H721" s="23">
        <f>VLOOKUP(F721,'Internal Cost Model'!$B$6:$F$15,5,FALSE)</f>
        <v/>
      </c>
      <c r="I721" s="24">
        <f>H721*VLOOKUP(G721,Assumptions!$B$43:$C$45,2,FALSE)</f>
        <v/>
      </c>
      <c r="J721" s="25">
        <f>VLOOKUP(F721,Assumptions!$B$50:$D$59,2,FALSE)*VLOOKUP("SI-T1",Assumptions!$B$27:$C$31,2,FALSE)*VLOOKUP(G721,Assumptions!$B$43:$C$45,2,FALSE)</f>
        <v/>
      </c>
    </row>
    <row r="722">
      <c r="B722" s="7" t="inlineStr">
        <is>
          <t>RC-0717</t>
        </is>
      </c>
      <c r="C722" s="11" t="inlineStr">
        <is>
          <t>ERP</t>
        </is>
      </c>
      <c r="D722" s="7" t="inlineStr">
        <is>
          <t>Oracle Fusion Finance Consultant</t>
        </is>
      </c>
      <c r="E722" s="11" t="inlineStr">
        <is>
          <t>Oracle Fusion</t>
        </is>
      </c>
      <c r="F722" s="11" t="inlineStr">
        <is>
          <t>Manager</t>
        </is>
      </c>
      <c r="G722" s="21" t="inlineStr">
        <is>
          <t>High</t>
        </is>
      </c>
      <c r="H722" s="23">
        <f>VLOOKUP(F722,'Internal Cost Model'!$B$6:$F$15,5,FALSE)</f>
        <v/>
      </c>
      <c r="I722" s="24">
        <f>H722*VLOOKUP(G722,Assumptions!$B$43:$C$45,2,FALSE)</f>
        <v/>
      </c>
      <c r="J722" s="25">
        <f>VLOOKUP(F722,Assumptions!$B$50:$D$59,2,FALSE)*VLOOKUP("SI-T1",Assumptions!$B$27:$C$31,2,FALSE)*VLOOKUP(G722,Assumptions!$B$43:$C$45,2,FALSE)</f>
        <v/>
      </c>
    </row>
    <row r="723">
      <c r="B723" s="7" t="inlineStr">
        <is>
          <t>RC-0718</t>
        </is>
      </c>
      <c r="C723" s="11" t="inlineStr">
        <is>
          <t>ERP</t>
        </is>
      </c>
      <c r="D723" s="7" t="inlineStr">
        <is>
          <t>Oracle Fusion Finance Consultant</t>
        </is>
      </c>
      <c r="E723" s="11" t="inlineStr">
        <is>
          <t>Oracle Fusion</t>
        </is>
      </c>
      <c r="F723" s="11" t="inlineStr">
        <is>
          <t>Lead</t>
        </is>
      </c>
      <c r="G723" s="21" t="inlineStr">
        <is>
          <t>High</t>
        </is>
      </c>
      <c r="H723" s="23">
        <f>VLOOKUP(F723,'Internal Cost Model'!$B$6:$F$15,5,FALSE)</f>
        <v/>
      </c>
      <c r="I723" s="24">
        <f>H723*VLOOKUP(G723,Assumptions!$B$43:$C$45,2,FALSE)</f>
        <v/>
      </c>
      <c r="J723" s="25">
        <f>VLOOKUP(F723,Assumptions!$B$50:$D$59,2,FALSE)*VLOOKUP("SI-T1",Assumptions!$B$27:$C$31,2,FALSE)*VLOOKUP(G723,Assumptions!$B$43:$C$45,2,FALSE)</f>
        <v/>
      </c>
    </row>
    <row r="724">
      <c r="B724" s="7" t="inlineStr">
        <is>
          <t>RC-0719</t>
        </is>
      </c>
      <c r="C724" s="11" t="inlineStr">
        <is>
          <t>ERP</t>
        </is>
      </c>
      <c r="D724" s="7" t="inlineStr">
        <is>
          <t>Oracle Fusion Finance Consultant</t>
        </is>
      </c>
      <c r="E724" s="11" t="inlineStr">
        <is>
          <t>Oracle Fusion</t>
        </is>
      </c>
      <c r="F724" s="11" t="inlineStr">
        <is>
          <t>Senior</t>
        </is>
      </c>
      <c r="G724" s="21" t="inlineStr">
        <is>
          <t>High</t>
        </is>
      </c>
      <c r="H724" s="23">
        <f>VLOOKUP(F724,'Internal Cost Model'!$B$6:$F$15,5,FALSE)</f>
        <v/>
      </c>
      <c r="I724" s="24">
        <f>H724*VLOOKUP(G724,Assumptions!$B$43:$C$45,2,FALSE)</f>
        <v/>
      </c>
      <c r="J724" s="25">
        <f>VLOOKUP(F724,Assumptions!$B$50:$D$59,2,FALSE)*VLOOKUP("SI-T1",Assumptions!$B$27:$C$31,2,FALSE)*VLOOKUP(G724,Assumptions!$B$43:$C$45,2,FALSE)</f>
        <v/>
      </c>
    </row>
    <row r="725">
      <c r="B725" s="7" t="inlineStr">
        <is>
          <t>RC-0720</t>
        </is>
      </c>
      <c r="C725" s="11" t="inlineStr">
        <is>
          <t>ERP</t>
        </is>
      </c>
      <c r="D725" s="7" t="inlineStr">
        <is>
          <t>Oracle Fusion HCM Consultant</t>
        </is>
      </c>
      <c r="E725" s="11" t="inlineStr">
        <is>
          <t>Oracle Fusion</t>
        </is>
      </c>
      <c r="F725" s="11" t="inlineStr">
        <is>
          <t>Senior Manager</t>
        </is>
      </c>
      <c r="G725" s="21" t="inlineStr">
        <is>
          <t>High</t>
        </is>
      </c>
      <c r="H725" s="23">
        <f>VLOOKUP(F725,'Internal Cost Model'!$B$6:$F$15,5,FALSE)</f>
        <v/>
      </c>
      <c r="I725" s="24">
        <f>H725*VLOOKUP(G725,Assumptions!$B$43:$C$45,2,FALSE)</f>
        <v/>
      </c>
      <c r="J725" s="25">
        <f>VLOOKUP(F725,Assumptions!$B$50:$D$59,2,FALSE)*VLOOKUP("SI-T1",Assumptions!$B$27:$C$31,2,FALSE)*VLOOKUP(G725,Assumptions!$B$43:$C$45,2,FALSE)</f>
        <v/>
      </c>
    </row>
    <row r="726">
      <c r="B726" s="7" t="inlineStr">
        <is>
          <t>RC-0721</t>
        </is>
      </c>
      <c r="C726" s="11" t="inlineStr">
        <is>
          <t>ERP</t>
        </is>
      </c>
      <c r="D726" s="7" t="inlineStr">
        <is>
          <t>Oracle Fusion HCM Consultant</t>
        </is>
      </c>
      <c r="E726" s="11" t="inlineStr">
        <is>
          <t>Oracle Fusion</t>
        </is>
      </c>
      <c r="F726" s="11" t="inlineStr">
        <is>
          <t>Manager</t>
        </is>
      </c>
      <c r="G726" s="21" t="inlineStr">
        <is>
          <t>High</t>
        </is>
      </c>
      <c r="H726" s="23">
        <f>VLOOKUP(F726,'Internal Cost Model'!$B$6:$F$15,5,FALSE)</f>
        <v/>
      </c>
      <c r="I726" s="24">
        <f>H726*VLOOKUP(G726,Assumptions!$B$43:$C$45,2,FALSE)</f>
        <v/>
      </c>
      <c r="J726" s="25">
        <f>VLOOKUP(F726,Assumptions!$B$50:$D$59,2,FALSE)*VLOOKUP("SI-T1",Assumptions!$B$27:$C$31,2,FALSE)*VLOOKUP(G726,Assumptions!$B$43:$C$45,2,FALSE)</f>
        <v/>
      </c>
    </row>
    <row r="727">
      <c r="B727" s="7" t="inlineStr">
        <is>
          <t>RC-0722</t>
        </is>
      </c>
      <c r="C727" s="11" t="inlineStr">
        <is>
          <t>ERP</t>
        </is>
      </c>
      <c r="D727" s="7" t="inlineStr">
        <is>
          <t>Oracle Fusion HCM Consultant</t>
        </is>
      </c>
      <c r="E727" s="11" t="inlineStr">
        <is>
          <t>Oracle Fusion</t>
        </is>
      </c>
      <c r="F727" s="11" t="inlineStr">
        <is>
          <t>Lead</t>
        </is>
      </c>
      <c r="G727" s="21" t="inlineStr">
        <is>
          <t>High</t>
        </is>
      </c>
      <c r="H727" s="23">
        <f>VLOOKUP(F727,'Internal Cost Model'!$B$6:$F$15,5,FALSE)</f>
        <v/>
      </c>
      <c r="I727" s="24">
        <f>H727*VLOOKUP(G727,Assumptions!$B$43:$C$45,2,FALSE)</f>
        <v/>
      </c>
      <c r="J727" s="25">
        <f>VLOOKUP(F727,Assumptions!$B$50:$D$59,2,FALSE)*VLOOKUP("SI-T1",Assumptions!$B$27:$C$31,2,FALSE)*VLOOKUP(G727,Assumptions!$B$43:$C$45,2,FALSE)</f>
        <v/>
      </c>
    </row>
    <row r="728">
      <c r="B728" s="7" t="inlineStr">
        <is>
          <t>RC-0723</t>
        </is>
      </c>
      <c r="C728" s="11" t="inlineStr">
        <is>
          <t>ERP</t>
        </is>
      </c>
      <c r="D728" s="7" t="inlineStr">
        <is>
          <t>Oracle Fusion HCM Consultant</t>
        </is>
      </c>
      <c r="E728" s="11" t="inlineStr">
        <is>
          <t>Oracle Fusion</t>
        </is>
      </c>
      <c r="F728" s="11" t="inlineStr">
        <is>
          <t>Senior</t>
        </is>
      </c>
      <c r="G728" s="21" t="inlineStr">
        <is>
          <t>High</t>
        </is>
      </c>
      <c r="H728" s="23">
        <f>VLOOKUP(F728,'Internal Cost Model'!$B$6:$F$15,5,FALSE)</f>
        <v/>
      </c>
      <c r="I728" s="24">
        <f>H728*VLOOKUP(G728,Assumptions!$B$43:$C$45,2,FALSE)</f>
        <v/>
      </c>
      <c r="J728" s="25">
        <f>VLOOKUP(F728,Assumptions!$B$50:$D$59,2,FALSE)*VLOOKUP("SI-T1",Assumptions!$B$27:$C$31,2,FALSE)*VLOOKUP(G728,Assumptions!$B$43:$C$45,2,FALSE)</f>
        <v/>
      </c>
    </row>
    <row r="729">
      <c r="B729" s="7" t="inlineStr">
        <is>
          <t>RC-0724</t>
        </is>
      </c>
      <c r="C729" s="11" t="inlineStr">
        <is>
          <t>ERP</t>
        </is>
      </c>
      <c r="D729" s="7" t="inlineStr">
        <is>
          <t>Oracle EBS Consultant</t>
        </is>
      </c>
      <c r="E729" s="11" t="inlineStr">
        <is>
          <t>Oracle Finance</t>
        </is>
      </c>
      <c r="F729" s="11" t="inlineStr">
        <is>
          <t>Senior Manager</t>
        </is>
      </c>
      <c r="G729" s="21" t="inlineStr">
        <is>
          <t>Medium</t>
        </is>
      </c>
      <c r="H729" s="23">
        <f>VLOOKUP(F729,'Internal Cost Model'!$B$6:$F$15,5,FALSE)</f>
        <v/>
      </c>
      <c r="I729" s="24">
        <f>H729*VLOOKUP(G729,Assumptions!$B$43:$C$45,2,FALSE)</f>
        <v/>
      </c>
      <c r="J729" s="25">
        <f>VLOOKUP(F729,Assumptions!$B$50:$D$59,2,FALSE)*VLOOKUP("SI-T1",Assumptions!$B$27:$C$31,2,FALSE)*VLOOKUP(G729,Assumptions!$B$43:$C$45,2,FALSE)</f>
        <v/>
      </c>
    </row>
    <row r="730">
      <c r="B730" s="7" t="inlineStr">
        <is>
          <t>RC-0725</t>
        </is>
      </c>
      <c r="C730" s="11" t="inlineStr">
        <is>
          <t>ERP</t>
        </is>
      </c>
      <c r="D730" s="7" t="inlineStr">
        <is>
          <t>Oracle EBS Consultant</t>
        </is>
      </c>
      <c r="E730" s="11" t="inlineStr">
        <is>
          <t>Oracle Finance</t>
        </is>
      </c>
      <c r="F730" s="11" t="inlineStr">
        <is>
          <t>Manager</t>
        </is>
      </c>
      <c r="G730" s="21" t="inlineStr">
        <is>
          <t>Medium</t>
        </is>
      </c>
      <c r="H730" s="23">
        <f>VLOOKUP(F730,'Internal Cost Model'!$B$6:$F$15,5,FALSE)</f>
        <v/>
      </c>
      <c r="I730" s="24">
        <f>H730*VLOOKUP(G730,Assumptions!$B$43:$C$45,2,FALSE)</f>
        <v/>
      </c>
      <c r="J730" s="25">
        <f>VLOOKUP(F730,Assumptions!$B$50:$D$59,2,FALSE)*VLOOKUP("SI-T1",Assumptions!$B$27:$C$31,2,FALSE)*VLOOKUP(G730,Assumptions!$B$43:$C$45,2,FALSE)</f>
        <v/>
      </c>
    </row>
    <row r="731">
      <c r="B731" s="7" t="inlineStr">
        <is>
          <t>RC-0726</t>
        </is>
      </c>
      <c r="C731" s="11" t="inlineStr">
        <is>
          <t>ERP</t>
        </is>
      </c>
      <c r="D731" s="7" t="inlineStr">
        <is>
          <t>Oracle EBS Consultant</t>
        </is>
      </c>
      <c r="E731" s="11" t="inlineStr">
        <is>
          <t>Oracle Finance</t>
        </is>
      </c>
      <c r="F731" s="11" t="inlineStr">
        <is>
          <t>Lead</t>
        </is>
      </c>
      <c r="G731" s="21" t="inlineStr">
        <is>
          <t>Medium</t>
        </is>
      </c>
      <c r="H731" s="23">
        <f>VLOOKUP(F731,'Internal Cost Model'!$B$6:$F$15,5,FALSE)</f>
        <v/>
      </c>
      <c r="I731" s="24">
        <f>H731*VLOOKUP(G731,Assumptions!$B$43:$C$45,2,FALSE)</f>
        <v/>
      </c>
      <c r="J731" s="25">
        <f>VLOOKUP(F731,Assumptions!$B$50:$D$59,2,FALSE)*VLOOKUP("SI-T1",Assumptions!$B$27:$C$31,2,FALSE)*VLOOKUP(G731,Assumptions!$B$43:$C$45,2,FALSE)</f>
        <v/>
      </c>
    </row>
    <row r="732">
      <c r="B732" s="7" t="inlineStr">
        <is>
          <t>RC-0727</t>
        </is>
      </c>
      <c r="C732" s="11" t="inlineStr">
        <is>
          <t>ERP</t>
        </is>
      </c>
      <c r="D732" s="7" t="inlineStr">
        <is>
          <t>Oracle EBS Consultant</t>
        </is>
      </c>
      <c r="E732" s="11" t="inlineStr">
        <is>
          <t>Oracle Finance</t>
        </is>
      </c>
      <c r="F732" s="11" t="inlineStr">
        <is>
          <t>Senior</t>
        </is>
      </c>
      <c r="G732" s="21" t="inlineStr">
        <is>
          <t>Medium</t>
        </is>
      </c>
      <c r="H732" s="23">
        <f>VLOOKUP(F732,'Internal Cost Model'!$B$6:$F$15,5,FALSE)</f>
        <v/>
      </c>
      <c r="I732" s="24">
        <f>H732*VLOOKUP(G732,Assumptions!$B$43:$C$45,2,FALSE)</f>
        <v/>
      </c>
      <c r="J732" s="25">
        <f>VLOOKUP(F732,Assumptions!$B$50:$D$59,2,FALSE)*VLOOKUP("SI-T1",Assumptions!$B$27:$C$31,2,FALSE)*VLOOKUP(G732,Assumptions!$B$43:$C$45,2,FALSE)</f>
        <v/>
      </c>
    </row>
    <row r="733">
      <c r="B733" s="7" t="inlineStr">
        <is>
          <t>RC-0728</t>
        </is>
      </c>
      <c r="C733" s="11" t="inlineStr">
        <is>
          <t>ERP</t>
        </is>
      </c>
      <c r="D733" s="7" t="inlineStr">
        <is>
          <t>OCI Architect</t>
        </is>
      </c>
      <c r="E733" s="11" t="inlineStr">
        <is>
          <t>Oracle Cloud Infrastructure</t>
        </is>
      </c>
      <c r="F733" s="11" t="inlineStr">
        <is>
          <t>Director</t>
        </is>
      </c>
      <c r="G733" s="21" t="inlineStr">
        <is>
          <t>High</t>
        </is>
      </c>
      <c r="H733" s="23">
        <f>VLOOKUP(F733,'Internal Cost Model'!$B$6:$F$15,5,FALSE)</f>
        <v/>
      </c>
      <c r="I733" s="24">
        <f>H733*VLOOKUP(G733,Assumptions!$B$43:$C$45,2,FALSE)</f>
        <v/>
      </c>
      <c r="J733" s="25">
        <f>VLOOKUP(F733,Assumptions!$B$50:$D$59,2,FALSE)*VLOOKUP("SI-T1",Assumptions!$B$27:$C$31,2,FALSE)*VLOOKUP(G733,Assumptions!$B$43:$C$45,2,FALSE)</f>
        <v/>
      </c>
    </row>
    <row r="734">
      <c r="B734" s="7" t="inlineStr">
        <is>
          <t>RC-0729</t>
        </is>
      </c>
      <c r="C734" s="11" t="inlineStr">
        <is>
          <t>ERP</t>
        </is>
      </c>
      <c r="D734" s="7" t="inlineStr">
        <is>
          <t>OCI Architect</t>
        </is>
      </c>
      <c r="E734" s="11" t="inlineStr">
        <is>
          <t>Oracle Cloud Infrastructure</t>
        </is>
      </c>
      <c r="F734" s="11" t="inlineStr">
        <is>
          <t>Senior Manager</t>
        </is>
      </c>
      <c r="G734" s="21" t="inlineStr">
        <is>
          <t>High</t>
        </is>
      </c>
      <c r="H734" s="23">
        <f>VLOOKUP(F734,'Internal Cost Model'!$B$6:$F$15,5,FALSE)</f>
        <v/>
      </c>
      <c r="I734" s="24">
        <f>H734*VLOOKUP(G734,Assumptions!$B$43:$C$45,2,FALSE)</f>
        <v/>
      </c>
      <c r="J734" s="25">
        <f>VLOOKUP(F734,Assumptions!$B$50:$D$59,2,FALSE)*VLOOKUP("SI-T1",Assumptions!$B$27:$C$31,2,FALSE)*VLOOKUP(G734,Assumptions!$B$43:$C$45,2,FALSE)</f>
        <v/>
      </c>
    </row>
    <row r="735">
      <c r="B735" s="7" t="inlineStr">
        <is>
          <t>RC-0730</t>
        </is>
      </c>
      <c r="C735" s="11" t="inlineStr">
        <is>
          <t>ERP</t>
        </is>
      </c>
      <c r="D735" s="7" t="inlineStr">
        <is>
          <t>OCI Architect</t>
        </is>
      </c>
      <c r="E735" s="11" t="inlineStr">
        <is>
          <t>Oracle Cloud Infrastructure</t>
        </is>
      </c>
      <c r="F735" s="11" t="inlineStr">
        <is>
          <t>Manager</t>
        </is>
      </c>
      <c r="G735" s="21" t="inlineStr">
        <is>
          <t>High</t>
        </is>
      </c>
      <c r="H735" s="23">
        <f>VLOOKUP(F735,'Internal Cost Model'!$B$6:$F$15,5,FALSE)</f>
        <v/>
      </c>
      <c r="I735" s="24">
        <f>H735*VLOOKUP(G735,Assumptions!$B$43:$C$45,2,FALSE)</f>
        <v/>
      </c>
      <c r="J735" s="25">
        <f>VLOOKUP(F735,Assumptions!$B$50:$D$59,2,FALSE)*VLOOKUP("SI-T1",Assumptions!$B$27:$C$31,2,FALSE)*VLOOKUP(G735,Assumptions!$B$43:$C$45,2,FALSE)</f>
        <v/>
      </c>
    </row>
    <row r="736">
      <c r="B736" s="7" t="inlineStr">
        <is>
          <t>RC-0731</t>
        </is>
      </c>
      <c r="C736" s="11" t="inlineStr">
        <is>
          <t>ERP</t>
        </is>
      </c>
      <c r="D736" s="7" t="inlineStr">
        <is>
          <t>OCI Architect</t>
        </is>
      </c>
      <c r="E736" s="11" t="inlineStr">
        <is>
          <t>Oracle Cloud Infrastructure</t>
        </is>
      </c>
      <c r="F736" s="11" t="inlineStr">
        <is>
          <t>Lead</t>
        </is>
      </c>
      <c r="G736" s="21" t="inlineStr">
        <is>
          <t>High</t>
        </is>
      </c>
      <c r="H736" s="23">
        <f>VLOOKUP(F736,'Internal Cost Model'!$B$6:$F$15,5,FALSE)</f>
        <v/>
      </c>
      <c r="I736" s="24">
        <f>H736*VLOOKUP(G736,Assumptions!$B$43:$C$45,2,FALSE)</f>
        <v/>
      </c>
      <c r="J736" s="25">
        <f>VLOOKUP(F736,Assumptions!$B$50:$D$59,2,FALSE)*VLOOKUP("SI-T1",Assumptions!$B$27:$C$31,2,FALSE)*VLOOKUP(G736,Assumptions!$B$43:$C$45,2,FALSE)</f>
        <v/>
      </c>
    </row>
    <row r="737">
      <c r="B737" s="7" t="inlineStr">
        <is>
          <t>RC-0732</t>
        </is>
      </c>
      <c r="C737" s="11" t="inlineStr">
        <is>
          <t>ERP</t>
        </is>
      </c>
      <c r="D737" s="7" t="inlineStr">
        <is>
          <t>Workday Integration Consultant</t>
        </is>
      </c>
      <c r="E737" s="11" t="inlineStr">
        <is>
          <t>Workday Integration</t>
        </is>
      </c>
      <c r="F737" s="11" t="inlineStr">
        <is>
          <t>Senior Manager</t>
        </is>
      </c>
      <c r="G737" s="21" t="inlineStr">
        <is>
          <t>High</t>
        </is>
      </c>
      <c r="H737" s="23">
        <f>VLOOKUP(F737,'Internal Cost Model'!$B$6:$F$15,5,FALSE)</f>
        <v/>
      </c>
      <c r="I737" s="24">
        <f>H737*VLOOKUP(G737,Assumptions!$B$43:$C$45,2,FALSE)</f>
        <v/>
      </c>
      <c r="J737" s="25">
        <f>VLOOKUP(F737,Assumptions!$B$50:$D$59,2,FALSE)*VLOOKUP("SI-T1",Assumptions!$B$27:$C$31,2,FALSE)*VLOOKUP(G737,Assumptions!$B$43:$C$45,2,FALSE)</f>
        <v/>
      </c>
    </row>
    <row r="738">
      <c r="B738" s="7" t="inlineStr">
        <is>
          <t>RC-0733</t>
        </is>
      </c>
      <c r="C738" s="11" t="inlineStr">
        <is>
          <t>ERP</t>
        </is>
      </c>
      <c r="D738" s="7" t="inlineStr">
        <is>
          <t>Workday Integration Consultant</t>
        </is>
      </c>
      <c r="E738" s="11" t="inlineStr">
        <is>
          <t>Workday Integration</t>
        </is>
      </c>
      <c r="F738" s="11" t="inlineStr">
        <is>
          <t>Manager</t>
        </is>
      </c>
      <c r="G738" s="21" t="inlineStr">
        <is>
          <t>High</t>
        </is>
      </c>
      <c r="H738" s="23">
        <f>VLOOKUP(F738,'Internal Cost Model'!$B$6:$F$15,5,FALSE)</f>
        <v/>
      </c>
      <c r="I738" s="24">
        <f>H738*VLOOKUP(G738,Assumptions!$B$43:$C$45,2,FALSE)</f>
        <v/>
      </c>
      <c r="J738" s="25">
        <f>VLOOKUP(F738,Assumptions!$B$50:$D$59,2,FALSE)*VLOOKUP("SI-T1",Assumptions!$B$27:$C$31,2,FALSE)*VLOOKUP(G738,Assumptions!$B$43:$C$45,2,FALSE)</f>
        <v/>
      </c>
    </row>
    <row r="739">
      <c r="B739" s="7" t="inlineStr">
        <is>
          <t>RC-0734</t>
        </is>
      </c>
      <c r="C739" s="11" t="inlineStr">
        <is>
          <t>ERP</t>
        </is>
      </c>
      <c r="D739" s="7" t="inlineStr">
        <is>
          <t>Workday Integration Consultant</t>
        </is>
      </c>
      <c r="E739" s="11" t="inlineStr">
        <is>
          <t>Workday Integration</t>
        </is>
      </c>
      <c r="F739" s="11" t="inlineStr">
        <is>
          <t>Lead</t>
        </is>
      </c>
      <c r="G739" s="21" t="inlineStr">
        <is>
          <t>High</t>
        </is>
      </c>
      <c r="H739" s="23">
        <f>VLOOKUP(F739,'Internal Cost Model'!$B$6:$F$15,5,FALSE)</f>
        <v/>
      </c>
      <c r="I739" s="24">
        <f>H739*VLOOKUP(G739,Assumptions!$B$43:$C$45,2,FALSE)</f>
        <v/>
      </c>
      <c r="J739" s="25">
        <f>VLOOKUP(F739,Assumptions!$B$50:$D$59,2,FALSE)*VLOOKUP("SI-T1",Assumptions!$B$27:$C$31,2,FALSE)*VLOOKUP(G739,Assumptions!$B$43:$C$45,2,FALSE)</f>
        <v/>
      </c>
    </row>
    <row r="740">
      <c r="B740" s="7" t="inlineStr">
        <is>
          <t>RC-0735</t>
        </is>
      </c>
      <c r="C740" s="11" t="inlineStr">
        <is>
          <t>ERP</t>
        </is>
      </c>
      <c r="D740" s="7" t="inlineStr">
        <is>
          <t>Workday Integration Consultant</t>
        </is>
      </c>
      <c r="E740" s="11" t="inlineStr">
        <is>
          <t>Workday Integration</t>
        </is>
      </c>
      <c r="F740" s="11" t="inlineStr">
        <is>
          <t>Senior</t>
        </is>
      </c>
      <c r="G740" s="21" t="inlineStr">
        <is>
          <t>High</t>
        </is>
      </c>
      <c r="H740" s="23">
        <f>VLOOKUP(F740,'Internal Cost Model'!$B$6:$F$15,5,FALSE)</f>
        <v/>
      </c>
      <c r="I740" s="24">
        <f>H740*VLOOKUP(G740,Assumptions!$B$43:$C$45,2,FALSE)</f>
        <v/>
      </c>
      <c r="J740" s="25">
        <f>VLOOKUP(F740,Assumptions!$B$50:$D$59,2,FALSE)*VLOOKUP("SI-T1",Assumptions!$B$27:$C$31,2,FALSE)*VLOOKUP(G740,Assumptions!$B$43:$C$45,2,FALSE)</f>
        <v/>
      </c>
    </row>
    <row r="741">
      <c r="B741" s="7" t="inlineStr">
        <is>
          <t>RC-0736</t>
        </is>
      </c>
      <c r="C741" s="11" t="inlineStr">
        <is>
          <t>ERP</t>
        </is>
      </c>
      <c r="D741" s="7" t="inlineStr">
        <is>
          <t>Workday Reporting Analyst</t>
        </is>
      </c>
      <c r="E741" s="11" t="inlineStr">
        <is>
          <t>Workday Integration</t>
        </is>
      </c>
      <c r="F741" s="11" t="inlineStr">
        <is>
          <t>Senior</t>
        </is>
      </c>
      <c r="G741" s="21" t="inlineStr">
        <is>
          <t>Medium</t>
        </is>
      </c>
      <c r="H741" s="23">
        <f>VLOOKUP(F741,'Internal Cost Model'!$B$6:$F$15,5,FALSE)</f>
        <v/>
      </c>
      <c r="I741" s="24">
        <f>H741*VLOOKUP(G741,Assumptions!$B$43:$C$45,2,FALSE)</f>
        <v/>
      </c>
      <c r="J741" s="25">
        <f>VLOOKUP(F741,Assumptions!$B$50:$D$59,2,FALSE)*VLOOKUP("SI-T1",Assumptions!$B$27:$C$31,2,FALSE)*VLOOKUP(G741,Assumptions!$B$43:$C$45,2,FALSE)</f>
        <v/>
      </c>
    </row>
    <row r="742">
      <c r="B742" s="7" t="inlineStr">
        <is>
          <t>RC-0737</t>
        </is>
      </c>
      <c r="C742" s="11" t="inlineStr">
        <is>
          <t>ERP</t>
        </is>
      </c>
      <c r="D742" s="7" t="inlineStr">
        <is>
          <t>Workday Reporting Analyst</t>
        </is>
      </c>
      <c r="E742" s="11" t="inlineStr">
        <is>
          <t>Workday Integration</t>
        </is>
      </c>
      <c r="F742" s="11" t="inlineStr">
        <is>
          <t>Intermediate</t>
        </is>
      </c>
      <c r="G742" s="21" t="inlineStr">
        <is>
          <t>Medium</t>
        </is>
      </c>
      <c r="H742" s="23">
        <f>VLOOKUP(F742,'Internal Cost Model'!$B$6:$F$15,5,FALSE)</f>
        <v/>
      </c>
      <c r="I742" s="24">
        <f>H742*VLOOKUP(G742,Assumptions!$B$43:$C$45,2,FALSE)</f>
        <v/>
      </c>
      <c r="J742" s="25">
        <f>VLOOKUP(F742,Assumptions!$B$50:$D$59,2,FALSE)*VLOOKUP("SI-T1",Assumptions!$B$27:$C$31,2,FALSE)*VLOOKUP(G742,Assumptions!$B$43:$C$45,2,FALSE)</f>
        <v/>
      </c>
    </row>
    <row r="743">
      <c r="B743" s="7" t="inlineStr">
        <is>
          <t>RC-0738</t>
        </is>
      </c>
      <c r="C743" s="11" t="inlineStr">
        <is>
          <t>ERP</t>
        </is>
      </c>
      <c r="D743" s="7" t="inlineStr">
        <is>
          <t>Workday Adaptive Planning Consultant</t>
        </is>
      </c>
      <c r="E743" s="11" t="inlineStr">
        <is>
          <t>Workday Finance</t>
        </is>
      </c>
      <c r="F743" s="11" t="inlineStr">
        <is>
          <t>Senior Manager</t>
        </is>
      </c>
      <c r="G743" s="21" t="inlineStr">
        <is>
          <t>Medium</t>
        </is>
      </c>
      <c r="H743" s="23">
        <f>VLOOKUP(F743,'Internal Cost Model'!$B$6:$F$15,5,FALSE)</f>
        <v/>
      </c>
      <c r="I743" s="24">
        <f>H743*VLOOKUP(G743,Assumptions!$B$43:$C$45,2,FALSE)</f>
        <v/>
      </c>
      <c r="J743" s="25">
        <f>VLOOKUP(F743,Assumptions!$B$50:$D$59,2,FALSE)*VLOOKUP("SI-T1",Assumptions!$B$27:$C$31,2,FALSE)*VLOOKUP(G743,Assumptions!$B$43:$C$45,2,FALSE)</f>
        <v/>
      </c>
    </row>
    <row r="744">
      <c r="B744" s="7" t="inlineStr">
        <is>
          <t>RC-0739</t>
        </is>
      </c>
      <c r="C744" s="11" t="inlineStr">
        <is>
          <t>ERP</t>
        </is>
      </c>
      <c r="D744" s="7" t="inlineStr">
        <is>
          <t>Workday Adaptive Planning Consultant</t>
        </is>
      </c>
      <c r="E744" s="11" t="inlineStr">
        <is>
          <t>Workday Finance</t>
        </is>
      </c>
      <c r="F744" s="11" t="inlineStr">
        <is>
          <t>Manager</t>
        </is>
      </c>
      <c r="G744" s="21" t="inlineStr">
        <is>
          <t>Medium</t>
        </is>
      </c>
      <c r="H744" s="23">
        <f>VLOOKUP(F744,'Internal Cost Model'!$B$6:$F$15,5,FALSE)</f>
        <v/>
      </c>
      <c r="I744" s="24">
        <f>H744*VLOOKUP(G744,Assumptions!$B$43:$C$45,2,FALSE)</f>
        <v/>
      </c>
      <c r="J744" s="25">
        <f>VLOOKUP(F744,Assumptions!$B$50:$D$59,2,FALSE)*VLOOKUP("SI-T1",Assumptions!$B$27:$C$31,2,FALSE)*VLOOKUP(G744,Assumptions!$B$43:$C$45,2,FALSE)</f>
        <v/>
      </c>
    </row>
    <row r="745">
      <c r="B745" s="7" t="inlineStr">
        <is>
          <t>RC-0740</t>
        </is>
      </c>
      <c r="C745" s="11" t="inlineStr">
        <is>
          <t>ERP</t>
        </is>
      </c>
      <c r="D745" s="7" t="inlineStr">
        <is>
          <t>Workday Adaptive Planning Consultant</t>
        </is>
      </c>
      <c r="E745" s="11" t="inlineStr">
        <is>
          <t>Workday Finance</t>
        </is>
      </c>
      <c r="F745" s="11" t="inlineStr">
        <is>
          <t>Lead</t>
        </is>
      </c>
      <c r="G745" s="21" t="inlineStr">
        <is>
          <t>Medium</t>
        </is>
      </c>
      <c r="H745" s="23">
        <f>VLOOKUP(F745,'Internal Cost Model'!$B$6:$F$15,5,FALSE)</f>
        <v/>
      </c>
      <c r="I745" s="24">
        <f>H745*VLOOKUP(G745,Assumptions!$B$43:$C$45,2,FALSE)</f>
        <v/>
      </c>
      <c r="J745" s="25">
        <f>VLOOKUP(F745,Assumptions!$B$50:$D$59,2,FALSE)*VLOOKUP("SI-T1",Assumptions!$B$27:$C$31,2,FALSE)*VLOOKUP(G745,Assumptions!$B$43:$C$45,2,FALSE)</f>
        <v/>
      </c>
    </row>
    <row r="746">
      <c r="B746" s="7" t="inlineStr">
        <is>
          <t>RC-0741</t>
        </is>
      </c>
      <c r="C746" s="11" t="inlineStr">
        <is>
          <t>ERP</t>
        </is>
      </c>
      <c r="D746" s="7" t="inlineStr">
        <is>
          <t>Workday Adaptive Planning Consultant</t>
        </is>
      </c>
      <c r="E746" s="11" t="inlineStr">
        <is>
          <t>Workday Finance</t>
        </is>
      </c>
      <c r="F746" s="11" t="inlineStr">
        <is>
          <t>Senior</t>
        </is>
      </c>
      <c r="G746" s="21" t="inlineStr">
        <is>
          <t>Medium</t>
        </is>
      </c>
      <c r="H746" s="23">
        <f>VLOOKUP(F746,'Internal Cost Model'!$B$6:$F$15,5,FALSE)</f>
        <v/>
      </c>
      <c r="I746" s="24">
        <f>H746*VLOOKUP(G746,Assumptions!$B$43:$C$45,2,FALSE)</f>
        <v/>
      </c>
      <c r="J746" s="25">
        <f>VLOOKUP(F746,Assumptions!$B$50:$D$59,2,FALSE)*VLOOKUP("SI-T1",Assumptions!$B$27:$C$31,2,FALSE)*VLOOKUP(G746,Assumptions!$B$43:$C$45,2,FALSE)</f>
        <v/>
      </c>
    </row>
    <row r="747">
      <c r="B747" s="7" t="inlineStr">
        <is>
          <t>RC-0742</t>
        </is>
      </c>
      <c r="C747" s="11" t="inlineStr">
        <is>
          <t>Cloud</t>
        </is>
      </c>
      <c r="D747" s="7" t="inlineStr">
        <is>
          <t>Azure Data Engineer</t>
        </is>
      </c>
      <c r="E747" s="11" t="inlineStr">
        <is>
          <t>Azure</t>
        </is>
      </c>
      <c r="F747" s="11" t="inlineStr">
        <is>
          <t>Senior</t>
        </is>
      </c>
      <c r="G747" s="21" t="inlineStr">
        <is>
          <t>High</t>
        </is>
      </c>
      <c r="H747" s="23">
        <f>VLOOKUP(F747,'Internal Cost Model'!$B$6:$F$15,5,FALSE)</f>
        <v/>
      </c>
      <c r="I747" s="24">
        <f>H747*VLOOKUP(G747,Assumptions!$B$43:$C$45,2,FALSE)</f>
        <v/>
      </c>
      <c r="J747" s="25">
        <f>VLOOKUP(F747,Assumptions!$B$50:$D$59,2,FALSE)*VLOOKUP("SI-T1",Assumptions!$B$27:$C$31,2,FALSE)*VLOOKUP(G747,Assumptions!$B$43:$C$45,2,FALSE)</f>
        <v/>
      </c>
    </row>
    <row r="748">
      <c r="B748" s="7" t="inlineStr">
        <is>
          <t>RC-0743</t>
        </is>
      </c>
      <c r="C748" s="11" t="inlineStr">
        <is>
          <t>Cloud</t>
        </is>
      </c>
      <c r="D748" s="7" t="inlineStr">
        <is>
          <t>Azure Data Engineer</t>
        </is>
      </c>
      <c r="E748" s="11" t="inlineStr">
        <is>
          <t>Azure</t>
        </is>
      </c>
      <c r="F748" s="11" t="inlineStr">
        <is>
          <t>Intermediate</t>
        </is>
      </c>
      <c r="G748" s="21" t="inlineStr">
        <is>
          <t>High</t>
        </is>
      </c>
      <c r="H748" s="23">
        <f>VLOOKUP(F748,'Internal Cost Model'!$B$6:$F$15,5,FALSE)</f>
        <v/>
      </c>
      <c r="I748" s="24">
        <f>H748*VLOOKUP(G748,Assumptions!$B$43:$C$45,2,FALSE)</f>
        <v/>
      </c>
      <c r="J748" s="25">
        <f>VLOOKUP(F748,Assumptions!$B$50:$D$59,2,FALSE)*VLOOKUP("SI-T1",Assumptions!$B$27:$C$31,2,FALSE)*VLOOKUP(G748,Assumptions!$B$43:$C$45,2,FALSE)</f>
        <v/>
      </c>
    </row>
    <row r="749">
      <c r="B749" s="7" t="inlineStr">
        <is>
          <t>RC-0744</t>
        </is>
      </c>
      <c r="C749" s="11" t="inlineStr">
        <is>
          <t>Cloud</t>
        </is>
      </c>
      <c r="D749" s="7" t="inlineStr">
        <is>
          <t>Azure Security Engineer</t>
        </is>
      </c>
      <c r="E749" s="11" t="inlineStr">
        <is>
          <t>Azure</t>
        </is>
      </c>
      <c r="F749" s="11" t="inlineStr">
        <is>
          <t>Lead</t>
        </is>
      </c>
      <c r="G749" s="21" t="inlineStr">
        <is>
          <t>High</t>
        </is>
      </c>
      <c r="H749" s="23">
        <f>VLOOKUP(F749,'Internal Cost Model'!$B$6:$F$15,5,FALSE)</f>
        <v/>
      </c>
      <c r="I749" s="24">
        <f>H749*VLOOKUP(G749,Assumptions!$B$43:$C$45,2,FALSE)</f>
        <v/>
      </c>
      <c r="J749" s="25">
        <f>VLOOKUP(F749,Assumptions!$B$50:$D$59,2,FALSE)*VLOOKUP("SI-T1",Assumptions!$B$27:$C$31,2,FALSE)*VLOOKUP(G749,Assumptions!$B$43:$C$45,2,FALSE)</f>
        <v/>
      </c>
    </row>
    <row r="750">
      <c r="B750" s="7" t="inlineStr">
        <is>
          <t>RC-0745</t>
        </is>
      </c>
      <c r="C750" s="11" t="inlineStr">
        <is>
          <t>Cloud</t>
        </is>
      </c>
      <c r="D750" s="7" t="inlineStr">
        <is>
          <t>Azure Security Engineer</t>
        </is>
      </c>
      <c r="E750" s="11" t="inlineStr">
        <is>
          <t>Azure</t>
        </is>
      </c>
      <c r="F750" s="11" t="inlineStr">
        <is>
          <t>Senior</t>
        </is>
      </c>
      <c r="G750" s="21" t="inlineStr">
        <is>
          <t>High</t>
        </is>
      </c>
      <c r="H750" s="23">
        <f>VLOOKUP(F750,'Internal Cost Model'!$B$6:$F$15,5,FALSE)</f>
        <v/>
      </c>
      <c r="I750" s="24">
        <f>H750*VLOOKUP(G750,Assumptions!$B$43:$C$45,2,FALSE)</f>
        <v/>
      </c>
      <c r="J750" s="25">
        <f>VLOOKUP(F750,Assumptions!$B$50:$D$59,2,FALSE)*VLOOKUP("SI-T1",Assumptions!$B$27:$C$31,2,FALSE)*VLOOKUP(G750,Assumptions!$B$43:$C$45,2,FALSE)</f>
        <v/>
      </c>
    </row>
    <row r="751">
      <c r="B751" s="7" t="inlineStr">
        <is>
          <t>RC-0746</t>
        </is>
      </c>
      <c r="C751" s="11" t="inlineStr">
        <is>
          <t>Cloud</t>
        </is>
      </c>
      <c r="D751" s="7" t="inlineStr">
        <is>
          <t>AWS Data Engineer</t>
        </is>
      </c>
      <c r="E751" s="11" t="inlineStr">
        <is>
          <t>AWS</t>
        </is>
      </c>
      <c r="F751" s="11" t="inlineStr">
        <is>
          <t>Senior</t>
        </is>
      </c>
      <c r="G751" s="21" t="inlineStr">
        <is>
          <t>High</t>
        </is>
      </c>
      <c r="H751" s="23">
        <f>VLOOKUP(F751,'Internal Cost Model'!$B$6:$F$15,5,FALSE)</f>
        <v/>
      </c>
      <c r="I751" s="24">
        <f>H751*VLOOKUP(G751,Assumptions!$B$43:$C$45,2,FALSE)</f>
        <v/>
      </c>
      <c r="J751" s="25">
        <f>VLOOKUP(F751,Assumptions!$B$50:$D$59,2,FALSE)*VLOOKUP("SI-T1",Assumptions!$B$27:$C$31,2,FALSE)*VLOOKUP(G751,Assumptions!$B$43:$C$45,2,FALSE)</f>
        <v/>
      </c>
    </row>
    <row r="752">
      <c r="B752" s="7" t="inlineStr">
        <is>
          <t>RC-0747</t>
        </is>
      </c>
      <c r="C752" s="11" t="inlineStr">
        <is>
          <t>Cloud</t>
        </is>
      </c>
      <c r="D752" s="7" t="inlineStr">
        <is>
          <t>AWS Data Engineer</t>
        </is>
      </c>
      <c r="E752" s="11" t="inlineStr">
        <is>
          <t>AWS</t>
        </is>
      </c>
      <c r="F752" s="11" t="inlineStr">
        <is>
          <t>Intermediate</t>
        </is>
      </c>
      <c r="G752" s="21" t="inlineStr">
        <is>
          <t>High</t>
        </is>
      </c>
      <c r="H752" s="23">
        <f>VLOOKUP(F752,'Internal Cost Model'!$B$6:$F$15,5,FALSE)</f>
        <v/>
      </c>
      <c r="I752" s="24">
        <f>H752*VLOOKUP(G752,Assumptions!$B$43:$C$45,2,FALSE)</f>
        <v/>
      </c>
      <c r="J752" s="25">
        <f>VLOOKUP(F752,Assumptions!$B$50:$D$59,2,FALSE)*VLOOKUP("SI-T1",Assumptions!$B$27:$C$31,2,FALSE)*VLOOKUP(G752,Assumptions!$B$43:$C$45,2,FALSE)</f>
        <v/>
      </c>
    </row>
    <row r="753">
      <c r="B753" s="7" t="inlineStr">
        <is>
          <t>RC-0748</t>
        </is>
      </c>
      <c r="C753" s="11" t="inlineStr">
        <is>
          <t>Cloud</t>
        </is>
      </c>
      <c r="D753" s="7" t="inlineStr">
        <is>
          <t>AWS DevOps Engineer</t>
        </is>
      </c>
      <c r="E753" s="11" t="inlineStr">
        <is>
          <t>DevOps</t>
        </is>
      </c>
      <c r="F753" s="11" t="inlineStr">
        <is>
          <t>Senior</t>
        </is>
      </c>
      <c r="G753" s="21" t="inlineStr">
        <is>
          <t>High</t>
        </is>
      </c>
      <c r="H753" s="23">
        <f>VLOOKUP(F753,'Internal Cost Model'!$B$6:$F$15,5,FALSE)</f>
        <v/>
      </c>
      <c r="I753" s="24">
        <f>H753*VLOOKUP(G753,Assumptions!$B$43:$C$45,2,FALSE)</f>
        <v/>
      </c>
      <c r="J753" s="25">
        <f>VLOOKUP(F753,Assumptions!$B$50:$D$59,2,FALSE)*VLOOKUP("SI-T1",Assumptions!$B$27:$C$31,2,FALSE)*VLOOKUP(G753,Assumptions!$B$43:$C$45,2,FALSE)</f>
        <v/>
      </c>
    </row>
    <row r="754">
      <c r="B754" s="7" t="inlineStr">
        <is>
          <t>RC-0749</t>
        </is>
      </c>
      <c r="C754" s="11" t="inlineStr">
        <is>
          <t>Cloud</t>
        </is>
      </c>
      <c r="D754" s="7" t="inlineStr">
        <is>
          <t>AWS DevOps Engineer</t>
        </is>
      </c>
      <c r="E754" s="11" t="inlineStr">
        <is>
          <t>DevOps</t>
        </is>
      </c>
      <c r="F754" s="11" t="inlineStr">
        <is>
          <t>Intermediate</t>
        </is>
      </c>
      <c r="G754" s="21" t="inlineStr">
        <is>
          <t>High</t>
        </is>
      </c>
      <c r="H754" s="23">
        <f>VLOOKUP(F754,'Internal Cost Model'!$B$6:$F$15,5,FALSE)</f>
        <v/>
      </c>
      <c r="I754" s="24">
        <f>H754*VLOOKUP(G754,Assumptions!$B$43:$C$45,2,FALSE)</f>
        <v/>
      </c>
      <c r="J754" s="25">
        <f>VLOOKUP(F754,Assumptions!$B$50:$D$59,2,FALSE)*VLOOKUP("SI-T1",Assumptions!$B$27:$C$31,2,FALSE)*VLOOKUP(G754,Assumptions!$B$43:$C$45,2,FALSE)</f>
        <v/>
      </c>
    </row>
    <row r="755">
      <c r="B755" s="7" t="inlineStr">
        <is>
          <t>RC-0750</t>
        </is>
      </c>
      <c r="C755" s="11" t="inlineStr">
        <is>
          <t>Cloud</t>
        </is>
      </c>
      <c r="D755" s="7" t="inlineStr">
        <is>
          <t>GCP Data Engineer</t>
        </is>
      </c>
      <c r="E755" s="11" t="inlineStr">
        <is>
          <t>GCP</t>
        </is>
      </c>
      <c r="F755" s="11" t="inlineStr">
        <is>
          <t>Senior</t>
        </is>
      </c>
      <c r="G755" s="21" t="inlineStr">
        <is>
          <t>Medium</t>
        </is>
      </c>
      <c r="H755" s="23">
        <f>VLOOKUP(F755,'Internal Cost Model'!$B$6:$F$15,5,FALSE)</f>
        <v/>
      </c>
      <c r="I755" s="24">
        <f>H755*VLOOKUP(G755,Assumptions!$B$43:$C$45,2,FALSE)</f>
        <v/>
      </c>
      <c r="J755" s="25">
        <f>VLOOKUP(F755,Assumptions!$B$50:$D$59,2,FALSE)*VLOOKUP("SI-T1",Assumptions!$B$27:$C$31,2,FALSE)*VLOOKUP(G755,Assumptions!$B$43:$C$45,2,FALSE)</f>
        <v/>
      </c>
    </row>
    <row r="756">
      <c r="B756" s="7" t="inlineStr">
        <is>
          <t>RC-0751</t>
        </is>
      </c>
      <c r="C756" s="11" t="inlineStr">
        <is>
          <t>Cloud</t>
        </is>
      </c>
      <c r="D756" s="7" t="inlineStr">
        <is>
          <t>GCP Data Engineer</t>
        </is>
      </c>
      <c r="E756" s="11" t="inlineStr">
        <is>
          <t>GCP</t>
        </is>
      </c>
      <c r="F756" s="11" t="inlineStr">
        <is>
          <t>Intermediate</t>
        </is>
      </c>
      <c r="G756" s="21" t="inlineStr">
        <is>
          <t>Medium</t>
        </is>
      </c>
      <c r="H756" s="23">
        <f>VLOOKUP(F756,'Internal Cost Model'!$B$6:$F$15,5,FALSE)</f>
        <v/>
      </c>
      <c r="I756" s="24">
        <f>H756*VLOOKUP(G756,Assumptions!$B$43:$C$45,2,FALSE)</f>
        <v/>
      </c>
      <c r="J756" s="25">
        <f>VLOOKUP(F756,Assumptions!$B$50:$D$59,2,FALSE)*VLOOKUP("SI-T1",Assumptions!$B$27:$C$31,2,FALSE)*VLOOKUP(G756,Assumptions!$B$43:$C$45,2,FALSE)</f>
        <v/>
      </c>
    </row>
    <row r="757">
      <c r="B757" s="7" t="inlineStr">
        <is>
          <t>RC-0752</t>
        </is>
      </c>
      <c r="C757" s="11" t="inlineStr">
        <is>
          <t>Cloud</t>
        </is>
      </c>
      <c r="D757" s="7" t="inlineStr">
        <is>
          <t>Kubernetes Architect</t>
        </is>
      </c>
      <c r="E757" s="11" t="inlineStr">
        <is>
          <t>Kubernetes</t>
        </is>
      </c>
      <c r="F757" s="11" t="inlineStr">
        <is>
          <t>Director</t>
        </is>
      </c>
      <c r="G757" s="21" t="inlineStr">
        <is>
          <t>High</t>
        </is>
      </c>
      <c r="H757" s="23">
        <f>VLOOKUP(F757,'Internal Cost Model'!$B$6:$F$15,5,FALSE)</f>
        <v/>
      </c>
      <c r="I757" s="24">
        <f>H757*VLOOKUP(G757,Assumptions!$B$43:$C$45,2,FALSE)</f>
        <v/>
      </c>
      <c r="J757" s="25">
        <f>VLOOKUP(F757,Assumptions!$B$50:$D$59,2,FALSE)*VLOOKUP("SI-T1",Assumptions!$B$27:$C$31,2,FALSE)*VLOOKUP(G757,Assumptions!$B$43:$C$45,2,FALSE)</f>
        <v/>
      </c>
    </row>
    <row r="758">
      <c r="B758" s="7" t="inlineStr">
        <is>
          <t>RC-0753</t>
        </is>
      </c>
      <c r="C758" s="11" t="inlineStr">
        <is>
          <t>Cloud</t>
        </is>
      </c>
      <c r="D758" s="7" t="inlineStr">
        <is>
          <t>Kubernetes Architect</t>
        </is>
      </c>
      <c r="E758" s="11" t="inlineStr">
        <is>
          <t>Kubernetes</t>
        </is>
      </c>
      <c r="F758" s="11" t="inlineStr">
        <is>
          <t>Senior Manager</t>
        </is>
      </c>
      <c r="G758" s="21" t="inlineStr">
        <is>
          <t>High</t>
        </is>
      </c>
      <c r="H758" s="23">
        <f>VLOOKUP(F758,'Internal Cost Model'!$B$6:$F$15,5,FALSE)</f>
        <v/>
      </c>
      <c r="I758" s="24">
        <f>H758*VLOOKUP(G758,Assumptions!$B$43:$C$45,2,FALSE)</f>
        <v/>
      </c>
      <c r="J758" s="25">
        <f>VLOOKUP(F758,Assumptions!$B$50:$D$59,2,FALSE)*VLOOKUP("SI-T1",Assumptions!$B$27:$C$31,2,FALSE)*VLOOKUP(G758,Assumptions!$B$43:$C$45,2,FALSE)</f>
        <v/>
      </c>
    </row>
    <row r="759">
      <c r="B759" s="7" t="inlineStr">
        <is>
          <t>RC-0754</t>
        </is>
      </c>
      <c r="C759" s="11" t="inlineStr">
        <is>
          <t>Cloud</t>
        </is>
      </c>
      <c r="D759" s="7" t="inlineStr">
        <is>
          <t>Kubernetes Architect</t>
        </is>
      </c>
      <c r="E759" s="11" t="inlineStr">
        <is>
          <t>Kubernetes</t>
        </is>
      </c>
      <c r="F759" s="11" t="inlineStr">
        <is>
          <t>Manager</t>
        </is>
      </c>
      <c r="G759" s="21" t="inlineStr">
        <is>
          <t>High</t>
        </is>
      </c>
      <c r="H759" s="23">
        <f>VLOOKUP(F759,'Internal Cost Model'!$B$6:$F$15,5,FALSE)</f>
        <v/>
      </c>
      <c r="I759" s="24">
        <f>H759*VLOOKUP(G759,Assumptions!$B$43:$C$45,2,FALSE)</f>
        <v/>
      </c>
      <c r="J759" s="25">
        <f>VLOOKUP(F759,Assumptions!$B$50:$D$59,2,FALSE)*VLOOKUP("SI-T1",Assumptions!$B$27:$C$31,2,FALSE)*VLOOKUP(G759,Assumptions!$B$43:$C$45,2,FALSE)</f>
        <v/>
      </c>
    </row>
    <row r="760">
      <c r="B760" s="7" t="inlineStr">
        <is>
          <t>RC-0755</t>
        </is>
      </c>
      <c r="C760" s="11" t="inlineStr">
        <is>
          <t>Cloud</t>
        </is>
      </c>
      <c r="D760" s="7" t="inlineStr">
        <is>
          <t>Kubernetes Architect</t>
        </is>
      </c>
      <c r="E760" s="11" t="inlineStr">
        <is>
          <t>Kubernetes</t>
        </is>
      </c>
      <c r="F760" s="11" t="inlineStr">
        <is>
          <t>Lead</t>
        </is>
      </c>
      <c r="G760" s="21" t="inlineStr">
        <is>
          <t>High</t>
        </is>
      </c>
      <c r="H760" s="23">
        <f>VLOOKUP(F760,'Internal Cost Model'!$B$6:$F$15,5,FALSE)</f>
        <v/>
      </c>
      <c r="I760" s="24">
        <f>H760*VLOOKUP(G760,Assumptions!$B$43:$C$45,2,FALSE)</f>
        <v/>
      </c>
      <c r="J760" s="25">
        <f>VLOOKUP(F760,Assumptions!$B$50:$D$59,2,FALSE)*VLOOKUP("SI-T1",Assumptions!$B$27:$C$31,2,FALSE)*VLOOKUP(G760,Assumptions!$B$43:$C$45,2,FALSE)</f>
        <v/>
      </c>
    </row>
    <row r="761">
      <c r="B761" s="7" t="inlineStr">
        <is>
          <t>RC-0756</t>
        </is>
      </c>
      <c r="C761" s="11" t="inlineStr">
        <is>
          <t>Cloud</t>
        </is>
      </c>
      <c r="D761" s="7" t="inlineStr">
        <is>
          <t>Kubernetes Engineer</t>
        </is>
      </c>
      <c r="E761" s="11" t="inlineStr">
        <is>
          <t>Kubernetes</t>
        </is>
      </c>
      <c r="F761" s="11" t="inlineStr">
        <is>
          <t>Senior</t>
        </is>
      </c>
      <c r="G761" s="21" t="inlineStr">
        <is>
          <t>High</t>
        </is>
      </c>
      <c r="H761" s="23">
        <f>VLOOKUP(F761,'Internal Cost Model'!$B$6:$F$15,5,FALSE)</f>
        <v/>
      </c>
      <c r="I761" s="24">
        <f>H761*VLOOKUP(G761,Assumptions!$B$43:$C$45,2,FALSE)</f>
        <v/>
      </c>
      <c r="J761" s="25">
        <f>VLOOKUP(F761,Assumptions!$B$50:$D$59,2,FALSE)*VLOOKUP("SI-T1",Assumptions!$B$27:$C$31,2,FALSE)*VLOOKUP(G761,Assumptions!$B$43:$C$45,2,FALSE)</f>
        <v/>
      </c>
    </row>
    <row r="762">
      <c r="B762" s="7" t="inlineStr">
        <is>
          <t>RC-0757</t>
        </is>
      </c>
      <c r="C762" s="11" t="inlineStr">
        <is>
          <t>Cloud</t>
        </is>
      </c>
      <c r="D762" s="7" t="inlineStr">
        <is>
          <t>Kubernetes Engineer</t>
        </is>
      </c>
      <c r="E762" s="11" t="inlineStr">
        <is>
          <t>Kubernetes</t>
        </is>
      </c>
      <c r="F762" s="11" t="inlineStr">
        <is>
          <t>Intermediate</t>
        </is>
      </c>
      <c r="G762" s="21" t="inlineStr">
        <is>
          <t>High</t>
        </is>
      </c>
      <c r="H762" s="23">
        <f>VLOOKUP(F762,'Internal Cost Model'!$B$6:$F$15,5,FALSE)</f>
        <v/>
      </c>
      <c r="I762" s="24">
        <f>H762*VLOOKUP(G762,Assumptions!$B$43:$C$45,2,FALSE)</f>
        <v/>
      </c>
      <c r="J762" s="25">
        <f>VLOOKUP(F762,Assumptions!$B$50:$D$59,2,FALSE)*VLOOKUP("SI-T1",Assumptions!$B$27:$C$31,2,FALSE)*VLOOKUP(G762,Assumptions!$B$43:$C$45,2,FALSE)</f>
        <v/>
      </c>
    </row>
    <row r="763">
      <c r="B763" s="7" t="inlineStr">
        <is>
          <t>RC-0758</t>
        </is>
      </c>
      <c r="C763" s="11" t="inlineStr">
        <is>
          <t>Cloud</t>
        </is>
      </c>
      <c r="D763" s="7" t="inlineStr">
        <is>
          <t>FinOps Analyst</t>
        </is>
      </c>
      <c r="E763" s="11" t="inlineStr">
        <is>
          <t>FinOps</t>
        </is>
      </c>
      <c r="F763" s="11" t="inlineStr">
        <is>
          <t>Senior</t>
        </is>
      </c>
      <c r="G763" s="21" t="inlineStr">
        <is>
          <t>Medium</t>
        </is>
      </c>
      <c r="H763" s="23">
        <f>VLOOKUP(F763,'Internal Cost Model'!$B$6:$F$15,5,FALSE)</f>
        <v/>
      </c>
      <c r="I763" s="24">
        <f>H763*VLOOKUP(G763,Assumptions!$B$43:$C$45,2,FALSE)</f>
        <v/>
      </c>
      <c r="J763" s="25">
        <f>VLOOKUP(F763,Assumptions!$B$50:$D$59,2,FALSE)*VLOOKUP("SI-T1",Assumptions!$B$27:$C$31,2,FALSE)*VLOOKUP(G763,Assumptions!$B$43:$C$45,2,FALSE)</f>
        <v/>
      </c>
    </row>
    <row r="764">
      <c r="B764" s="7" t="inlineStr">
        <is>
          <t>RC-0759</t>
        </is>
      </c>
      <c r="C764" s="11" t="inlineStr">
        <is>
          <t>Cloud</t>
        </is>
      </c>
      <c r="D764" s="7" t="inlineStr">
        <is>
          <t>FinOps Analyst</t>
        </is>
      </c>
      <c r="E764" s="11" t="inlineStr">
        <is>
          <t>FinOps</t>
        </is>
      </c>
      <c r="F764" s="11" t="inlineStr">
        <is>
          <t>Intermediate</t>
        </is>
      </c>
      <c r="G764" s="21" t="inlineStr">
        <is>
          <t>Medium</t>
        </is>
      </c>
      <c r="H764" s="23">
        <f>VLOOKUP(F764,'Internal Cost Model'!$B$6:$F$15,5,FALSE)</f>
        <v/>
      </c>
      <c r="I764" s="24">
        <f>H764*VLOOKUP(G764,Assumptions!$B$43:$C$45,2,FALSE)</f>
        <v/>
      </c>
      <c r="J764" s="25">
        <f>VLOOKUP(F764,Assumptions!$B$50:$D$59,2,FALSE)*VLOOKUP("SI-T1",Assumptions!$B$27:$C$31,2,FALSE)*VLOOKUP(G764,Assumptions!$B$43:$C$45,2,FALSE)</f>
        <v/>
      </c>
    </row>
    <row r="765">
      <c r="B765" s="7" t="inlineStr">
        <is>
          <t>RC-0760</t>
        </is>
      </c>
      <c r="C765" s="11" t="inlineStr">
        <is>
          <t>Cloud</t>
        </is>
      </c>
      <c r="D765" s="7" t="inlineStr">
        <is>
          <t>IaC / Terraform Engineer</t>
        </is>
      </c>
      <c r="E765" s="11" t="inlineStr">
        <is>
          <t>Infrastructure as Code</t>
        </is>
      </c>
      <c r="F765" s="11" t="inlineStr">
        <is>
          <t>Senior</t>
        </is>
      </c>
      <c r="G765" s="21" t="inlineStr">
        <is>
          <t>High</t>
        </is>
      </c>
      <c r="H765" s="23">
        <f>VLOOKUP(F765,'Internal Cost Model'!$B$6:$F$15,5,FALSE)</f>
        <v/>
      </c>
      <c r="I765" s="24">
        <f>H765*VLOOKUP(G765,Assumptions!$B$43:$C$45,2,FALSE)</f>
        <v/>
      </c>
      <c r="J765" s="25">
        <f>VLOOKUP(F765,Assumptions!$B$50:$D$59,2,FALSE)*VLOOKUP("SI-T1",Assumptions!$B$27:$C$31,2,FALSE)*VLOOKUP(G765,Assumptions!$B$43:$C$45,2,FALSE)</f>
        <v/>
      </c>
    </row>
    <row r="766">
      <c r="B766" s="7" t="inlineStr">
        <is>
          <t>RC-0761</t>
        </is>
      </c>
      <c r="C766" s="11" t="inlineStr">
        <is>
          <t>Cloud</t>
        </is>
      </c>
      <c r="D766" s="7" t="inlineStr">
        <is>
          <t>IaC / Terraform Engineer</t>
        </is>
      </c>
      <c r="E766" s="11" t="inlineStr">
        <is>
          <t>Infrastructure as Code</t>
        </is>
      </c>
      <c r="F766" s="11" t="inlineStr">
        <is>
          <t>Intermediate</t>
        </is>
      </c>
      <c r="G766" s="21" t="inlineStr">
        <is>
          <t>High</t>
        </is>
      </c>
      <c r="H766" s="23">
        <f>VLOOKUP(F766,'Internal Cost Model'!$B$6:$F$15,5,FALSE)</f>
        <v/>
      </c>
      <c r="I766" s="24">
        <f>H766*VLOOKUP(G766,Assumptions!$B$43:$C$45,2,FALSE)</f>
        <v/>
      </c>
      <c r="J766" s="25">
        <f>VLOOKUP(F766,Assumptions!$B$50:$D$59,2,FALSE)*VLOOKUP("SI-T1",Assumptions!$B$27:$C$31,2,FALSE)*VLOOKUP(G766,Assumptions!$B$43:$C$45,2,FALSE)</f>
        <v/>
      </c>
    </row>
    <row r="767">
      <c r="B767" s="7" t="inlineStr">
        <is>
          <t>RC-0762</t>
        </is>
      </c>
      <c r="C767" s="11" t="inlineStr">
        <is>
          <t>Cloud</t>
        </is>
      </c>
      <c r="D767" s="7" t="inlineStr">
        <is>
          <t>Landing Zone Architect</t>
        </is>
      </c>
      <c r="E767" s="11" t="inlineStr">
        <is>
          <t>Platform Engineering</t>
        </is>
      </c>
      <c r="F767" s="11" t="inlineStr">
        <is>
          <t>Director</t>
        </is>
      </c>
      <c r="G767" s="21" t="inlineStr">
        <is>
          <t>High</t>
        </is>
      </c>
      <c r="H767" s="23">
        <f>VLOOKUP(F767,'Internal Cost Model'!$B$6:$F$15,5,FALSE)</f>
        <v/>
      </c>
      <c r="I767" s="24">
        <f>H767*VLOOKUP(G767,Assumptions!$B$43:$C$45,2,FALSE)</f>
        <v/>
      </c>
      <c r="J767" s="25">
        <f>VLOOKUP(F767,Assumptions!$B$50:$D$59,2,FALSE)*VLOOKUP("SI-T1",Assumptions!$B$27:$C$31,2,FALSE)*VLOOKUP(G767,Assumptions!$B$43:$C$45,2,FALSE)</f>
        <v/>
      </c>
    </row>
    <row r="768">
      <c r="B768" s="7" t="inlineStr">
        <is>
          <t>RC-0763</t>
        </is>
      </c>
      <c r="C768" s="11" t="inlineStr">
        <is>
          <t>Cloud</t>
        </is>
      </c>
      <c r="D768" s="7" t="inlineStr">
        <is>
          <t>Landing Zone Architect</t>
        </is>
      </c>
      <c r="E768" s="11" t="inlineStr">
        <is>
          <t>Platform Engineering</t>
        </is>
      </c>
      <c r="F768" s="11" t="inlineStr">
        <is>
          <t>Senior Manager</t>
        </is>
      </c>
      <c r="G768" s="21" t="inlineStr">
        <is>
          <t>High</t>
        </is>
      </c>
      <c r="H768" s="23">
        <f>VLOOKUP(F768,'Internal Cost Model'!$B$6:$F$15,5,FALSE)</f>
        <v/>
      </c>
      <c r="I768" s="24">
        <f>H768*VLOOKUP(G768,Assumptions!$B$43:$C$45,2,FALSE)</f>
        <v/>
      </c>
      <c r="J768" s="25">
        <f>VLOOKUP(F768,Assumptions!$B$50:$D$59,2,FALSE)*VLOOKUP("SI-T1",Assumptions!$B$27:$C$31,2,FALSE)*VLOOKUP(G768,Assumptions!$B$43:$C$45,2,FALSE)</f>
        <v/>
      </c>
    </row>
    <row r="769">
      <c r="B769" s="7" t="inlineStr">
        <is>
          <t>RC-0764</t>
        </is>
      </c>
      <c r="C769" s="11" t="inlineStr">
        <is>
          <t>Cloud</t>
        </is>
      </c>
      <c r="D769" s="7" t="inlineStr">
        <is>
          <t>Landing Zone Architect</t>
        </is>
      </c>
      <c r="E769" s="11" t="inlineStr">
        <is>
          <t>Platform Engineering</t>
        </is>
      </c>
      <c r="F769" s="11" t="inlineStr">
        <is>
          <t>Manager</t>
        </is>
      </c>
      <c r="G769" s="21" t="inlineStr">
        <is>
          <t>High</t>
        </is>
      </c>
      <c r="H769" s="23">
        <f>VLOOKUP(F769,'Internal Cost Model'!$B$6:$F$15,5,FALSE)</f>
        <v/>
      </c>
      <c r="I769" s="24">
        <f>H769*VLOOKUP(G769,Assumptions!$B$43:$C$45,2,FALSE)</f>
        <v/>
      </c>
      <c r="J769" s="25">
        <f>VLOOKUP(F769,Assumptions!$B$50:$D$59,2,FALSE)*VLOOKUP("SI-T1",Assumptions!$B$27:$C$31,2,FALSE)*VLOOKUP(G769,Assumptions!$B$43:$C$45,2,FALSE)</f>
        <v/>
      </c>
    </row>
    <row r="770">
      <c r="B770" s="7" t="inlineStr">
        <is>
          <t>RC-0765</t>
        </is>
      </c>
      <c r="C770" s="11" t="inlineStr">
        <is>
          <t>Cloud</t>
        </is>
      </c>
      <c r="D770" s="7" t="inlineStr">
        <is>
          <t>Landing Zone Architect</t>
        </is>
      </c>
      <c r="E770" s="11" t="inlineStr">
        <is>
          <t>Platform Engineering</t>
        </is>
      </c>
      <c r="F770" s="11" t="inlineStr">
        <is>
          <t>Lead</t>
        </is>
      </c>
      <c r="G770" s="21" t="inlineStr">
        <is>
          <t>High</t>
        </is>
      </c>
      <c r="H770" s="23">
        <f>VLOOKUP(F770,'Internal Cost Model'!$B$6:$F$15,5,FALSE)</f>
        <v/>
      </c>
      <c r="I770" s="24">
        <f>H770*VLOOKUP(G770,Assumptions!$B$43:$C$45,2,FALSE)</f>
        <v/>
      </c>
      <c r="J770" s="25">
        <f>VLOOKUP(F770,Assumptions!$B$50:$D$59,2,FALSE)*VLOOKUP("SI-T1",Assumptions!$B$27:$C$31,2,FALSE)*VLOOKUP(G770,Assumptions!$B$43:$C$45,2,FALSE)</f>
        <v/>
      </c>
    </row>
    <row r="771">
      <c r="B771" s="7" t="inlineStr">
        <is>
          <t>RC-0766</t>
        </is>
      </c>
      <c r="C771" s="11" t="inlineStr">
        <is>
          <t>Cloud</t>
        </is>
      </c>
      <c r="D771" s="7" t="inlineStr">
        <is>
          <t>Cloud Migration Engineer</t>
        </is>
      </c>
      <c r="E771" s="11" t="inlineStr">
        <is>
          <t>Azure</t>
        </is>
      </c>
      <c r="F771" s="11" t="inlineStr">
        <is>
          <t>Senior</t>
        </is>
      </c>
      <c r="G771" s="21" t="inlineStr">
        <is>
          <t>Medium</t>
        </is>
      </c>
      <c r="H771" s="23">
        <f>VLOOKUP(F771,'Internal Cost Model'!$B$6:$F$15,5,FALSE)</f>
        <v/>
      </c>
      <c r="I771" s="24">
        <f>H771*VLOOKUP(G771,Assumptions!$B$43:$C$45,2,FALSE)</f>
        <v/>
      </c>
      <c r="J771" s="25">
        <f>VLOOKUP(F771,Assumptions!$B$50:$D$59,2,FALSE)*VLOOKUP("SI-T1",Assumptions!$B$27:$C$31,2,FALSE)*VLOOKUP(G771,Assumptions!$B$43:$C$45,2,FALSE)</f>
        <v/>
      </c>
    </row>
    <row r="772">
      <c r="B772" s="7" t="inlineStr">
        <is>
          <t>RC-0767</t>
        </is>
      </c>
      <c r="C772" s="11" t="inlineStr">
        <is>
          <t>Cloud</t>
        </is>
      </c>
      <c r="D772" s="7" t="inlineStr">
        <is>
          <t>Cloud Migration Engineer</t>
        </is>
      </c>
      <c r="E772" s="11" t="inlineStr">
        <is>
          <t>Azure</t>
        </is>
      </c>
      <c r="F772" s="11" t="inlineStr">
        <is>
          <t>Intermediate</t>
        </is>
      </c>
      <c r="G772" s="21" t="inlineStr">
        <is>
          <t>Medium</t>
        </is>
      </c>
      <c r="H772" s="23">
        <f>VLOOKUP(F772,'Internal Cost Model'!$B$6:$F$15,5,FALSE)</f>
        <v/>
      </c>
      <c r="I772" s="24">
        <f>H772*VLOOKUP(G772,Assumptions!$B$43:$C$45,2,FALSE)</f>
        <v/>
      </c>
      <c r="J772" s="25">
        <f>VLOOKUP(F772,Assumptions!$B$50:$D$59,2,FALSE)*VLOOKUP("SI-T1",Assumptions!$B$27:$C$31,2,FALSE)*VLOOKUP(G772,Assumptions!$B$43:$C$45,2,FALSE)</f>
        <v/>
      </c>
    </row>
    <row r="773">
      <c r="B773" s="7" t="inlineStr">
        <is>
          <t>RC-0768</t>
        </is>
      </c>
      <c r="C773" s="11" t="inlineStr">
        <is>
          <t>Cloud</t>
        </is>
      </c>
      <c r="D773" s="7" t="inlineStr">
        <is>
          <t>SRE Engineer</t>
        </is>
      </c>
      <c r="E773" s="11" t="inlineStr">
        <is>
          <t>SRE</t>
        </is>
      </c>
      <c r="F773" s="11" t="inlineStr">
        <is>
          <t>Senior</t>
        </is>
      </c>
      <c r="G773" s="21" t="inlineStr">
        <is>
          <t>High</t>
        </is>
      </c>
      <c r="H773" s="23">
        <f>VLOOKUP(F773,'Internal Cost Model'!$B$6:$F$15,5,FALSE)</f>
        <v/>
      </c>
      <c r="I773" s="24">
        <f>H773*VLOOKUP(G773,Assumptions!$B$43:$C$45,2,FALSE)</f>
        <v/>
      </c>
      <c r="J773" s="25">
        <f>VLOOKUP(F773,Assumptions!$B$50:$D$59,2,FALSE)*VLOOKUP("SI-T1",Assumptions!$B$27:$C$31,2,FALSE)*VLOOKUP(G773,Assumptions!$B$43:$C$45,2,FALSE)</f>
        <v/>
      </c>
    </row>
    <row r="774">
      <c r="B774" s="7" t="inlineStr">
        <is>
          <t>RC-0769</t>
        </is>
      </c>
      <c r="C774" s="11" t="inlineStr">
        <is>
          <t>Cloud</t>
        </is>
      </c>
      <c r="D774" s="7" t="inlineStr">
        <is>
          <t>SRE Engineer</t>
        </is>
      </c>
      <c r="E774" s="11" t="inlineStr">
        <is>
          <t>SRE</t>
        </is>
      </c>
      <c r="F774" s="11" t="inlineStr">
        <is>
          <t>Intermediate</t>
        </is>
      </c>
      <c r="G774" s="21" t="inlineStr">
        <is>
          <t>High</t>
        </is>
      </c>
      <c r="H774" s="23">
        <f>VLOOKUP(F774,'Internal Cost Model'!$B$6:$F$15,5,FALSE)</f>
        <v/>
      </c>
      <c r="I774" s="24">
        <f>H774*VLOOKUP(G774,Assumptions!$B$43:$C$45,2,FALSE)</f>
        <v/>
      </c>
      <c r="J774" s="25">
        <f>VLOOKUP(F774,Assumptions!$B$50:$D$59,2,FALSE)*VLOOKUP("SI-T1",Assumptions!$B$27:$C$31,2,FALSE)*VLOOKUP(G774,Assumptions!$B$43:$C$45,2,FALSE)</f>
        <v/>
      </c>
    </row>
    <row r="775">
      <c r="B775" s="7" t="inlineStr">
        <is>
          <t>RC-0770</t>
        </is>
      </c>
      <c r="C775" s="11" t="inlineStr">
        <is>
          <t>Infrastructure</t>
        </is>
      </c>
      <c r="D775" s="7" t="inlineStr">
        <is>
          <t>Cloud Infrastructure Engineer</t>
        </is>
      </c>
      <c r="E775" s="11" t="inlineStr">
        <is>
          <t>Compute</t>
        </is>
      </c>
      <c r="F775" s="11" t="inlineStr">
        <is>
          <t>Senior</t>
        </is>
      </c>
      <c r="G775" s="21" t="inlineStr">
        <is>
          <t>Medium</t>
        </is>
      </c>
      <c r="H775" s="23">
        <f>VLOOKUP(F775,'Internal Cost Model'!$B$6:$F$15,5,FALSE)</f>
        <v/>
      </c>
      <c r="I775" s="24">
        <f>H775*VLOOKUP(G775,Assumptions!$B$43:$C$45,2,FALSE)</f>
        <v/>
      </c>
      <c r="J775" s="25">
        <f>VLOOKUP(F775,Assumptions!$B$50:$D$59,2,FALSE)*VLOOKUP("SI-T1",Assumptions!$B$27:$C$31,2,FALSE)*VLOOKUP(G775,Assumptions!$B$43:$C$45,2,FALSE)</f>
        <v/>
      </c>
    </row>
    <row r="776">
      <c r="B776" s="7" t="inlineStr">
        <is>
          <t>RC-0771</t>
        </is>
      </c>
      <c r="C776" s="11" t="inlineStr">
        <is>
          <t>Infrastructure</t>
        </is>
      </c>
      <c r="D776" s="7" t="inlineStr">
        <is>
          <t>Cloud Infrastructure Engineer</t>
        </is>
      </c>
      <c r="E776" s="11" t="inlineStr">
        <is>
          <t>Compute</t>
        </is>
      </c>
      <c r="F776" s="11" t="inlineStr">
        <is>
          <t>Intermediate</t>
        </is>
      </c>
      <c r="G776" s="21" t="inlineStr">
        <is>
          <t>Medium</t>
        </is>
      </c>
      <c r="H776" s="23">
        <f>VLOOKUP(F776,'Internal Cost Model'!$B$6:$F$15,5,FALSE)</f>
        <v/>
      </c>
      <c r="I776" s="24">
        <f>H776*VLOOKUP(G776,Assumptions!$B$43:$C$45,2,FALSE)</f>
        <v/>
      </c>
      <c r="J776" s="25">
        <f>VLOOKUP(F776,Assumptions!$B$50:$D$59,2,FALSE)*VLOOKUP("SI-T1",Assumptions!$B$27:$C$31,2,FALSE)*VLOOKUP(G776,Assumptions!$B$43:$C$45,2,FALSE)</f>
        <v/>
      </c>
    </row>
    <row r="777">
      <c r="B777" s="7" t="inlineStr">
        <is>
          <t>RC-0772</t>
        </is>
      </c>
      <c r="C777" s="11" t="inlineStr">
        <is>
          <t>Infrastructure</t>
        </is>
      </c>
      <c r="D777" s="7" t="inlineStr">
        <is>
          <t>Virtualization Engineer</t>
        </is>
      </c>
      <c r="E777" s="11" t="inlineStr">
        <is>
          <t>Compute</t>
        </is>
      </c>
      <c r="F777" s="11" t="inlineStr">
        <is>
          <t>Senior</t>
        </is>
      </c>
      <c r="G777" s="21" t="inlineStr">
        <is>
          <t>Medium</t>
        </is>
      </c>
      <c r="H777" s="23">
        <f>VLOOKUP(F777,'Internal Cost Model'!$B$6:$F$15,5,FALSE)</f>
        <v/>
      </c>
      <c r="I777" s="24">
        <f>H777*VLOOKUP(G777,Assumptions!$B$43:$C$45,2,FALSE)</f>
        <v/>
      </c>
      <c r="J777" s="25">
        <f>VLOOKUP(F777,Assumptions!$B$50:$D$59,2,FALSE)*VLOOKUP("SI-T1",Assumptions!$B$27:$C$31,2,FALSE)*VLOOKUP(G777,Assumptions!$B$43:$C$45,2,FALSE)</f>
        <v/>
      </c>
    </row>
    <row r="778">
      <c r="B778" s="7" t="inlineStr">
        <is>
          <t>RC-0773</t>
        </is>
      </c>
      <c r="C778" s="11" t="inlineStr">
        <is>
          <t>Infrastructure</t>
        </is>
      </c>
      <c r="D778" s="7" t="inlineStr">
        <is>
          <t>Virtualization Engineer</t>
        </is>
      </c>
      <c r="E778" s="11" t="inlineStr">
        <is>
          <t>Compute</t>
        </is>
      </c>
      <c r="F778" s="11" t="inlineStr">
        <is>
          <t>Intermediate</t>
        </is>
      </c>
      <c r="G778" s="21" t="inlineStr">
        <is>
          <t>Medium</t>
        </is>
      </c>
      <c r="H778" s="23">
        <f>VLOOKUP(F778,'Internal Cost Model'!$B$6:$F$15,5,FALSE)</f>
        <v/>
      </c>
      <c r="I778" s="24">
        <f>H778*VLOOKUP(G778,Assumptions!$B$43:$C$45,2,FALSE)</f>
        <v/>
      </c>
      <c r="J778" s="25">
        <f>VLOOKUP(F778,Assumptions!$B$50:$D$59,2,FALSE)*VLOOKUP("SI-T1",Assumptions!$B$27:$C$31,2,FALSE)*VLOOKUP(G778,Assumptions!$B$43:$C$45,2,FALSE)</f>
        <v/>
      </c>
    </row>
    <row r="779">
      <c r="B779" s="7" t="inlineStr">
        <is>
          <t>RC-0774</t>
        </is>
      </c>
      <c r="C779" s="11" t="inlineStr">
        <is>
          <t>Infrastructure</t>
        </is>
      </c>
      <c r="D779" s="7" t="inlineStr">
        <is>
          <t>Backup &amp; DR Engineer</t>
        </is>
      </c>
      <c r="E779" s="11" t="inlineStr">
        <is>
          <t>Storage</t>
        </is>
      </c>
      <c r="F779" s="11" t="inlineStr">
        <is>
          <t>Senior</t>
        </is>
      </c>
      <c r="G779" s="21" t="inlineStr">
        <is>
          <t>Medium</t>
        </is>
      </c>
      <c r="H779" s="23">
        <f>VLOOKUP(F779,'Internal Cost Model'!$B$6:$F$15,5,FALSE)</f>
        <v/>
      </c>
      <c r="I779" s="24">
        <f>H779*VLOOKUP(G779,Assumptions!$B$43:$C$45,2,FALSE)</f>
        <v/>
      </c>
      <c r="J779" s="25">
        <f>VLOOKUP(F779,Assumptions!$B$50:$D$59,2,FALSE)*VLOOKUP("SI-T1",Assumptions!$B$27:$C$31,2,FALSE)*VLOOKUP(G779,Assumptions!$B$43:$C$45,2,FALSE)</f>
        <v/>
      </c>
    </row>
    <row r="780">
      <c r="B780" s="7" t="inlineStr">
        <is>
          <t>RC-0775</t>
        </is>
      </c>
      <c r="C780" s="11" t="inlineStr">
        <is>
          <t>Infrastructure</t>
        </is>
      </c>
      <c r="D780" s="7" t="inlineStr">
        <is>
          <t>Backup &amp; DR Engineer</t>
        </is>
      </c>
      <c r="E780" s="11" t="inlineStr">
        <is>
          <t>Storage</t>
        </is>
      </c>
      <c r="F780" s="11" t="inlineStr">
        <is>
          <t>Intermediate</t>
        </is>
      </c>
      <c r="G780" s="21" t="inlineStr">
        <is>
          <t>Medium</t>
        </is>
      </c>
      <c r="H780" s="23">
        <f>VLOOKUP(F780,'Internal Cost Model'!$B$6:$F$15,5,FALSE)</f>
        <v/>
      </c>
      <c r="I780" s="24">
        <f>H780*VLOOKUP(G780,Assumptions!$B$43:$C$45,2,FALSE)</f>
        <v/>
      </c>
      <c r="J780" s="25">
        <f>VLOOKUP(F780,Assumptions!$B$50:$D$59,2,FALSE)*VLOOKUP("SI-T1",Assumptions!$B$27:$C$31,2,FALSE)*VLOOKUP(G780,Assumptions!$B$43:$C$45,2,FALSE)</f>
        <v/>
      </c>
    </row>
    <row r="781">
      <c r="B781" s="7" t="inlineStr">
        <is>
          <t>RC-0776</t>
        </is>
      </c>
      <c r="C781" s="11" t="inlineStr">
        <is>
          <t>Infrastructure</t>
        </is>
      </c>
      <c r="D781" s="7" t="inlineStr">
        <is>
          <t>Active Directory Engineer</t>
        </is>
      </c>
      <c r="E781" s="11" t="inlineStr">
        <is>
          <t>Identity</t>
        </is>
      </c>
      <c r="F781" s="11" t="inlineStr">
        <is>
          <t>Senior</t>
        </is>
      </c>
      <c r="G781" s="21" t="inlineStr">
        <is>
          <t>Medium</t>
        </is>
      </c>
      <c r="H781" s="23">
        <f>VLOOKUP(F781,'Internal Cost Model'!$B$6:$F$15,5,FALSE)</f>
        <v/>
      </c>
      <c r="I781" s="24">
        <f>H781*VLOOKUP(G781,Assumptions!$B$43:$C$45,2,FALSE)</f>
        <v/>
      </c>
      <c r="J781" s="25">
        <f>VLOOKUP(F781,Assumptions!$B$50:$D$59,2,FALSE)*VLOOKUP("SI-T1",Assumptions!$B$27:$C$31,2,FALSE)*VLOOKUP(G781,Assumptions!$B$43:$C$45,2,FALSE)</f>
        <v/>
      </c>
    </row>
    <row r="782">
      <c r="B782" s="7" t="inlineStr">
        <is>
          <t>RC-0777</t>
        </is>
      </c>
      <c r="C782" s="11" t="inlineStr">
        <is>
          <t>Infrastructure</t>
        </is>
      </c>
      <c r="D782" s="7" t="inlineStr">
        <is>
          <t>Active Directory Engineer</t>
        </is>
      </c>
      <c r="E782" s="11" t="inlineStr">
        <is>
          <t>Identity</t>
        </is>
      </c>
      <c r="F782" s="11" t="inlineStr">
        <is>
          <t>Intermediate</t>
        </is>
      </c>
      <c r="G782" s="21" t="inlineStr">
        <is>
          <t>Medium</t>
        </is>
      </c>
      <c r="H782" s="23">
        <f>VLOOKUP(F782,'Internal Cost Model'!$B$6:$F$15,5,FALSE)</f>
        <v/>
      </c>
      <c r="I782" s="24">
        <f>H782*VLOOKUP(G782,Assumptions!$B$43:$C$45,2,FALSE)</f>
        <v/>
      </c>
      <c r="J782" s="25">
        <f>VLOOKUP(F782,Assumptions!$B$50:$D$59,2,FALSE)*VLOOKUP("SI-T1",Assumptions!$B$27:$C$31,2,FALSE)*VLOOKUP(G782,Assumptions!$B$43:$C$45,2,FALSE)</f>
        <v/>
      </c>
    </row>
    <row r="783">
      <c r="B783" s="7" t="inlineStr">
        <is>
          <t>RC-0778</t>
        </is>
      </c>
      <c r="C783" s="11" t="inlineStr">
        <is>
          <t>Infrastructure</t>
        </is>
      </c>
      <c r="D783" s="7" t="inlineStr">
        <is>
          <t>Endpoint Engineer</t>
        </is>
      </c>
      <c r="E783" s="11" t="inlineStr">
        <is>
          <t>End-User Compute</t>
        </is>
      </c>
      <c r="F783" s="11" t="inlineStr">
        <is>
          <t>Senior</t>
        </is>
      </c>
      <c r="G783" s="21" t="inlineStr">
        <is>
          <t>Low</t>
        </is>
      </c>
      <c r="H783" s="23">
        <f>VLOOKUP(F783,'Internal Cost Model'!$B$6:$F$15,5,FALSE)</f>
        <v/>
      </c>
      <c r="I783" s="24">
        <f>H783*VLOOKUP(G783,Assumptions!$B$43:$C$45,2,FALSE)</f>
        <v/>
      </c>
      <c r="J783" s="25">
        <f>VLOOKUP(F783,Assumptions!$B$50:$D$59,2,FALSE)*VLOOKUP("SI-T1",Assumptions!$B$27:$C$31,2,FALSE)*VLOOKUP(G783,Assumptions!$B$43:$C$45,2,FALSE)</f>
        <v/>
      </c>
    </row>
    <row r="784">
      <c r="B784" s="7" t="inlineStr">
        <is>
          <t>RC-0779</t>
        </is>
      </c>
      <c r="C784" s="11" t="inlineStr">
        <is>
          <t>Infrastructure</t>
        </is>
      </c>
      <c r="D784" s="7" t="inlineStr">
        <is>
          <t>Endpoint Engineer</t>
        </is>
      </c>
      <c r="E784" s="11" t="inlineStr">
        <is>
          <t>End-User Compute</t>
        </is>
      </c>
      <c r="F784" s="11" t="inlineStr">
        <is>
          <t>Intermediate</t>
        </is>
      </c>
      <c r="G784" s="21" t="inlineStr">
        <is>
          <t>Low</t>
        </is>
      </c>
      <c r="H784" s="23">
        <f>VLOOKUP(F784,'Internal Cost Model'!$B$6:$F$15,5,FALSE)</f>
        <v/>
      </c>
      <c r="I784" s="24">
        <f>H784*VLOOKUP(G784,Assumptions!$B$43:$C$45,2,FALSE)</f>
        <v/>
      </c>
      <c r="J784" s="25">
        <f>VLOOKUP(F784,Assumptions!$B$50:$D$59,2,FALSE)*VLOOKUP("SI-T1",Assumptions!$B$27:$C$31,2,FALSE)*VLOOKUP(G784,Assumptions!$B$43:$C$45,2,FALSE)</f>
        <v/>
      </c>
    </row>
    <row r="785">
      <c r="B785" s="7" t="inlineStr">
        <is>
          <t>RC-0780</t>
        </is>
      </c>
      <c r="C785" s="11" t="inlineStr">
        <is>
          <t>Infrastructure</t>
        </is>
      </c>
      <c r="D785" s="7" t="inlineStr">
        <is>
          <t>Endpoint Engineer</t>
        </is>
      </c>
      <c r="E785" s="11" t="inlineStr">
        <is>
          <t>End-User Compute</t>
        </is>
      </c>
      <c r="F785" s="11" t="inlineStr">
        <is>
          <t>Junior</t>
        </is>
      </c>
      <c r="G785" s="21" t="inlineStr">
        <is>
          <t>Low</t>
        </is>
      </c>
      <c r="H785" s="23">
        <f>VLOOKUP(F785,'Internal Cost Model'!$B$6:$F$15,5,FALSE)</f>
        <v/>
      </c>
      <c r="I785" s="24">
        <f>H785*VLOOKUP(G785,Assumptions!$B$43:$C$45,2,FALSE)</f>
        <v/>
      </c>
      <c r="J785" s="25">
        <f>VLOOKUP(F785,Assumptions!$B$50:$D$59,2,FALSE)*VLOOKUP("SI-T1",Assumptions!$B$27:$C$31,2,FALSE)*VLOOKUP(G785,Assumptions!$B$43:$C$45,2,FALSE)</f>
        <v/>
      </c>
    </row>
    <row r="786">
      <c r="B786" s="7" t="inlineStr">
        <is>
          <t>RC-0781</t>
        </is>
      </c>
      <c r="C786" s="11" t="inlineStr">
        <is>
          <t>Infrastructure</t>
        </is>
      </c>
      <c r="D786" s="7" t="inlineStr">
        <is>
          <t>Network Engineer</t>
        </is>
      </c>
      <c r="E786" s="11" t="inlineStr">
        <is>
          <t>Network</t>
        </is>
      </c>
      <c r="F786" s="11" t="inlineStr">
        <is>
          <t>Senior</t>
        </is>
      </c>
      <c r="G786" s="21" t="inlineStr">
        <is>
          <t>Medium</t>
        </is>
      </c>
      <c r="H786" s="23">
        <f>VLOOKUP(F786,'Internal Cost Model'!$B$6:$F$15,5,FALSE)</f>
        <v/>
      </c>
      <c r="I786" s="24">
        <f>H786*VLOOKUP(G786,Assumptions!$B$43:$C$45,2,FALSE)</f>
        <v/>
      </c>
      <c r="J786" s="25">
        <f>VLOOKUP(F786,Assumptions!$B$50:$D$59,2,FALSE)*VLOOKUP("SI-T1",Assumptions!$B$27:$C$31,2,FALSE)*VLOOKUP(G786,Assumptions!$B$43:$C$45,2,FALSE)</f>
        <v/>
      </c>
    </row>
    <row r="787">
      <c r="B787" s="7" t="inlineStr">
        <is>
          <t>RC-0782</t>
        </is>
      </c>
      <c r="C787" s="11" t="inlineStr">
        <is>
          <t>Infrastructure</t>
        </is>
      </c>
      <c r="D787" s="7" t="inlineStr">
        <is>
          <t>Network Engineer</t>
        </is>
      </c>
      <c r="E787" s="11" t="inlineStr">
        <is>
          <t>Network</t>
        </is>
      </c>
      <c r="F787" s="11" t="inlineStr">
        <is>
          <t>Intermediate</t>
        </is>
      </c>
      <c r="G787" s="21" t="inlineStr">
        <is>
          <t>Medium</t>
        </is>
      </c>
      <c r="H787" s="23">
        <f>VLOOKUP(F787,'Internal Cost Model'!$B$6:$F$15,5,FALSE)</f>
        <v/>
      </c>
      <c r="I787" s="24">
        <f>H787*VLOOKUP(G787,Assumptions!$B$43:$C$45,2,FALSE)</f>
        <v/>
      </c>
      <c r="J787" s="25">
        <f>VLOOKUP(F787,Assumptions!$B$50:$D$59,2,FALSE)*VLOOKUP("SI-T1",Assumptions!$B$27:$C$31,2,FALSE)*VLOOKUP(G787,Assumptions!$B$43:$C$45,2,FALSE)</f>
        <v/>
      </c>
    </row>
    <row r="788">
      <c r="B788" s="7" t="inlineStr">
        <is>
          <t>RC-0783</t>
        </is>
      </c>
      <c r="C788" s="11" t="inlineStr">
        <is>
          <t>Cybersecurity</t>
        </is>
      </c>
      <c r="D788" s="7" t="inlineStr">
        <is>
          <t>CISO Advisor</t>
        </is>
      </c>
      <c r="E788" s="11" t="inlineStr">
        <is>
          <t>GRC</t>
        </is>
      </c>
      <c r="F788" s="11" t="inlineStr">
        <is>
          <t>Managing Director</t>
        </is>
      </c>
      <c r="G788" s="21" t="inlineStr">
        <is>
          <t>High</t>
        </is>
      </c>
      <c r="H788" s="23">
        <f>VLOOKUP(F788,'Internal Cost Model'!$B$6:$F$15,5,FALSE)</f>
        <v/>
      </c>
      <c r="I788" s="24">
        <f>H788*VLOOKUP(G788,Assumptions!$B$43:$C$45,2,FALSE)</f>
        <v/>
      </c>
      <c r="J788" s="25">
        <f>VLOOKUP(F788,Assumptions!$B$50:$D$59,2,FALSE)*VLOOKUP("SI-T1",Assumptions!$B$27:$C$31,2,FALSE)*VLOOKUP(G788,Assumptions!$B$43:$C$45,2,FALSE)</f>
        <v/>
      </c>
    </row>
    <row r="789">
      <c r="B789" s="7" t="inlineStr">
        <is>
          <t>RC-0784</t>
        </is>
      </c>
      <c r="C789" s="11" t="inlineStr">
        <is>
          <t>Cybersecurity</t>
        </is>
      </c>
      <c r="D789" s="7" t="inlineStr">
        <is>
          <t>CISO Advisor</t>
        </is>
      </c>
      <c r="E789" s="11" t="inlineStr">
        <is>
          <t>GRC</t>
        </is>
      </c>
      <c r="F789" s="11" t="inlineStr">
        <is>
          <t>Principal</t>
        </is>
      </c>
      <c r="G789" s="21" t="inlineStr">
        <is>
          <t>High</t>
        </is>
      </c>
      <c r="H789" s="23">
        <f>VLOOKUP(F789,'Internal Cost Model'!$B$6:$F$15,5,FALSE)</f>
        <v/>
      </c>
      <c r="I789" s="24">
        <f>H789*VLOOKUP(G789,Assumptions!$B$43:$C$45,2,FALSE)</f>
        <v/>
      </c>
      <c r="J789" s="25">
        <f>VLOOKUP(F789,Assumptions!$B$50:$D$59,2,FALSE)*VLOOKUP("SI-T1",Assumptions!$B$27:$C$31,2,FALSE)*VLOOKUP(G789,Assumptions!$B$43:$C$45,2,FALSE)</f>
        <v/>
      </c>
    </row>
    <row r="790">
      <c r="B790" s="7" t="inlineStr">
        <is>
          <t>RC-0785</t>
        </is>
      </c>
      <c r="C790" s="11" t="inlineStr">
        <is>
          <t>Cybersecurity</t>
        </is>
      </c>
      <c r="D790" s="7" t="inlineStr">
        <is>
          <t>CISO Advisor</t>
        </is>
      </c>
      <c r="E790" s="11" t="inlineStr">
        <is>
          <t>GRC</t>
        </is>
      </c>
      <c r="F790" s="11" t="inlineStr">
        <is>
          <t>Director</t>
        </is>
      </c>
      <c r="G790" s="21" t="inlineStr">
        <is>
          <t>High</t>
        </is>
      </c>
      <c r="H790" s="23">
        <f>VLOOKUP(F790,'Internal Cost Model'!$B$6:$F$15,5,FALSE)</f>
        <v/>
      </c>
      <c r="I790" s="24">
        <f>H790*VLOOKUP(G790,Assumptions!$B$43:$C$45,2,FALSE)</f>
        <v/>
      </c>
      <c r="J790" s="25">
        <f>VLOOKUP(F790,Assumptions!$B$50:$D$59,2,FALSE)*VLOOKUP("SI-T1",Assumptions!$B$27:$C$31,2,FALSE)*VLOOKUP(G790,Assumptions!$B$43:$C$45,2,FALSE)</f>
        <v/>
      </c>
    </row>
    <row r="791">
      <c r="B791" s="7" t="inlineStr">
        <is>
          <t>RC-0786</t>
        </is>
      </c>
      <c r="C791" s="11" t="inlineStr">
        <is>
          <t>Cybersecurity</t>
        </is>
      </c>
      <c r="D791" s="7" t="inlineStr">
        <is>
          <t>Security Architect</t>
        </is>
      </c>
      <c r="E791" s="11" t="inlineStr">
        <is>
          <t>Application Security</t>
        </is>
      </c>
      <c r="F791" s="11" t="inlineStr">
        <is>
          <t>Director</t>
        </is>
      </c>
      <c r="G791" s="21" t="inlineStr">
        <is>
          <t>High</t>
        </is>
      </c>
      <c r="H791" s="23">
        <f>VLOOKUP(F791,'Internal Cost Model'!$B$6:$F$15,5,FALSE)</f>
        <v/>
      </c>
      <c r="I791" s="24">
        <f>H791*VLOOKUP(G791,Assumptions!$B$43:$C$45,2,FALSE)</f>
        <v/>
      </c>
      <c r="J791" s="25">
        <f>VLOOKUP(F791,Assumptions!$B$50:$D$59,2,FALSE)*VLOOKUP("SI-T1",Assumptions!$B$27:$C$31,2,FALSE)*VLOOKUP(G791,Assumptions!$B$43:$C$45,2,FALSE)</f>
        <v/>
      </c>
    </row>
    <row r="792">
      <c r="B792" s="7" t="inlineStr">
        <is>
          <t>RC-0787</t>
        </is>
      </c>
      <c r="C792" s="11" t="inlineStr">
        <is>
          <t>Cybersecurity</t>
        </is>
      </c>
      <c r="D792" s="7" t="inlineStr">
        <is>
          <t>Security Architect</t>
        </is>
      </c>
      <c r="E792" s="11" t="inlineStr">
        <is>
          <t>Application Security</t>
        </is>
      </c>
      <c r="F792" s="11" t="inlineStr">
        <is>
          <t>Senior Manager</t>
        </is>
      </c>
      <c r="G792" s="21" t="inlineStr">
        <is>
          <t>High</t>
        </is>
      </c>
      <c r="H792" s="23">
        <f>VLOOKUP(F792,'Internal Cost Model'!$B$6:$F$15,5,FALSE)</f>
        <v/>
      </c>
      <c r="I792" s="24">
        <f>H792*VLOOKUP(G792,Assumptions!$B$43:$C$45,2,FALSE)</f>
        <v/>
      </c>
      <c r="J792" s="25">
        <f>VLOOKUP(F792,Assumptions!$B$50:$D$59,2,FALSE)*VLOOKUP("SI-T1",Assumptions!$B$27:$C$31,2,FALSE)*VLOOKUP(G792,Assumptions!$B$43:$C$45,2,FALSE)</f>
        <v/>
      </c>
    </row>
    <row r="793">
      <c r="B793" s="7" t="inlineStr">
        <is>
          <t>RC-0788</t>
        </is>
      </c>
      <c r="C793" s="11" t="inlineStr">
        <is>
          <t>Cybersecurity</t>
        </is>
      </c>
      <c r="D793" s="7" t="inlineStr">
        <is>
          <t>Security Architect</t>
        </is>
      </c>
      <c r="E793" s="11" t="inlineStr">
        <is>
          <t>Application Security</t>
        </is>
      </c>
      <c r="F793" s="11" t="inlineStr">
        <is>
          <t>Manager</t>
        </is>
      </c>
      <c r="G793" s="21" t="inlineStr">
        <is>
          <t>High</t>
        </is>
      </c>
      <c r="H793" s="23">
        <f>VLOOKUP(F793,'Internal Cost Model'!$B$6:$F$15,5,FALSE)</f>
        <v/>
      </c>
      <c r="I793" s="24">
        <f>H793*VLOOKUP(G793,Assumptions!$B$43:$C$45,2,FALSE)</f>
        <v/>
      </c>
      <c r="J793" s="25">
        <f>VLOOKUP(F793,Assumptions!$B$50:$D$59,2,FALSE)*VLOOKUP("SI-T1",Assumptions!$B$27:$C$31,2,FALSE)*VLOOKUP(G793,Assumptions!$B$43:$C$45,2,FALSE)</f>
        <v/>
      </c>
    </row>
    <row r="794">
      <c r="B794" s="7" t="inlineStr">
        <is>
          <t>RC-0789</t>
        </is>
      </c>
      <c r="C794" s="11" t="inlineStr">
        <is>
          <t>Cybersecurity</t>
        </is>
      </c>
      <c r="D794" s="7" t="inlineStr">
        <is>
          <t>Security Architect</t>
        </is>
      </c>
      <c r="E794" s="11" t="inlineStr">
        <is>
          <t>Application Security</t>
        </is>
      </c>
      <c r="F794" s="11" t="inlineStr">
        <is>
          <t>Lead</t>
        </is>
      </c>
      <c r="G794" s="21" t="inlineStr">
        <is>
          <t>High</t>
        </is>
      </c>
      <c r="H794" s="23">
        <f>VLOOKUP(F794,'Internal Cost Model'!$B$6:$F$15,5,FALSE)</f>
        <v/>
      </c>
      <c r="I794" s="24">
        <f>H794*VLOOKUP(G794,Assumptions!$B$43:$C$45,2,FALSE)</f>
        <v/>
      </c>
      <c r="J794" s="25">
        <f>VLOOKUP(F794,Assumptions!$B$50:$D$59,2,FALSE)*VLOOKUP("SI-T1",Assumptions!$B$27:$C$31,2,FALSE)*VLOOKUP(G794,Assumptions!$B$43:$C$45,2,FALSE)</f>
        <v/>
      </c>
    </row>
    <row r="795">
      <c r="B795" s="7" t="inlineStr">
        <is>
          <t>RC-0790</t>
        </is>
      </c>
      <c r="C795" s="11" t="inlineStr">
        <is>
          <t>Cybersecurity</t>
        </is>
      </c>
      <c r="D795" s="7" t="inlineStr">
        <is>
          <t>Cloud Security Engineer</t>
        </is>
      </c>
      <c r="E795" s="11" t="inlineStr">
        <is>
          <t>IAM</t>
        </is>
      </c>
      <c r="F795" s="11" t="inlineStr">
        <is>
          <t>Lead</t>
        </is>
      </c>
      <c r="G795" s="21" t="inlineStr">
        <is>
          <t>High</t>
        </is>
      </c>
      <c r="H795" s="23">
        <f>VLOOKUP(F795,'Internal Cost Model'!$B$6:$F$15,5,FALSE)</f>
        <v/>
      </c>
      <c r="I795" s="24">
        <f>H795*VLOOKUP(G795,Assumptions!$B$43:$C$45,2,FALSE)</f>
        <v/>
      </c>
      <c r="J795" s="25">
        <f>VLOOKUP(F795,Assumptions!$B$50:$D$59,2,FALSE)*VLOOKUP("SI-T1",Assumptions!$B$27:$C$31,2,FALSE)*VLOOKUP(G795,Assumptions!$B$43:$C$45,2,FALSE)</f>
        <v/>
      </c>
    </row>
    <row r="796">
      <c r="B796" s="7" t="inlineStr">
        <is>
          <t>RC-0791</t>
        </is>
      </c>
      <c r="C796" s="11" t="inlineStr">
        <is>
          <t>Cybersecurity</t>
        </is>
      </c>
      <c r="D796" s="7" t="inlineStr">
        <is>
          <t>Cloud Security Engineer</t>
        </is>
      </c>
      <c r="E796" s="11" t="inlineStr">
        <is>
          <t>IAM</t>
        </is>
      </c>
      <c r="F796" s="11" t="inlineStr">
        <is>
          <t>Senior</t>
        </is>
      </c>
      <c r="G796" s="21" t="inlineStr">
        <is>
          <t>High</t>
        </is>
      </c>
      <c r="H796" s="23">
        <f>VLOOKUP(F796,'Internal Cost Model'!$B$6:$F$15,5,FALSE)</f>
        <v/>
      </c>
      <c r="I796" s="24">
        <f>H796*VLOOKUP(G796,Assumptions!$B$43:$C$45,2,FALSE)</f>
        <v/>
      </c>
      <c r="J796" s="25">
        <f>VLOOKUP(F796,Assumptions!$B$50:$D$59,2,FALSE)*VLOOKUP("SI-T1",Assumptions!$B$27:$C$31,2,FALSE)*VLOOKUP(G796,Assumptions!$B$43:$C$45,2,FALSE)</f>
        <v/>
      </c>
    </row>
    <row r="797">
      <c r="B797" s="7" t="inlineStr">
        <is>
          <t>RC-0792</t>
        </is>
      </c>
      <c r="C797" s="11" t="inlineStr">
        <is>
          <t>Cybersecurity</t>
        </is>
      </c>
      <c r="D797" s="7" t="inlineStr">
        <is>
          <t>Zero Trust Architect</t>
        </is>
      </c>
      <c r="E797" s="11" t="inlineStr">
        <is>
          <t>Zero Trust</t>
        </is>
      </c>
      <c r="F797" s="11" t="inlineStr">
        <is>
          <t>Director</t>
        </is>
      </c>
      <c r="G797" s="21" t="inlineStr">
        <is>
          <t>High</t>
        </is>
      </c>
      <c r="H797" s="23">
        <f>VLOOKUP(F797,'Internal Cost Model'!$B$6:$F$15,5,FALSE)</f>
        <v/>
      </c>
      <c r="I797" s="24">
        <f>H797*VLOOKUP(G797,Assumptions!$B$43:$C$45,2,FALSE)</f>
        <v/>
      </c>
      <c r="J797" s="25">
        <f>VLOOKUP(F797,Assumptions!$B$50:$D$59,2,FALSE)*VLOOKUP("SI-T1",Assumptions!$B$27:$C$31,2,FALSE)*VLOOKUP(G797,Assumptions!$B$43:$C$45,2,FALSE)</f>
        <v/>
      </c>
    </row>
    <row r="798">
      <c r="B798" s="7" t="inlineStr">
        <is>
          <t>RC-0793</t>
        </is>
      </c>
      <c r="C798" s="11" t="inlineStr">
        <is>
          <t>Cybersecurity</t>
        </is>
      </c>
      <c r="D798" s="7" t="inlineStr">
        <is>
          <t>Zero Trust Architect</t>
        </is>
      </c>
      <c r="E798" s="11" t="inlineStr">
        <is>
          <t>Zero Trust</t>
        </is>
      </c>
      <c r="F798" s="11" t="inlineStr">
        <is>
          <t>Senior Manager</t>
        </is>
      </c>
      <c r="G798" s="21" t="inlineStr">
        <is>
          <t>High</t>
        </is>
      </c>
      <c r="H798" s="23">
        <f>VLOOKUP(F798,'Internal Cost Model'!$B$6:$F$15,5,FALSE)</f>
        <v/>
      </c>
      <c r="I798" s="24">
        <f>H798*VLOOKUP(G798,Assumptions!$B$43:$C$45,2,FALSE)</f>
        <v/>
      </c>
      <c r="J798" s="25">
        <f>VLOOKUP(F798,Assumptions!$B$50:$D$59,2,FALSE)*VLOOKUP("SI-T1",Assumptions!$B$27:$C$31,2,FALSE)*VLOOKUP(G798,Assumptions!$B$43:$C$45,2,FALSE)</f>
        <v/>
      </c>
    </row>
    <row r="799">
      <c r="B799" s="7" t="inlineStr">
        <is>
          <t>RC-0794</t>
        </is>
      </c>
      <c r="C799" s="11" t="inlineStr">
        <is>
          <t>Cybersecurity</t>
        </is>
      </c>
      <c r="D799" s="7" t="inlineStr">
        <is>
          <t>Zero Trust Architect</t>
        </is>
      </c>
      <c r="E799" s="11" t="inlineStr">
        <is>
          <t>Zero Trust</t>
        </is>
      </c>
      <c r="F799" s="11" t="inlineStr">
        <is>
          <t>Manager</t>
        </is>
      </c>
      <c r="G799" s="21" t="inlineStr">
        <is>
          <t>High</t>
        </is>
      </c>
      <c r="H799" s="23">
        <f>VLOOKUP(F799,'Internal Cost Model'!$B$6:$F$15,5,FALSE)</f>
        <v/>
      </c>
      <c r="I799" s="24">
        <f>H799*VLOOKUP(G799,Assumptions!$B$43:$C$45,2,FALSE)</f>
        <v/>
      </c>
      <c r="J799" s="25">
        <f>VLOOKUP(F799,Assumptions!$B$50:$D$59,2,FALSE)*VLOOKUP("SI-T1",Assumptions!$B$27:$C$31,2,FALSE)*VLOOKUP(G799,Assumptions!$B$43:$C$45,2,FALSE)</f>
        <v/>
      </c>
    </row>
    <row r="800">
      <c r="B800" s="7" t="inlineStr">
        <is>
          <t>RC-0795</t>
        </is>
      </c>
      <c r="C800" s="11" t="inlineStr">
        <is>
          <t>Cybersecurity</t>
        </is>
      </c>
      <c r="D800" s="7" t="inlineStr">
        <is>
          <t>Zero Trust Architect</t>
        </is>
      </c>
      <c r="E800" s="11" t="inlineStr">
        <is>
          <t>Zero Trust</t>
        </is>
      </c>
      <c r="F800" s="11" t="inlineStr">
        <is>
          <t>Lead</t>
        </is>
      </c>
      <c r="G800" s="21" t="inlineStr">
        <is>
          <t>High</t>
        </is>
      </c>
      <c r="H800" s="23">
        <f>VLOOKUP(F800,'Internal Cost Model'!$B$6:$F$15,5,FALSE)</f>
        <v/>
      </c>
      <c r="I800" s="24">
        <f>H800*VLOOKUP(G800,Assumptions!$B$43:$C$45,2,FALSE)</f>
        <v/>
      </c>
      <c r="J800" s="25">
        <f>VLOOKUP(F800,Assumptions!$B$50:$D$59,2,FALSE)*VLOOKUP("SI-T1",Assumptions!$B$27:$C$31,2,FALSE)*VLOOKUP(G800,Assumptions!$B$43:$C$45,2,FALSE)</f>
        <v/>
      </c>
    </row>
    <row r="801">
      <c r="B801" s="7" t="inlineStr">
        <is>
          <t>RC-0796</t>
        </is>
      </c>
      <c r="C801" s="11" t="inlineStr">
        <is>
          <t>Cybersecurity</t>
        </is>
      </c>
      <c r="D801" s="7" t="inlineStr">
        <is>
          <t>Incident Responder</t>
        </is>
      </c>
      <c r="E801" s="11" t="inlineStr">
        <is>
          <t>SOC</t>
        </is>
      </c>
      <c r="F801" s="11" t="inlineStr">
        <is>
          <t>Senior</t>
        </is>
      </c>
      <c r="G801" s="21" t="inlineStr">
        <is>
          <t>High</t>
        </is>
      </c>
      <c r="H801" s="23">
        <f>VLOOKUP(F801,'Internal Cost Model'!$B$6:$F$15,5,FALSE)</f>
        <v/>
      </c>
      <c r="I801" s="24">
        <f>H801*VLOOKUP(G801,Assumptions!$B$43:$C$45,2,FALSE)</f>
        <v/>
      </c>
      <c r="J801" s="25">
        <f>VLOOKUP(F801,Assumptions!$B$50:$D$59,2,FALSE)*VLOOKUP("SI-T1",Assumptions!$B$27:$C$31,2,FALSE)*VLOOKUP(G801,Assumptions!$B$43:$C$45,2,FALSE)</f>
        <v/>
      </c>
    </row>
    <row r="802">
      <c r="B802" s="7" t="inlineStr">
        <is>
          <t>RC-0797</t>
        </is>
      </c>
      <c r="C802" s="11" t="inlineStr">
        <is>
          <t>Cybersecurity</t>
        </is>
      </c>
      <c r="D802" s="7" t="inlineStr">
        <is>
          <t>Incident Responder</t>
        </is>
      </c>
      <c r="E802" s="11" t="inlineStr">
        <is>
          <t>SOC</t>
        </is>
      </c>
      <c r="F802" s="11" t="inlineStr">
        <is>
          <t>Intermediate</t>
        </is>
      </c>
      <c r="G802" s="21" t="inlineStr">
        <is>
          <t>High</t>
        </is>
      </c>
      <c r="H802" s="23">
        <f>VLOOKUP(F802,'Internal Cost Model'!$B$6:$F$15,5,FALSE)</f>
        <v/>
      </c>
      <c r="I802" s="24">
        <f>H802*VLOOKUP(G802,Assumptions!$B$43:$C$45,2,FALSE)</f>
        <v/>
      </c>
      <c r="J802" s="25">
        <f>VLOOKUP(F802,Assumptions!$B$50:$D$59,2,FALSE)*VLOOKUP("SI-T1",Assumptions!$B$27:$C$31,2,FALSE)*VLOOKUP(G802,Assumptions!$B$43:$C$45,2,FALSE)</f>
        <v/>
      </c>
    </row>
    <row r="803">
      <c r="B803" s="7" t="inlineStr">
        <is>
          <t>RC-0798</t>
        </is>
      </c>
      <c r="C803" s="11" t="inlineStr">
        <is>
          <t>Cybersecurity</t>
        </is>
      </c>
      <c r="D803" s="7" t="inlineStr">
        <is>
          <t>Threat Hunter</t>
        </is>
      </c>
      <c r="E803" s="11" t="inlineStr">
        <is>
          <t>Threat &amp; Vuln Mgmt</t>
        </is>
      </c>
      <c r="F803" s="11" t="inlineStr">
        <is>
          <t>Lead</t>
        </is>
      </c>
      <c r="G803" s="21" t="inlineStr">
        <is>
          <t>High</t>
        </is>
      </c>
      <c r="H803" s="23">
        <f>VLOOKUP(F803,'Internal Cost Model'!$B$6:$F$15,5,FALSE)</f>
        <v/>
      </c>
      <c r="I803" s="24">
        <f>H803*VLOOKUP(G803,Assumptions!$B$43:$C$45,2,FALSE)</f>
        <v/>
      </c>
      <c r="J803" s="25">
        <f>VLOOKUP(F803,Assumptions!$B$50:$D$59,2,FALSE)*VLOOKUP("SI-T1",Assumptions!$B$27:$C$31,2,FALSE)*VLOOKUP(G803,Assumptions!$B$43:$C$45,2,FALSE)</f>
        <v/>
      </c>
    </row>
    <row r="804">
      <c r="B804" s="7" t="inlineStr">
        <is>
          <t>RC-0799</t>
        </is>
      </c>
      <c r="C804" s="11" t="inlineStr">
        <is>
          <t>Cybersecurity</t>
        </is>
      </c>
      <c r="D804" s="7" t="inlineStr">
        <is>
          <t>Threat Hunter</t>
        </is>
      </c>
      <c r="E804" s="11" t="inlineStr">
        <is>
          <t>Threat &amp; Vuln Mgmt</t>
        </is>
      </c>
      <c r="F804" s="11" t="inlineStr">
        <is>
          <t>Senior</t>
        </is>
      </c>
      <c r="G804" s="21" t="inlineStr">
        <is>
          <t>High</t>
        </is>
      </c>
      <c r="H804" s="23">
        <f>VLOOKUP(F804,'Internal Cost Model'!$B$6:$F$15,5,FALSE)</f>
        <v/>
      </c>
      <c r="I804" s="24">
        <f>H804*VLOOKUP(G804,Assumptions!$B$43:$C$45,2,FALSE)</f>
        <v/>
      </c>
      <c r="J804" s="25">
        <f>VLOOKUP(F804,Assumptions!$B$50:$D$59,2,FALSE)*VLOOKUP("SI-T1",Assumptions!$B$27:$C$31,2,FALSE)*VLOOKUP(G804,Assumptions!$B$43:$C$45,2,FALSE)</f>
        <v/>
      </c>
    </row>
    <row r="805">
      <c r="B805" s="7" t="inlineStr">
        <is>
          <t>RC-0800</t>
        </is>
      </c>
      <c r="C805" s="11" t="inlineStr">
        <is>
          <t>Cybersecurity</t>
        </is>
      </c>
      <c r="D805" s="7" t="inlineStr">
        <is>
          <t>Penetration Tester</t>
        </is>
      </c>
      <c r="E805" s="11" t="inlineStr">
        <is>
          <t>Threat &amp; Vuln Mgmt</t>
        </is>
      </c>
      <c r="F805" s="11" t="inlineStr">
        <is>
          <t>Lead</t>
        </is>
      </c>
      <c r="G805" s="21" t="inlineStr">
        <is>
          <t>High</t>
        </is>
      </c>
      <c r="H805" s="23">
        <f>VLOOKUP(F805,'Internal Cost Model'!$B$6:$F$15,5,FALSE)</f>
        <v/>
      </c>
      <c r="I805" s="24">
        <f>H805*VLOOKUP(G805,Assumptions!$B$43:$C$45,2,FALSE)</f>
        <v/>
      </c>
      <c r="J805" s="25">
        <f>VLOOKUP(F805,Assumptions!$B$50:$D$59,2,FALSE)*VLOOKUP("SI-T1",Assumptions!$B$27:$C$31,2,FALSE)*VLOOKUP(G805,Assumptions!$B$43:$C$45,2,FALSE)</f>
        <v/>
      </c>
    </row>
    <row r="806">
      <c r="B806" s="7" t="inlineStr">
        <is>
          <t>RC-0801</t>
        </is>
      </c>
      <c r="C806" s="11" t="inlineStr">
        <is>
          <t>Cybersecurity</t>
        </is>
      </c>
      <c r="D806" s="7" t="inlineStr">
        <is>
          <t>Penetration Tester</t>
        </is>
      </c>
      <c r="E806" s="11" t="inlineStr">
        <is>
          <t>Threat &amp; Vuln Mgmt</t>
        </is>
      </c>
      <c r="F806" s="11" t="inlineStr">
        <is>
          <t>Senior</t>
        </is>
      </c>
      <c r="G806" s="21" t="inlineStr">
        <is>
          <t>High</t>
        </is>
      </c>
      <c r="H806" s="23">
        <f>VLOOKUP(F806,'Internal Cost Model'!$B$6:$F$15,5,FALSE)</f>
        <v/>
      </c>
      <c r="I806" s="24">
        <f>H806*VLOOKUP(G806,Assumptions!$B$43:$C$45,2,FALSE)</f>
        <v/>
      </c>
      <c r="J806" s="25">
        <f>VLOOKUP(F806,Assumptions!$B$50:$D$59,2,FALSE)*VLOOKUP("SI-T1",Assumptions!$B$27:$C$31,2,FALSE)*VLOOKUP(G806,Assumptions!$B$43:$C$45,2,FALSE)</f>
        <v/>
      </c>
    </row>
    <row r="807">
      <c r="B807" s="7" t="inlineStr">
        <is>
          <t>RC-0802</t>
        </is>
      </c>
      <c r="C807" s="11" t="inlineStr">
        <is>
          <t>Cybersecurity</t>
        </is>
      </c>
      <c r="D807" s="7" t="inlineStr">
        <is>
          <t>GRC Analyst</t>
        </is>
      </c>
      <c r="E807" s="11" t="inlineStr">
        <is>
          <t>GRC</t>
        </is>
      </c>
      <c r="F807" s="11" t="inlineStr">
        <is>
          <t>Senior</t>
        </is>
      </c>
      <c r="G807" s="21" t="inlineStr">
        <is>
          <t>Medium</t>
        </is>
      </c>
      <c r="H807" s="23">
        <f>VLOOKUP(F807,'Internal Cost Model'!$B$6:$F$15,5,FALSE)</f>
        <v/>
      </c>
      <c r="I807" s="24">
        <f>H807*VLOOKUP(G807,Assumptions!$B$43:$C$45,2,FALSE)</f>
        <v/>
      </c>
      <c r="J807" s="25">
        <f>VLOOKUP(F807,Assumptions!$B$50:$D$59,2,FALSE)*VLOOKUP("SI-T1",Assumptions!$B$27:$C$31,2,FALSE)*VLOOKUP(G807,Assumptions!$B$43:$C$45,2,FALSE)</f>
        <v/>
      </c>
    </row>
    <row r="808">
      <c r="B808" s="7" t="inlineStr">
        <is>
          <t>RC-0803</t>
        </is>
      </c>
      <c r="C808" s="11" t="inlineStr">
        <is>
          <t>Cybersecurity</t>
        </is>
      </c>
      <c r="D808" s="7" t="inlineStr">
        <is>
          <t>GRC Analyst</t>
        </is>
      </c>
      <c r="E808" s="11" t="inlineStr">
        <is>
          <t>GRC</t>
        </is>
      </c>
      <c r="F808" s="11" t="inlineStr">
        <is>
          <t>Intermediate</t>
        </is>
      </c>
      <c r="G808" s="21" t="inlineStr">
        <is>
          <t>Medium</t>
        </is>
      </c>
      <c r="H808" s="23">
        <f>VLOOKUP(F808,'Internal Cost Model'!$B$6:$F$15,5,FALSE)</f>
        <v/>
      </c>
      <c r="I808" s="24">
        <f>H808*VLOOKUP(G808,Assumptions!$B$43:$C$45,2,FALSE)</f>
        <v/>
      </c>
      <c r="J808" s="25">
        <f>VLOOKUP(F808,Assumptions!$B$50:$D$59,2,FALSE)*VLOOKUP("SI-T1",Assumptions!$B$27:$C$31,2,FALSE)*VLOOKUP(G808,Assumptions!$B$43:$C$45,2,FALSE)</f>
        <v/>
      </c>
    </row>
    <row r="809">
      <c r="B809" s="7" t="inlineStr">
        <is>
          <t>RC-0804</t>
        </is>
      </c>
      <c r="C809" s="11" t="inlineStr">
        <is>
          <t>Cybersecurity</t>
        </is>
      </c>
      <c r="D809" s="7" t="inlineStr">
        <is>
          <t>GRC Analyst</t>
        </is>
      </c>
      <c r="E809" s="11" t="inlineStr">
        <is>
          <t>GRC</t>
        </is>
      </c>
      <c r="F809" s="11" t="inlineStr">
        <is>
          <t>Junior</t>
        </is>
      </c>
      <c r="G809" s="21" t="inlineStr">
        <is>
          <t>Medium</t>
        </is>
      </c>
      <c r="H809" s="23">
        <f>VLOOKUP(F809,'Internal Cost Model'!$B$6:$F$15,5,FALSE)</f>
        <v/>
      </c>
      <c r="I809" s="24">
        <f>H809*VLOOKUP(G809,Assumptions!$B$43:$C$45,2,FALSE)</f>
        <v/>
      </c>
      <c r="J809" s="25">
        <f>VLOOKUP(F809,Assumptions!$B$50:$D$59,2,FALSE)*VLOOKUP("SI-T1",Assumptions!$B$27:$C$31,2,FALSE)*VLOOKUP(G809,Assumptions!$B$43:$C$45,2,FALSE)</f>
        <v/>
      </c>
    </row>
    <row r="810">
      <c r="B810" s="7" t="inlineStr">
        <is>
          <t>RC-0805</t>
        </is>
      </c>
      <c r="C810" s="11" t="inlineStr">
        <is>
          <t>Cybersecurity</t>
        </is>
      </c>
      <c r="D810" s="7" t="inlineStr">
        <is>
          <t>SIEM Engineer</t>
        </is>
      </c>
      <c r="E810" s="11" t="inlineStr">
        <is>
          <t>SOC</t>
        </is>
      </c>
      <c r="F810" s="11" t="inlineStr">
        <is>
          <t>Lead</t>
        </is>
      </c>
      <c r="G810" s="21" t="inlineStr">
        <is>
          <t>High</t>
        </is>
      </c>
      <c r="H810" s="23">
        <f>VLOOKUP(F810,'Internal Cost Model'!$B$6:$F$15,5,FALSE)</f>
        <v/>
      </c>
      <c r="I810" s="24">
        <f>H810*VLOOKUP(G810,Assumptions!$B$43:$C$45,2,FALSE)</f>
        <v/>
      </c>
      <c r="J810" s="25">
        <f>VLOOKUP(F810,Assumptions!$B$50:$D$59,2,FALSE)*VLOOKUP("SI-T1",Assumptions!$B$27:$C$31,2,FALSE)*VLOOKUP(G810,Assumptions!$B$43:$C$45,2,FALSE)</f>
        <v/>
      </c>
    </row>
    <row r="811">
      <c r="B811" s="7" t="inlineStr">
        <is>
          <t>RC-0806</t>
        </is>
      </c>
      <c r="C811" s="11" t="inlineStr">
        <is>
          <t>Cybersecurity</t>
        </is>
      </c>
      <c r="D811" s="7" t="inlineStr">
        <is>
          <t>SIEM Engineer</t>
        </is>
      </c>
      <c r="E811" s="11" t="inlineStr">
        <is>
          <t>SOC</t>
        </is>
      </c>
      <c r="F811" s="11" t="inlineStr">
        <is>
          <t>Senior</t>
        </is>
      </c>
      <c r="G811" s="21" t="inlineStr">
        <is>
          <t>High</t>
        </is>
      </c>
      <c r="H811" s="23">
        <f>VLOOKUP(F811,'Internal Cost Model'!$B$6:$F$15,5,FALSE)</f>
        <v/>
      </c>
      <c r="I811" s="24">
        <f>H811*VLOOKUP(G811,Assumptions!$B$43:$C$45,2,FALSE)</f>
        <v/>
      </c>
      <c r="J811" s="25">
        <f>VLOOKUP(F811,Assumptions!$B$50:$D$59,2,FALSE)*VLOOKUP("SI-T1",Assumptions!$B$27:$C$31,2,FALSE)*VLOOKUP(G811,Assumptions!$B$43:$C$45,2,FALSE)</f>
        <v/>
      </c>
    </row>
    <row r="812">
      <c r="B812" s="7" t="inlineStr">
        <is>
          <t>RC-0807</t>
        </is>
      </c>
      <c r="C812" s="11" t="inlineStr">
        <is>
          <t>Cybersecurity</t>
        </is>
      </c>
      <c r="D812" s="7" t="inlineStr">
        <is>
          <t>PAM Engineer</t>
        </is>
      </c>
      <c r="E812" s="11" t="inlineStr">
        <is>
          <t>IAM</t>
        </is>
      </c>
      <c r="F812" s="11" t="inlineStr">
        <is>
          <t>Lead</t>
        </is>
      </c>
      <c r="G812" s="21" t="inlineStr">
        <is>
          <t>High</t>
        </is>
      </c>
      <c r="H812" s="23">
        <f>VLOOKUP(F812,'Internal Cost Model'!$B$6:$F$15,5,FALSE)</f>
        <v/>
      </c>
      <c r="I812" s="24">
        <f>H812*VLOOKUP(G812,Assumptions!$B$43:$C$45,2,FALSE)</f>
        <v/>
      </c>
      <c r="J812" s="25">
        <f>VLOOKUP(F812,Assumptions!$B$50:$D$59,2,FALSE)*VLOOKUP("SI-T1",Assumptions!$B$27:$C$31,2,FALSE)*VLOOKUP(G812,Assumptions!$B$43:$C$45,2,FALSE)</f>
        <v/>
      </c>
    </row>
    <row r="813">
      <c r="B813" s="7" t="inlineStr">
        <is>
          <t>RC-0808</t>
        </is>
      </c>
      <c r="C813" s="11" t="inlineStr">
        <is>
          <t>Cybersecurity</t>
        </is>
      </c>
      <c r="D813" s="7" t="inlineStr">
        <is>
          <t>PAM Engineer</t>
        </is>
      </c>
      <c r="E813" s="11" t="inlineStr">
        <is>
          <t>IAM</t>
        </is>
      </c>
      <c r="F813" s="11" t="inlineStr">
        <is>
          <t>Senior</t>
        </is>
      </c>
      <c r="G813" s="21" t="inlineStr">
        <is>
          <t>High</t>
        </is>
      </c>
      <c r="H813" s="23">
        <f>VLOOKUP(F813,'Internal Cost Model'!$B$6:$F$15,5,FALSE)</f>
        <v/>
      </c>
      <c r="I813" s="24">
        <f>H813*VLOOKUP(G813,Assumptions!$B$43:$C$45,2,FALSE)</f>
        <v/>
      </c>
      <c r="J813" s="25">
        <f>VLOOKUP(F813,Assumptions!$B$50:$D$59,2,FALSE)*VLOOKUP("SI-T1",Assumptions!$B$27:$C$31,2,FALSE)*VLOOKUP(G813,Assumptions!$B$43:$C$45,2,FALSE)</f>
        <v/>
      </c>
    </row>
    <row r="814">
      <c r="B814" s="7" t="inlineStr">
        <is>
          <t>RC-0809</t>
        </is>
      </c>
      <c r="C814" s="11" t="inlineStr">
        <is>
          <t>Cybersecurity</t>
        </is>
      </c>
      <c r="D814" s="7" t="inlineStr">
        <is>
          <t>Privacy Engineer</t>
        </is>
      </c>
      <c r="E814" s="11" t="inlineStr">
        <is>
          <t>GRC</t>
        </is>
      </c>
      <c r="F814" s="11" t="inlineStr">
        <is>
          <t>Lead</t>
        </is>
      </c>
      <c r="G814" s="21" t="inlineStr">
        <is>
          <t>High</t>
        </is>
      </c>
      <c r="H814" s="23">
        <f>VLOOKUP(F814,'Internal Cost Model'!$B$6:$F$15,5,FALSE)</f>
        <v/>
      </c>
      <c r="I814" s="24">
        <f>H814*VLOOKUP(G814,Assumptions!$B$43:$C$45,2,FALSE)</f>
        <v/>
      </c>
      <c r="J814" s="25">
        <f>VLOOKUP(F814,Assumptions!$B$50:$D$59,2,FALSE)*VLOOKUP("SI-T1",Assumptions!$B$27:$C$31,2,FALSE)*VLOOKUP(G814,Assumptions!$B$43:$C$45,2,FALSE)</f>
        <v/>
      </c>
    </row>
    <row r="815">
      <c r="B815" s="7" t="inlineStr">
        <is>
          <t>RC-0810</t>
        </is>
      </c>
      <c r="C815" s="11" t="inlineStr">
        <is>
          <t>Cybersecurity</t>
        </is>
      </c>
      <c r="D815" s="7" t="inlineStr">
        <is>
          <t>Privacy Engineer</t>
        </is>
      </c>
      <c r="E815" s="11" t="inlineStr">
        <is>
          <t>GRC</t>
        </is>
      </c>
      <c r="F815" s="11" t="inlineStr">
        <is>
          <t>Senior</t>
        </is>
      </c>
      <c r="G815" s="21" t="inlineStr">
        <is>
          <t>High</t>
        </is>
      </c>
      <c r="H815" s="23">
        <f>VLOOKUP(F815,'Internal Cost Model'!$B$6:$F$15,5,FALSE)</f>
        <v/>
      </c>
      <c r="I815" s="24">
        <f>H815*VLOOKUP(G815,Assumptions!$B$43:$C$45,2,FALSE)</f>
        <v/>
      </c>
      <c r="J815" s="25">
        <f>VLOOKUP(F815,Assumptions!$B$50:$D$59,2,FALSE)*VLOOKUP("SI-T1",Assumptions!$B$27:$C$31,2,FALSE)*VLOOKUP(G815,Assumptions!$B$43:$C$45,2,FALSE)</f>
        <v/>
      </c>
    </row>
    <row r="816">
      <c r="B816" s="7" t="inlineStr">
        <is>
          <t>RC-0811</t>
        </is>
      </c>
      <c r="C816" s="11" t="inlineStr">
        <is>
          <t>Quality Engineering</t>
        </is>
      </c>
      <c r="D816" s="7" t="inlineStr">
        <is>
          <t>SDET</t>
        </is>
      </c>
      <c r="E816" s="11" t="inlineStr">
        <is>
          <t>Test Automation</t>
        </is>
      </c>
      <c r="F816" s="11" t="inlineStr">
        <is>
          <t>Senior</t>
        </is>
      </c>
      <c r="G816" s="21" t="inlineStr">
        <is>
          <t>High</t>
        </is>
      </c>
      <c r="H816" s="23">
        <f>VLOOKUP(F816,'Internal Cost Model'!$B$6:$F$15,5,FALSE)</f>
        <v/>
      </c>
      <c r="I816" s="24">
        <f>H816*VLOOKUP(G816,Assumptions!$B$43:$C$45,2,FALSE)</f>
        <v/>
      </c>
      <c r="J816" s="25">
        <f>VLOOKUP(F816,Assumptions!$B$50:$D$59,2,FALSE)*VLOOKUP("SI-T1",Assumptions!$B$27:$C$31,2,FALSE)*VLOOKUP(G816,Assumptions!$B$43:$C$45,2,FALSE)</f>
        <v/>
      </c>
    </row>
    <row r="817">
      <c r="B817" s="7" t="inlineStr">
        <is>
          <t>RC-0812</t>
        </is>
      </c>
      <c r="C817" s="11" t="inlineStr">
        <is>
          <t>Quality Engineering</t>
        </is>
      </c>
      <c r="D817" s="7" t="inlineStr">
        <is>
          <t>SDET</t>
        </is>
      </c>
      <c r="E817" s="11" t="inlineStr">
        <is>
          <t>Test Automation</t>
        </is>
      </c>
      <c r="F817" s="11" t="inlineStr">
        <is>
          <t>Intermediate</t>
        </is>
      </c>
      <c r="G817" s="21" t="inlineStr">
        <is>
          <t>High</t>
        </is>
      </c>
      <c r="H817" s="23">
        <f>VLOOKUP(F817,'Internal Cost Model'!$B$6:$F$15,5,FALSE)</f>
        <v/>
      </c>
      <c r="I817" s="24">
        <f>H817*VLOOKUP(G817,Assumptions!$B$43:$C$45,2,FALSE)</f>
        <v/>
      </c>
      <c r="J817" s="25">
        <f>VLOOKUP(F817,Assumptions!$B$50:$D$59,2,FALSE)*VLOOKUP("SI-T1",Assumptions!$B$27:$C$31,2,FALSE)*VLOOKUP(G817,Assumptions!$B$43:$C$45,2,FALSE)</f>
        <v/>
      </c>
    </row>
    <row r="818">
      <c r="B818" s="7" t="inlineStr">
        <is>
          <t>RC-0813</t>
        </is>
      </c>
      <c r="C818" s="11" t="inlineStr">
        <is>
          <t>Quality Engineering</t>
        </is>
      </c>
      <c r="D818" s="7" t="inlineStr">
        <is>
          <t>API Test Engineer</t>
        </is>
      </c>
      <c r="E818" s="11" t="inlineStr">
        <is>
          <t>Test Automation</t>
        </is>
      </c>
      <c r="F818" s="11" t="inlineStr">
        <is>
          <t>Senior</t>
        </is>
      </c>
      <c r="G818" s="21" t="inlineStr">
        <is>
          <t>Medium</t>
        </is>
      </c>
      <c r="H818" s="23">
        <f>VLOOKUP(F818,'Internal Cost Model'!$B$6:$F$15,5,FALSE)</f>
        <v/>
      </c>
      <c r="I818" s="24">
        <f>H818*VLOOKUP(G818,Assumptions!$B$43:$C$45,2,FALSE)</f>
        <v/>
      </c>
      <c r="J818" s="25">
        <f>VLOOKUP(F818,Assumptions!$B$50:$D$59,2,FALSE)*VLOOKUP("SI-T1",Assumptions!$B$27:$C$31,2,FALSE)*VLOOKUP(G818,Assumptions!$B$43:$C$45,2,FALSE)</f>
        <v/>
      </c>
    </row>
    <row r="819">
      <c r="B819" s="7" t="inlineStr">
        <is>
          <t>RC-0814</t>
        </is>
      </c>
      <c r="C819" s="11" t="inlineStr">
        <is>
          <t>Quality Engineering</t>
        </is>
      </c>
      <c r="D819" s="7" t="inlineStr">
        <is>
          <t>API Test Engineer</t>
        </is>
      </c>
      <c r="E819" s="11" t="inlineStr">
        <is>
          <t>Test Automation</t>
        </is>
      </c>
      <c r="F819" s="11" t="inlineStr">
        <is>
          <t>Intermediate</t>
        </is>
      </c>
      <c r="G819" s="21" t="inlineStr">
        <is>
          <t>Medium</t>
        </is>
      </c>
      <c r="H819" s="23">
        <f>VLOOKUP(F819,'Internal Cost Model'!$B$6:$F$15,5,FALSE)</f>
        <v/>
      </c>
      <c r="I819" s="24">
        <f>H819*VLOOKUP(G819,Assumptions!$B$43:$C$45,2,FALSE)</f>
        <v/>
      </c>
      <c r="J819" s="25">
        <f>VLOOKUP(F819,Assumptions!$B$50:$D$59,2,FALSE)*VLOOKUP("SI-T1",Assumptions!$B$27:$C$31,2,FALSE)*VLOOKUP(G819,Assumptions!$B$43:$C$45,2,FALSE)</f>
        <v/>
      </c>
    </row>
    <row r="820">
      <c r="B820" s="7" t="inlineStr">
        <is>
          <t>RC-0815</t>
        </is>
      </c>
      <c r="C820" s="11" t="inlineStr">
        <is>
          <t>Quality Engineering</t>
        </is>
      </c>
      <c r="D820" s="7" t="inlineStr">
        <is>
          <t>Mobile Test Engineer</t>
        </is>
      </c>
      <c r="E820" s="11" t="inlineStr">
        <is>
          <t>Test Automation</t>
        </is>
      </c>
      <c r="F820" s="11" t="inlineStr">
        <is>
          <t>Senior</t>
        </is>
      </c>
      <c r="G820" s="21" t="inlineStr">
        <is>
          <t>Medium</t>
        </is>
      </c>
      <c r="H820" s="23">
        <f>VLOOKUP(F820,'Internal Cost Model'!$B$6:$F$15,5,FALSE)</f>
        <v/>
      </c>
      <c r="I820" s="24">
        <f>H820*VLOOKUP(G820,Assumptions!$B$43:$C$45,2,FALSE)</f>
        <v/>
      </c>
      <c r="J820" s="25">
        <f>VLOOKUP(F820,Assumptions!$B$50:$D$59,2,FALSE)*VLOOKUP("SI-T1",Assumptions!$B$27:$C$31,2,FALSE)*VLOOKUP(G820,Assumptions!$B$43:$C$45,2,FALSE)</f>
        <v/>
      </c>
    </row>
    <row r="821">
      <c r="B821" s="7" t="inlineStr">
        <is>
          <t>RC-0816</t>
        </is>
      </c>
      <c r="C821" s="11" t="inlineStr">
        <is>
          <t>Quality Engineering</t>
        </is>
      </c>
      <c r="D821" s="7" t="inlineStr">
        <is>
          <t>Mobile Test Engineer</t>
        </is>
      </c>
      <c r="E821" s="11" t="inlineStr">
        <is>
          <t>Test Automation</t>
        </is>
      </c>
      <c r="F821" s="11" t="inlineStr">
        <is>
          <t>Intermediate</t>
        </is>
      </c>
      <c r="G821" s="21" t="inlineStr">
        <is>
          <t>Medium</t>
        </is>
      </c>
      <c r="H821" s="23">
        <f>VLOOKUP(F821,'Internal Cost Model'!$B$6:$F$15,5,FALSE)</f>
        <v/>
      </c>
      <c r="I821" s="24">
        <f>H821*VLOOKUP(G821,Assumptions!$B$43:$C$45,2,FALSE)</f>
        <v/>
      </c>
      <c r="J821" s="25">
        <f>VLOOKUP(F821,Assumptions!$B$50:$D$59,2,FALSE)*VLOOKUP("SI-T1",Assumptions!$B$27:$C$31,2,FALSE)*VLOOKUP(G821,Assumptions!$B$43:$C$45,2,FALSE)</f>
        <v/>
      </c>
    </row>
    <row r="822">
      <c r="B822" s="7" t="inlineStr">
        <is>
          <t>RC-0817</t>
        </is>
      </c>
      <c r="C822" s="11" t="inlineStr">
        <is>
          <t>Quality Engineering</t>
        </is>
      </c>
      <c r="D822" s="7" t="inlineStr">
        <is>
          <t>Test Data Engineer</t>
        </is>
      </c>
      <c r="E822" s="11" t="inlineStr">
        <is>
          <t>Test Strategy</t>
        </is>
      </c>
      <c r="F822" s="11" t="inlineStr">
        <is>
          <t>Senior</t>
        </is>
      </c>
      <c r="G822" s="21" t="inlineStr">
        <is>
          <t>Medium</t>
        </is>
      </c>
      <c r="H822" s="23">
        <f>VLOOKUP(F822,'Internal Cost Model'!$B$6:$F$15,5,FALSE)</f>
        <v/>
      </c>
      <c r="I822" s="24">
        <f>H822*VLOOKUP(G822,Assumptions!$B$43:$C$45,2,FALSE)</f>
        <v/>
      </c>
      <c r="J822" s="25">
        <f>VLOOKUP(F822,Assumptions!$B$50:$D$59,2,FALSE)*VLOOKUP("SI-T1",Assumptions!$B$27:$C$31,2,FALSE)*VLOOKUP(G822,Assumptions!$B$43:$C$45,2,FALSE)</f>
        <v/>
      </c>
    </row>
    <row r="823">
      <c r="B823" s="7" t="inlineStr">
        <is>
          <t>RC-0818</t>
        </is>
      </c>
      <c r="C823" s="11" t="inlineStr">
        <is>
          <t>Quality Engineering</t>
        </is>
      </c>
      <c r="D823" s="7" t="inlineStr">
        <is>
          <t>Test Data Engineer</t>
        </is>
      </c>
      <c r="E823" s="11" t="inlineStr">
        <is>
          <t>Test Strategy</t>
        </is>
      </c>
      <c r="F823" s="11" t="inlineStr">
        <is>
          <t>Intermediate</t>
        </is>
      </c>
      <c r="G823" s="21" t="inlineStr">
        <is>
          <t>Medium</t>
        </is>
      </c>
      <c r="H823" s="23">
        <f>VLOOKUP(F823,'Internal Cost Model'!$B$6:$F$15,5,FALSE)</f>
        <v/>
      </c>
      <c r="I823" s="24">
        <f>H823*VLOOKUP(G823,Assumptions!$B$43:$C$45,2,FALSE)</f>
        <v/>
      </c>
      <c r="J823" s="25">
        <f>VLOOKUP(F823,Assumptions!$B$50:$D$59,2,FALSE)*VLOOKUP("SI-T1",Assumptions!$B$27:$C$31,2,FALSE)*VLOOKUP(G823,Assumptions!$B$43:$C$45,2,FALSE)</f>
        <v/>
      </c>
    </row>
    <row r="824">
      <c r="B824" s="7" t="inlineStr">
        <is>
          <t>RC-0819</t>
        </is>
      </c>
      <c r="C824" s="11" t="inlineStr">
        <is>
          <t>Quality Engineering</t>
        </is>
      </c>
      <c r="D824" s="7" t="inlineStr">
        <is>
          <t>Chaos Engineer</t>
        </is>
      </c>
      <c r="E824" s="11" t="inlineStr">
        <is>
          <t>Performance Testing</t>
        </is>
      </c>
      <c r="F824" s="11" t="inlineStr">
        <is>
          <t>Lead</t>
        </is>
      </c>
      <c r="G824" s="21" t="inlineStr">
        <is>
          <t>High</t>
        </is>
      </c>
      <c r="H824" s="23">
        <f>VLOOKUP(F824,'Internal Cost Model'!$B$6:$F$15,5,FALSE)</f>
        <v/>
      </c>
      <c r="I824" s="24">
        <f>H824*VLOOKUP(G824,Assumptions!$B$43:$C$45,2,FALSE)</f>
        <v/>
      </c>
      <c r="J824" s="25">
        <f>VLOOKUP(F824,Assumptions!$B$50:$D$59,2,FALSE)*VLOOKUP("SI-T1",Assumptions!$B$27:$C$31,2,FALSE)*VLOOKUP(G824,Assumptions!$B$43:$C$45,2,FALSE)</f>
        <v/>
      </c>
    </row>
    <row r="825">
      <c r="B825" s="7" t="inlineStr">
        <is>
          <t>RC-0820</t>
        </is>
      </c>
      <c r="C825" s="11" t="inlineStr">
        <is>
          <t>Quality Engineering</t>
        </is>
      </c>
      <c r="D825" s="7" t="inlineStr">
        <is>
          <t>Chaos Engineer</t>
        </is>
      </c>
      <c r="E825" s="11" t="inlineStr">
        <is>
          <t>Performance Testing</t>
        </is>
      </c>
      <c r="F825" s="11" t="inlineStr">
        <is>
          <t>Senior</t>
        </is>
      </c>
      <c r="G825" s="21" t="inlineStr">
        <is>
          <t>High</t>
        </is>
      </c>
      <c r="H825" s="23">
        <f>VLOOKUP(F825,'Internal Cost Model'!$B$6:$F$15,5,FALSE)</f>
        <v/>
      </c>
      <c r="I825" s="24">
        <f>H825*VLOOKUP(G825,Assumptions!$B$43:$C$45,2,FALSE)</f>
        <v/>
      </c>
      <c r="J825" s="25">
        <f>VLOOKUP(F825,Assumptions!$B$50:$D$59,2,FALSE)*VLOOKUP("SI-T1",Assumptions!$B$27:$C$31,2,FALSE)*VLOOKUP(G825,Assumptions!$B$43:$C$45,2,FALSE)</f>
        <v/>
      </c>
    </row>
    <row r="826">
      <c r="B826" s="7" t="inlineStr">
        <is>
          <t>RC-0821</t>
        </is>
      </c>
      <c r="C826" s="11" t="inlineStr">
        <is>
          <t>Operations</t>
        </is>
      </c>
      <c r="D826" s="7" t="inlineStr">
        <is>
          <t>Incident Manager</t>
        </is>
      </c>
      <c r="E826" s="11" t="inlineStr">
        <is>
          <t>Service Operations</t>
        </is>
      </c>
      <c r="F826" s="11" t="inlineStr">
        <is>
          <t>Manager</t>
        </is>
      </c>
      <c r="G826" s="21" t="inlineStr">
        <is>
          <t>Medium</t>
        </is>
      </c>
      <c r="H826" s="23">
        <f>VLOOKUP(F826,'Internal Cost Model'!$B$6:$F$15,5,FALSE)</f>
        <v/>
      </c>
      <c r="I826" s="24">
        <f>H826*VLOOKUP(G826,Assumptions!$B$43:$C$45,2,FALSE)</f>
        <v/>
      </c>
      <c r="J826" s="25">
        <f>VLOOKUP(F826,Assumptions!$B$50:$D$59,2,FALSE)*VLOOKUP("SI-T1",Assumptions!$B$27:$C$31,2,FALSE)*VLOOKUP(G826,Assumptions!$B$43:$C$45,2,FALSE)</f>
        <v/>
      </c>
    </row>
    <row r="827">
      <c r="B827" s="7" t="inlineStr">
        <is>
          <t>RC-0822</t>
        </is>
      </c>
      <c r="C827" s="11" t="inlineStr">
        <is>
          <t>Operations</t>
        </is>
      </c>
      <c r="D827" s="7" t="inlineStr">
        <is>
          <t>Incident Manager</t>
        </is>
      </c>
      <c r="E827" s="11" t="inlineStr">
        <is>
          <t>Service Operations</t>
        </is>
      </c>
      <c r="F827" s="11" t="inlineStr">
        <is>
          <t>Lead</t>
        </is>
      </c>
      <c r="G827" s="21" t="inlineStr">
        <is>
          <t>Medium</t>
        </is>
      </c>
      <c r="H827" s="23">
        <f>VLOOKUP(F827,'Internal Cost Model'!$B$6:$F$15,5,FALSE)</f>
        <v/>
      </c>
      <c r="I827" s="24">
        <f>H827*VLOOKUP(G827,Assumptions!$B$43:$C$45,2,FALSE)</f>
        <v/>
      </c>
      <c r="J827" s="25">
        <f>VLOOKUP(F827,Assumptions!$B$50:$D$59,2,FALSE)*VLOOKUP("SI-T1",Assumptions!$B$27:$C$31,2,FALSE)*VLOOKUP(G827,Assumptions!$B$43:$C$45,2,FALSE)</f>
        <v/>
      </c>
    </row>
    <row r="828">
      <c r="B828" s="7" t="inlineStr">
        <is>
          <t>RC-0823</t>
        </is>
      </c>
      <c r="C828" s="11" t="inlineStr">
        <is>
          <t>Operations</t>
        </is>
      </c>
      <c r="D828" s="7" t="inlineStr">
        <is>
          <t>Incident Manager</t>
        </is>
      </c>
      <c r="E828" s="11" t="inlineStr">
        <is>
          <t>Service Operations</t>
        </is>
      </c>
      <c r="F828" s="11" t="inlineStr">
        <is>
          <t>Senior</t>
        </is>
      </c>
      <c r="G828" s="21" t="inlineStr">
        <is>
          <t>Medium</t>
        </is>
      </c>
      <c r="H828" s="23">
        <f>VLOOKUP(F828,'Internal Cost Model'!$B$6:$F$15,5,FALSE)</f>
        <v/>
      </c>
      <c r="I828" s="24">
        <f>H828*VLOOKUP(G828,Assumptions!$B$43:$C$45,2,FALSE)</f>
        <v/>
      </c>
      <c r="J828" s="25">
        <f>VLOOKUP(F828,Assumptions!$B$50:$D$59,2,FALSE)*VLOOKUP("SI-T1",Assumptions!$B$27:$C$31,2,FALSE)*VLOOKUP(G828,Assumptions!$B$43:$C$45,2,FALSE)</f>
        <v/>
      </c>
    </row>
    <row r="829">
      <c r="B829" s="7" t="inlineStr">
        <is>
          <t>RC-0824</t>
        </is>
      </c>
      <c r="C829" s="11" t="inlineStr">
        <is>
          <t>Operations</t>
        </is>
      </c>
      <c r="D829" s="7" t="inlineStr">
        <is>
          <t>Problem Manager</t>
        </is>
      </c>
      <c r="E829" s="11" t="inlineStr">
        <is>
          <t>Service Operations</t>
        </is>
      </c>
      <c r="F829" s="11" t="inlineStr">
        <is>
          <t>Manager</t>
        </is>
      </c>
      <c r="G829" s="21" t="inlineStr">
        <is>
          <t>Medium</t>
        </is>
      </c>
      <c r="H829" s="23">
        <f>VLOOKUP(F829,'Internal Cost Model'!$B$6:$F$15,5,FALSE)</f>
        <v/>
      </c>
      <c r="I829" s="24">
        <f>H829*VLOOKUP(G829,Assumptions!$B$43:$C$45,2,FALSE)</f>
        <v/>
      </c>
      <c r="J829" s="25">
        <f>VLOOKUP(F829,Assumptions!$B$50:$D$59,2,FALSE)*VLOOKUP("SI-T1",Assumptions!$B$27:$C$31,2,FALSE)*VLOOKUP(G829,Assumptions!$B$43:$C$45,2,FALSE)</f>
        <v/>
      </c>
    </row>
    <row r="830">
      <c r="B830" s="7" t="inlineStr">
        <is>
          <t>RC-0825</t>
        </is>
      </c>
      <c r="C830" s="11" t="inlineStr">
        <is>
          <t>Operations</t>
        </is>
      </c>
      <c r="D830" s="7" t="inlineStr">
        <is>
          <t>Problem Manager</t>
        </is>
      </c>
      <c r="E830" s="11" t="inlineStr">
        <is>
          <t>Service Operations</t>
        </is>
      </c>
      <c r="F830" s="11" t="inlineStr">
        <is>
          <t>Lead</t>
        </is>
      </c>
      <c r="G830" s="21" t="inlineStr">
        <is>
          <t>Medium</t>
        </is>
      </c>
      <c r="H830" s="23">
        <f>VLOOKUP(F830,'Internal Cost Model'!$B$6:$F$15,5,FALSE)</f>
        <v/>
      </c>
      <c r="I830" s="24">
        <f>H830*VLOOKUP(G830,Assumptions!$B$43:$C$45,2,FALSE)</f>
        <v/>
      </c>
      <c r="J830" s="25">
        <f>VLOOKUP(F830,Assumptions!$B$50:$D$59,2,FALSE)*VLOOKUP("SI-T1",Assumptions!$B$27:$C$31,2,FALSE)*VLOOKUP(G830,Assumptions!$B$43:$C$45,2,FALSE)</f>
        <v/>
      </c>
    </row>
    <row r="831">
      <c r="B831" s="7" t="inlineStr">
        <is>
          <t>RC-0826</t>
        </is>
      </c>
      <c r="C831" s="11" t="inlineStr">
        <is>
          <t>Operations</t>
        </is>
      </c>
      <c r="D831" s="7" t="inlineStr">
        <is>
          <t>Problem Manager</t>
        </is>
      </c>
      <c r="E831" s="11" t="inlineStr">
        <is>
          <t>Service Operations</t>
        </is>
      </c>
      <c r="F831" s="11" t="inlineStr">
        <is>
          <t>Senior</t>
        </is>
      </c>
      <c r="G831" s="21" t="inlineStr">
        <is>
          <t>Medium</t>
        </is>
      </c>
      <c r="H831" s="23">
        <f>VLOOKUP(F831,'Internal Cost Model'!$B$6:$F$15,5,FALSE)</f>
        <v/>
      </c>
      <c r="I831" s="24">
        <f>H831*VLOOKUP(G831,Assumptions!$B$43:$C$45,2,FALSE)</f>
        <v/>
      </c>
      <c r="J831" s="25">
        <f>VLOOKUP(F831,Assumptions!$B$50:$D$59,2,FALSE)*VLOOKUP("SI-T1",Assumptions!$B$27:$C$31,2,FALSE)*VLOOKUP(G831,Assumptions!$B$43:$C$45,2,FALSE)</f>
        <v/>
      </c>
    </row>
    <row r="832">
      <c r="B832" s="7" t="inlineStr">
        <is>
          <t>RC-0827</t>
        </is>
      </c>
      <c r="C832" s="11" t="inlineStr">
        <is>
          <t>Operations</t>
        </is>
      </c>
      <c r="D832" s="7" t="inlineStr">
        <is>
          <t>Major Incident Lead</t>
        </is>
      </c>
      <c r="E832" s="11" t="inlineStr">
        <is>
          <t>Service Operations</t>
        </is>
      </c>
      <c r="F832" s="11" t="inlineStr">
        <is>
          <t>Senior Manager</t>
        </is>
      </c>
      <c r="G832" s="21" t="inlineStr">
        <is>
          <t>High</t>
        </is>
      </c>
      <c r="H832" s="23">
        <f>VLOOKUP(F832,'Internal Cost Model'!$B$6:$F$15,5,FALSE)</f>
        <v/>
      </c>
      <c r="I832" s="24">
        <f>H832*VLOOKUP(G832,Assumptions!$B$43:$C$45,2,FALSE)</f>
        <v/>
      </c>
      <c r="J832" s="25">
        <f>VLOOKUP(F832,Assumptions!$B$50:$D$59,2,FALSE)*VLOOKUP("SI-T1",Assumptions!$B$27:$C$31,2,FALSE)*VLOOKUP(G832,Assumptions!$B$43:$C$45,2,FALSE)</f>
        <v/>
      </c>
    </row>
    <row r="833">
      <c r="B833" s="7" t="inlineStr">
        <is>
          <t>RC-0828</t>
        </is>
      </c>
      <c r="C833" s="11" t="inlineStr">
        <is>
          <t>Operations</t>
        </is>
      </c>
      <c r="D833" s="7" t="inlineStr">
        <is>
          <t>Major Incident Lead</t>
        </is>
      </c>
      <c r="E833" s="11" t="inlineStr">
        <is>
          <t>Service Operations</t>
        </is>
      </c>
      <c r="F833" s="11" t="inlineStr">
        <is>
          <t>Manager</t>
        </is>
      </c>
      <c r="G833" s="21" t="inlineStr">
        <is>
          <t>High</t>
        </is>
      </c>
      <c r="H833" s="23">
        <f>VLOOKUP(F833,'Internal Cost Model'!$B$6:$F$15,5,FALSE)</f>
        <v/>
      </c>
      <c r="I833" s="24">
        <f>H833*VLOOKUP(G833,Assumptions!$B$43:$C$45,2,FALSE)</f>
        <v/>
      </c>
      <c r="J833" s="25">
        <f>VLOOKUP(F833,Assumptions!$B$50:$D$59,2,FALSE)*VLOOKUP("SI-T1",Assumptions!$B$27:$C$31,2,FALSE)*VLOOKUP(G833,Assumptions!$B$43:$C$45,2,FALSE)</f>
        <v/>
      </c>
    </row>
    <row r="834">
      <c r="B834" s="7" t="inlineStr">
        <is>
          <t>RC-0829</t>
        </is>
      </c>
      <c r="C834" s="11" t="inlineStr">
        <is>
          <t>Operations</t>
        </is>
      </c>
      <c r="D834" s="7" t="inlineStr">
        <is>
          <t>Major Incident Lead</t>
        </is>
      </c>
      <c r="E834" s="11" t="inlineStr">
        <is>
          <t>Service Operations</t>
        </is>
      </c>
      <c r="F834" s="11" t="inlineStr">
        <is>
          <t>Lead</t>
        </is>
      </c>
      <c r="G834" s="21" t="inlineStr">
        <is>
          <t>High</t>
        </is>
      </c>
      <c r="H834" s="23">
        <f>VLOOKUP(F834,'Internal Cost Model'!$B$6:$F$15,5,FALSE)</f>
        <v/>
      </c>
      <c r="I834" s="24">
        <f>H834*VLOOKUP(G834,Assumptions!$B$43:$C$45,2,FALSE)</f>
        <v/>
      </c>
      <c r="J834" s="25">
        <f>VLOOKUP(F834,Assumptions!$B$50:$D$59,2,FALSE)*VLOOKUP("SI-T1",Assumptions!$B$27:$C$31,2,FALSE)*VLOOKUP(G834,Assumptions!$B$43:$C$45,2,FALSE)</f>
        <v/>
      </c>
    </row>
    <row r="835">
      <c r="B835" s="7" t="inlineStr">
        <is>
          <t>RC-0830</t>
        </is>
      </c>
      <c r="C835" s="11" t="inlineStr">
        <is>
          <t>Operations</t>
        </is>
      </c>
      <c r="D835" s="7" t="inlineStr">
        <is>
          <t>Monitoring Engineer</t>
        </is>
      </c>
      <c r="E835" s="11" t="inlineStr">
        <is>
          <t>Monitoring &amp; Observability</t>
        </is>
      </c>
      <c r="F835" s="11" t="inlineStr">
        <is>
          <t>Senior</t>
        </is>
      </c>
      <c r="G835" s="21" t="inlineStr">
        <is>
          <t>Medium</t>
        </is>
      </c>
      <c r="H835" s="23">
        <f>VLOOKUP(F835,'Internal Cost Model'!$B$6:$F$15,5,FALSE)</f>
        <v/>
      </c>
      <c r="I835" s="24">
        <f>H835*VLOOKUP(G835,Assumptions!$B$43:$C$45,2,FALSE)</f>
        <v/>
      </c>
      <c r="J835" s="25">
        <f>VLOOKUP(F835,Assumptions!$B$50:$D$59,2,FALSE)*VLOOKUP("SI-T1",Assumptions!$B$27:$C$31,2,FALSE)*VLOOKUP(G835,Assumptions!$B$43:$C$45,2,FALSE)</f>
        <v/>
      </c>
    </row>
    <row r="836">
      <c r="B836" s="7" t="inlineStr">
        <is>
          <t>RC-0831</t>
        </is>
      </c>
      <c r="C836" s="11" t="inlineStr">
        <is>
          <t>Operations</t>
        </is>
      </c>
      <c r="D836" s="7" t="inlineStr">
        <is>
          <t>Monitoring Engineer</t>
        </is>
      </c>
      <c r="E836" s="11" t="inlineStr">
        <is>
          <t>Monitoring &amp; Observability</t>
        </is>
      </c>
      <c r="F836" s="11" t="inlineStr">
        <is>
          <t>Intermediate</t>
        </is>
      </c>
      <c r="G836" s="21" t="inlineStr">
        <is>
          <t>Medium</t>
        </is>
      </c>
      <c r="H836" s="23">
        <f>VLOOKUP(F836,'Internal Cost Model'!$B$6:$F$15,5,FALSE)</f>
        <v/>
      </c>
      <c r="I836" s="24">
        <f>H836*VLOOKUP(G836,Assumptions!$B$43:$C$45,2,FALSE)</f>
        <v/>
      </c>
      <c r="J836" s="25">
        <f>VLOOKUP(F836,Assumptions!$B$50:$D$59,2,FALSE)*VLOOKUP("SI-T1",Assumptions!$B$27:$C$31,2,FALSE)*VLOOKUP(G836,Assumptions!$B$43:$C$45,2,FALSE)</f>
        <v/>
      </c>
    </row>
    <row r="837">
      <c r="B837" s="7" t="inlineStr">
        <is>
          <t>RC-0832</t>
        </is>
      </c>
      <c r="C837" s="11" t="inlineStr">
        <is>
          <t>Operations</t>
        </is>
      </c>
      <c r="D837" s="7" t="inlineStr">
        <is>
          <t>Capacity Engineer</t>
        </is>
      </c>
      <c r="E837" s="11" t="inlineStr">
        <is>
          <t>Site Reliability</t>
        </is>
      </c>
      <c r="F837" s="11" t="inlineStr">
        <is>
          <t>Lead</t>
        </is>
      </c>
      <c r="G837" s="21" t="inlineStr">
        <is>
          <t>Medium</t>
        </is>
      </c>
      <c r="H837" s="23">
        <f>VLOOKUP(F837,'Internal Cost Model'!$B$6:$F$15,5,FALSE)</f>
        <v/>
      </c>
      <c r="I837" s="24">
        <f>H837*VLOOKUP(G837,Assumptions!$B$43:$C$45,2,FALSE)</f>
        <v/>
      </c>
      <c r="J837" s="25">
        <f>VLOOKUP(F837,Assumptions!$B$50:$D$59,2,FALSE)*VLOOKUP("SI-T1",Assumptions!$B$27:$C$31,2,FALSE)*VLOOKUP(G837,Assumptions!$B$43:$C$45,2,FALSE)</f>
        <v/>
      </c>
    </row>
    <row r="838">
      <c r="B838" s="7" t="inlineStr">
        <is>
          <t>RC-0833</t>
        </is>
      </c>
      <c r="C838" s="11" t="inlineStr">
        <is>
          <t>Operations</t>
        </is>
      </c>
      <c r="D838" s="7" t="inlineStr">
        <is>
          <t>Capacity Engineer</t>
        </is>
      </c>
      <c r="E838" s="11" t="inlineStr">
        <is>
          <t>Site Reliability</t>
        </is>
      </c>
      <c r="F838" s="11" t="inlineStr">
        <is>
          <t>Senior</t>
        </is>
      </c>
      <c r="G838" s="21" t="inlineStr">
        <is>
          <t>Medium</t>
        </is>
      </c>
      <c r="H838" s="23">
        <f>VLOOKUP(F838,'Internal Cost Model'!$B$6:$F$15,5,FALSE)</f>
        <v/>
      </c>
      <c r="I838" s="24">
        <f>H838*VLOOKUP(G838,Assumptions!$B$43:$C$45,2,FALSE)</f>
        <v/>
      </c>
      <c r="J838" s="25">
        <f>VLOOKUP(F838,Assumptions!$B$50:$D$59,2,FALSE)*VLOOKUP("SI-T1",Assumptions!$B$27:$C$31,2,FALSE)*VLOOKUP(G838,Assumptions!$B$43:$C$45,2,FALSE)</f>
        <v/>
      </c>
    </row>
    <row r="839">
      <c r="B839" s="7" t="inlineStr">
        <is>
          <t>RC-0834</t>
        </is>
      </c>
      <c r="C839" s="11" t="inlineStr">
        <is>
          <t>Managed Services</t>
        </is>
      </c>
      <c r="D839" s="7" t="inlineStr">
        <is>
          <t>Service Delivery Manager</t>
        </is>
      </c>
      <c r="E839" s="11" t="inlineStr">
        <is>
          <t>AMS L3</t>
        </is>
      </c>
      <c r="F839" s="11" t="inlineStr">
        <is>
          <t>Director</t>
        </is>
      </c>
      <c r="G839" s="21" t="inlineStr">
        <is>
          <t>Medium</t>
        </is>
      </c>
      <c r="H839" s="23">
        <f>VLOOKUP(F839,'Internal Cost Model'!$B$6:$F$15,5,FALSE)</f>
        <v/>
      </c>
      <c r="I839" s="24">
        <f>H839*VLOOKUP(G839,Assumptions!$B$43:$C$45,2,FALSE)</f>
        <v/>
      </c>
      <c r="J839" s="25">
        <f>VLOOKUP(F839,Assumptions!$B$50:$D$59,2,FALSE)*VLOOKUP("SI-T1",Assumptions!$B$27:$C$31,2,FALSE)*VLOOKUP(G839,Assumptions!$B$43:$C$45,2,FALSE)</f>
        <v/>
      </c>
    </row>
    <row r="840">
      <c r="B840" s="7" t="inlineStr">
        <is>
          <t>RC-0835</t>
        </is>
      </c>
      <c r="C840" s="11" t="inlineStr">
        <is>
          <t>Managed Services</t>
        </is>
      </c>
      <c r="D840" s="7" t="inlineStr">
        <is>
          <t>Service Delivery Manager</t>
        </is>
      </c>
      <c r="E840" s="11" t="inlineStr">
        <is>
          <t>AMS L3</t>
        </is>
      </c>
      <c r="F840" s="11" t="inlineStr">
        <is>
          <t>Senior Manager</t>
        </is>
      </c>
      <c r="G840" s="21" t="inlineStr">
        <is>
          <t>Medium</t>
        </is>
      </c>
      <c r="H840" s="23">
        <f>VLOOKUP(F840,'Internal Cost Model'!$B$6:$F$15,5,FALSE)</f>
        <v/>
      </c>
      <c r="I840" s="24">
        <f>H840*VLOOKUP(G840,Assumptions!$B$43:$C$45,2,FALSE)</f>
        <v/>
      </c>
      <c r="J840" s="25">
        <f>VLOOKUP(F840,Assumptions!$B$50:$D$59,2,FALSE)*VLOOKUP("SI-T1",Assumptions!$B$27:$C$31,2,FALSE)*VLOOKUP(G840,Assumptions!$B$43:$C$45,2,FALSE)</f>
        <v/>
      </c>
    </row>
    <row r="841">
      <c r="B841" s="7" t="inlineStr">
        <is>
          <t>RC-0836</t>
        </is>
      </c>
      <c r="C841" s="11" t="inlineStr">
        <is>
          <t>Managed Services</t>
        </is>
      </c>
      <c r="D841" s="7" t="inlineStr">
        <is>
          <t>Service Delivery Manager</t>
        </is>
      </c>
      <c r="E841" s="11" t="inlineStr">
        <is>
          <t>AMS L3</t>
        </is>
      </c>
      <c r="F841" s="11" t="inlineStr">
        <is>
          <t>Manager</t>
        </is>
      </c>
      <c r="G841" s="21" t="inlineStr">
        <is>
          <t>Medium</t>
        </is>
      </c>
      <c r="H841" s="23">
        <f>VLOOKUP(F841,'Internal Cost Model'!$B$6:$F$15,5,FALSE)</f>
        <v/>
      </c>
      <c r="I841" s="24">
        <f>H841*VLOOKUP(G841,Assumptions!$B$43:$C$45,2,FALSE)</f>
        <v/>
      </c>
      <c r="J841" s="25">
        <f>VLOOKUP(F841,Assumptions!$B$50:$D$59,2,FALSE)*VLOOKUP("SI-T1",Assumptions!$B$27:$C$31,2,FALSE)*VLOOKUP(G841,Assumptions!$B$43:$C$45,2,FALSE)</f>
        <v/>
      </c>
    </row>
    <row r="842">
      <c r="B842" s="7" t="inlineStr">
        <is>
          <t>RC-0837</t>
        </is>
      </c>
      <c r="C842" s="11" t="inlineStr">
        <is>
          <t>Managed Services</t>
        </is>
      </c>
      <c r="D842" s="7" t="inlineStr">
        <is>
          <t>Transition Manager</t>
        </is>
      </c>
      <c r="E842" s="11" t="inlineStr">
        <is>
          <t>AMS L3</t>
        </is>
      </c>
      <c r="F842" s="11" t="inlineStr">
        <is>
          <t>Senior Manager</t>
        </is>
      </c>
      <c r="G842" s="21" t="inlineStr">
        <is>
          <t>Medium</t>
        </is>
      </c>
      <c r="H842" s="23">
        <f>VLOOKUP(F842,'Internal Cost Model'!$B$6:$F$15,5,FALSE)</f>
        <v/>
      </c>
      <c r="I842" s="24">
        <f>H842*VLOOKUP(G842,Assumptions!$B$43:$C$45,2,FALSE)</f>
        <v/>
      </c>
      <c r="J842" s="25">
        <f>VLOOKUP(F842,Assumptions!$B$50:$D$59,2,FALSE)*VLOOKUP("SI-T1",Assumptions!$B$27:$C$31,2,FALSE)*VLOOKUP(G842,Assumptions!$B$43:$C$45,2,FALSE)</f>
        <v/>
      </c>
    </row>
    <row r="843">
      <c r="B843" s="7" t="inlineStr">
        <is>
          <t>RC-0838</t>
        </is>
      </c>
      <c r="C843" s="11" t="inlineStr">
        <is>
          <t>Managed Services</t>
        </is>
      </c>
      <c r="D843" s="7" t="inlineStr">
        <is>
          <t>Transition Manager</t>
        </is>
      </c>
      <c r="E843" s="11" t="inlineStr">
        <is>
          <t>AMS L3</t>
        </is>
      </c>
      <c r="F843" s="11" t="inlineStr">
        <is>
          <t>Manager</t>
        </is>
      </c>
      <c r="G843" s="21" t="inlineStr">
        <is>
          <t>Medium</t>
        </is>
      </c>
      <c r="H843" s="23">
        <f>VLOOKUP(F843,'Internal Cost Model'!$B$6:$F$15,5,FALSE)</f>
        <v/>
      </c>
      <c r="I843" s="24">
        <f>H843*VLOOKUP(G843,Assumptions!$B$43:$C$45,2,FALSE)</f>
        <v/>
      </c>
      <c r="J843" s="25">
        <f>VLOOKUP(F843,Assumptions!$B$50:$D$59,2,FALSE)*VLOOKUP("SI-T1",Assumptions!$B$27:$C$31,2,FALSE)*VLOOKUP(G843,Assumptions!$B$43:$C$45,2,FALSE)</f>
        <v/>
      </c>
    </row>
    <row r="844">
      <c r="B844" s="7" t="inlineStr">
        <is>
          <t>RC-0839</t>
        </is>
      </c>
      <c r="C844" s="11" t="inlineStr">
        <is>
          <t>Managed Services</t>
        </is>
      </c>
      <c r="D844" s="7" t="inlineStr">
        <is>
          <t>AMS Architect</t>
        </is>
      </c>
      <c r="E844" s="11" t="inlineStr">
        <is>
          <t>AMS L3</t>
        </is>
      </c>
      <c r="F844" s="11" t="inlineStr">
        <is>
          <t>Director</t>
        </is>
      </c>
      <c r="G844" s="21" t="inlineStr">
        <is>
          <t>High</t>
        </is>
      </c>
      <c r="H844" s="23">
        <f>VLOOKUP(F844,'Internal Cost Model'!$B$6:$F$15,5,FALSE)</f>
        <v/>
      </c>
      <c r="I844" s="24">
        <f>H844*VLOOKUP(G844,Assumptions!$B$43:$C$45,2,FALSE)</f>
        <v/>
      </c>
      <c r="J844" s="25">
        <f>VLOOKUP(F844,Assumptions!$B$50:$D$59,2,FALSE)*VLOOKUP("SI-T1",Assumptions!$B$27:$C$31,2,FALSE)*VLOOKUP(G844,Assumptions!$B$43:$C$45,2,FALSE)</f>
        <v/>
      </c>
    </row>
    <row r="845">
      <c r="B845" s="7" t="inlineStr">
        <is>
          <t>RC-0840</t>
        </is>
      </c>
      <c r="C845" s="11" t="inlineStr">
        <is>
          <t>Managed Services</t>
        </is>
      </c>
      <c r="D845" s="7" t="inlineStr">
        <is>
          <t>AMS Architect</t>
        </is>
      </c>
      <c r="E845" s="11" t="inlineStr">
        <is>
          <t>AMS L3</t>
        </is>
      </c>
      <c r="F845" s="11" t="inlineStr">
        <is>
          <t>Senior Manager</t>
        </is>
      </c>
      <c r="G845" s="21" t="inlineStr">
        <is>
          <t>High</t>
        </is>
      </c>
      <c r="H845" s="23">
        <f>VLOOKUP(F845,'Internal Cost Model'!$B$6:$F$15,5,FALSE)</f>
        <v/>
      </c>
      <c r="I845" s="24">
        <f>H845*VLOOKUP(G845,Assumptions!$B$43:$C$45,2,FALSE)</f>
        <v/>
      </c>
      <c r="J845" s="25">
        <f>VLOOKUP(F845,Assumptions!$B$50:$D$59,2,FALSE)*VLOOKUP("SI-T1",Assumptions!$B$27:$C$31,2,FALSE)*VLOOKUP(G845,Assumptions!$B$43:$C$45,2,FALSE)</f>
        <v/>
      </c>
    </row>
    <row r="846">
      <c r="B846" s="7" t="inlineStr">
        <is>
          <t>RC-0841</t>
        </is>
      </c>
      <c r="C846" s="11" t="inlineStr">
        <is>
          <t>Managed Services</t>
        </is>
      </c>
      <c r="D846" s="7" t="inlineStr">
        <is>
          <t>AMS Architect</t>
        </is>
      </c>
      <c r="E846" s="11" t="inlineStr">
        <is>
          <t>AMS L3</t>
        </is>
      </c>
      <c r="F846" s="11" t="inlineStr">
        <is>
          <t>Manager</t>
        </is>
      </c>
      <c r="G846" s="21" t="inlineStr">
        <is>
          <t>High</t>
        </is>
      </c>
      <c r="H846" s="23">
        <f>VLOOKUP(F846,'Internal Cost Model'!$B$6:$F$15,5,FALSE)</f>
        <v/>
      </c>
      <c r="I846" s="24">
        <f>H846*VLOOKUP(G846,Assumptions!$B$43:$C$45,2,FALSE)</f>
        <v/>
      </c>
      <c r="J846" s="25">
        <f>VLOOKUP(F846,Assumptions!$B$50:$D$59,2,FALSE)*VLOOKUP("SI-T1",Assumptions!$B$27:$C$31,2,FALSE)*VLOOKUP(G846,Assumptions!$B$43:$C$45,2,FALSE)</f>
        <v/>
      </c>
    </row>
    <row r="847">
      <c r="B847" s="7" t="inlineStr">
        <is>
          <t>RC-0842</t>
        </is>
      </c>
      <c r="C847" s="11" t="inlineStr">
        <is>
          <t>Managed Services</t>
        </is>
      </c>
      <c r="D847" s="7" t="inlineStr">
        <is>
          <t>AMS Architect</t>
        </is>
      </c>
      <c r="E847" s="11" t="inlineStr">
        <is>
          <t>AMS L3</t>
        </is>
      </c>
      <c r="F847" s="11" t="inlineStr">
        <is>
          <t>Lead</t>
        </is>
      </c>
      <c r="G847" s="21" t="inlineStr">
        <is>
          <t>High</t>
        </is>
      </c>
      <c r="H847" s="23">
        <f>VLOOKUP(F847,'Internal Cost Model'!$B$6:$F$15,5,FALSE)</f>
        <v/>
      </c>
      <c r="I847" s="24">
        <f>H847*VLOOKUP(G847,Assumptions!$B$43:$C$45,2,FALSE)</f>
        <v/>
      </c>
      <c r="J847" s="25">
        <f>VLOOKUP(F847,Assumptions!$B$50:$D$59,2,FALSE)*VLOOKUP("SI-T1",Assumptions!$B$27:$C$31,2,FALSE)*VLOOKUP(G847,Assumptions!$B$43:$C$45,2,FALSE)</f>
        <v/>
      </c>
    </row>
    <row r="848">
      <c r="B848" s="7" t="inlineStr">
        <is>
          <t>RC-0843</t>
        </is>
      </c>
      <c r="C848" s="11" t="inlineStr">
        <is>
          <t>Managed Services</t>
        </is>
      </c>
      <c r="D848" s="7" t="inlineStr">
        <is>
          <t>Knowledge Manager</t>
        </is>
      </c>
      <c r="E848" s="11" t="inlineStr">
        <is>
          <t>AMS L2</t>
        </is>
      </c>
      <c r="F848" s="11" t="inlineStr">
        <is>
          <t>Manager</t>
        </is>
      </c>
      <c r="G848" s="21" t="inlineStr">
        <is>
          <t>Low</t>
        </is>
      </c>
      <c r="H848" s="23">
        <f>VLOOKUP(F848,'Internal Cost Model'!$B$6:$F$15,5,FALSE)</f>
        <v/>
      </c>
      <c r="I848" s="24">
        <f>H848*VLOOKUP(G848,Assumptions!$B$43:$C$45,2,FALSE)</f>
        <v/>
      </c>
      <c r="J848" s="25">
        <f>VLOOKUP(F848,Assumptions!$B$50:$D$59,2,FALSE)*VLOOKUP("SI-T1",Assumptions!$B$27:$C$31,2,FALSE)*VLOOKUP(G848,Assumptions!$B$43:$C$45,2,FALSE)</f>
        <v/>
      </c>
    </row>
    <row r="849">
      <c r="B849" s="7" t="inlineStr">
        <is>
          <t>RC-0844</t>
        </is>
      </c>
      <c r="C849" s="11" t="inlineStr">
        <is>
          <t>Managed Services</t>
        </is>
      </c>
      <c r="D849" s="7" t="inlineStr">
        <is>
          <t>Knowledge Manager</t>
        </is>
      </c>
      <c r="E849" s="11" t="inlineStr">
        <is>
          <t>AMS L2</t>
        </is>
      </c>
      <c r="F849" s="11" t="inlineStr">
        <is>
          <t>Lead</t>
        </is>
      </c>
      <c r="G849" s="21" t="inlineStr">
        <is>
          <t>Low</t>
        </is>
      </c>
      <c r="H849" s="23">
        <f>VLOOKUP(F849,'Internal Cost Model'!$B$6:$F$15,5,FALSE)</f>
        <v/>
      </c>
      <c r="I849" s="24">
        <f>H849*VLOOKUP(G849,Assumptions!$B$43:$C$45,2,FALSE)</f>
        <v/>
      </c>
      <c r="J849" s="25">
        <f>VLOOKUP(F849,Assumptions!$B$50:$D$59,2,FALSE)*VLOOKUP("SI-T1",Assumptions!$B$27:$C$31,2,FALSE)*VLOOKUP(G849,Assumptions!$B$43:$C$45,2,FALSE)</f>
        <v/>
      </c>
    </row>
    <row r="850">
      <c r="B850" s="7" t="inlineStr">
        <is>
          <t>RC-0845</t>
        </is>
      </c>
      <c r="C850" s="11" t="inlineStr">
        <is>
          <t>Managed Services</t>
        </is>
      </c>
      <c r="D850" s="7" t="inlineStr">
        <is>
          <t>Knowledge Manager</t>
        </is>
      </c>
      <c r="E850" s="11" t="inlineStr">
        <is>
          <t>AMS L2</t>
        </is>
      </c>
      <c r="F850" s="11" t="inlineStr">
        <is>
          <t>Senior</t>
        </is>
      </c>
      <c r="G850" s="21" t="inlineStr">
        <is>
          <t>Low</t>
        </is>
      </c>
      <c r="H850" s="23">
        <f>VLOOKUP(F850,'Internal Cost Model'!$B$6:$F$15,5,FALSE)</f>
        <v/>
      </c>
      <c r="I850" s="24">
        <f>H850*VLOOKUP(G850,Assumptions!$B$43:$C$45,2,FALSE)</f>
        <v/>
      </c>
      <c r="J850" s="25">
        <f>VLOOKUP(F850,Assumptions!$B$50:$D$59,2,FALSE)*VLOOKUP("SI-T1",Assumptions!$B$27:$C$31,2,FALSE)*VLOOKUP(G850,Assumptions!$B$43:$C$45,2,FALSE)</f>
        <v/>
      </c>
    </row>
    <row r="851">
      <c r="B851" s="7" t="inlineStr">
        <is>
          <t>RC-0846</t>
        </is>
      </c>
      <c r="C851" s="11" t="inlineStr">
        <is>
          <t>Legacy &amp; Mainframe</t>
        </is>
      </c>
      <c r="D851" s="7" t="inlineStr">
        <is>
          <t>DB2 DBA</t>
        </is>
      </c>
      <c r="E851" s="11" t="inlineStr">
        <is>
          <t>DB2</t>
        </is>
      </c>
      <c r="F851" s="11" t="inlineStr">
        <is>
          <t>Lead</t>
        </is>
      </c>
      <c r="G851" s="21" t="inlineStr">
        <is>
          <t>Medium</t>
        </is>
      </c>
      <c r="H851" s="23">
        <f>VLOOKUP(F851,'Internal Cost Model'!$B$6:$F$15,5,FALSE)</f>
        <v/>
      </c>
      <c r="I851" s="24">
        <f>H851*VLOOKUP(G851,Assumptions!$B$43:$C$45,2,FALSE)</f>
        <v/>
      </c>
      <c r="J851" s="25">
        <f>VLOOKUP(F851,Assumptions!$B$50:$D$59,2,FALSE)*VLOOKUP("SI-T1",Assumptions!$B$27:$C$31,2,FALSE)*VLOOKUP(G851,Assumptions!$B$43:$C$45,2,FALSE)</f>
        <v/>
      </c>
    </row>
    <row r="852">
      <c r="B852" s="7" t="inlineStr">
        <is>
          <t>RC-0847</t>
        </is>
      </c>
      <c r="C852" s="11" t="inlineStr">
        <is>
          <t>Legacy &amp; Mainframe</t>
        </is>
      </c>
      <c r="D852" s="7" t="inlineStr">
        <is>
          <t>DB2 DBA</t>
        </is>
      </c>
      <c r="E852" s="11" t="inlineStr">
        <is>
          <t>DB2</t>
        </is>
      </c>
      <c r="F852" s="11" t="inlineStr">
        <is>
          <t>Senior</t>
        </is>
      </c>
      <c r="G852" s="21" t="inlineStr">
        <is>
          <t>Medium</t>
        </is>
      </c>
      <c r="H852" s="23">
        <f>VLOOKUP(F852,'Internal Cost Model'!$B$6:$F$15,5,FALSE)</f>
        <v/>
      </c>
      <c r="I852" s="24">
        <f>H852*VLOOKUP(G852,Assumptions!$B$43:$C$45,2,FALSE)</f>
        <v/>
      </c>
      <c r="J852" s="25">
        <f>VLOOKUP(F852,Assumptions!$B$50:$D$59,2,FALSE)*VLOOKUP("SI-T1",Assumptions!$B$27:$C$31,2,FALSE)*VLOOKUP(G852,Assumptions!$B$43:$C$45,2,FALSE)</f>
        <v/>
      </c>
    </row>
    <row r="853">
      <c r="B853" s="7" t="inlineStr">
        <is>
          <t>RC-0848</t>
        </is>
      </c>
      <c r="C853" s="11" t="inlineStr">
        <is>
          <t>Legacy &amp; Mainframe</t>
        </is>
      </c>
      <c r="D853" s="7" t="inlineStr">
        <is>
          <t>Mainframe Modernization Consultant</t>
        </is>
      </c>
      <c r="E853" s="11" t="inlineStr">
        <is>
          <t>Mainframe</t>
        </is>
      </c>
      <c r="F853" s="11" t="inlineStr">
        <is>
          <t>Senior Manager</t>
        </is>
      </c>
      <c r="G853" s="21" t="inlineStr">
        <is>
          <t>High</t>
        </is>
      </c>
      <c r="H853" s="23">
        <f>VLOOKUP(F853,'Internal Cost Model'!$B$6:$F$15,5,FALSE)</f>
        <v/>
      </c>
      <c r="I853" s="24">
        <f>H853*VLOOKUP(G853,Assumptions!$B$43:$C$45,2,FALSE)</f>
        <v/>
      </c>
      <c r="J853" s="25">
        <f>VLOOKUP(F853,Assumptions!$B$50:$D$59,2,FALSE)*VLOOKUP("SI-T1",Assumptions!$B$27:$C$31,2,FALSE)*VLOOKUP(G853,Assumptions!$B$43:$C$45,2,FALSE)</f>
        <v/>
      </c>
    </row>
    <row r="854">
      <c r="B854" s="7" t="inlineStr">
        <is>
          <t>RC-0849</t>
        </is>
      </c>
      <c r="C854" s="11" t="inlineStr">
        <is>
          <t>Legacy &amp; Mainframe</t>
        </is>
      </c>
      <c r="D854" s="7" t="inlineStr">
        <is>
          <t>Mainframe Modernization Consultant</t>
        </is>
      </c>
      <c r="E854" s="11" t="inlineStr">
        <is>
          <t>Mainframe</t>
        </is>
      </c>
      <c r="F854" s="11" t="inlineStr">
        <is>
          <t>Manager</t>
        </is>
      </c>
      <c r="G854" s="21" t="inlineStr">
        <is>
          <t>High</t>
        </is>
      </c>
      <c r="H854" s="23">
        <f>VLOOKUP(F854,'Internal Cost Model'!$B$6:$F$15,5,FALSE)</f>
        <v/>
      </c>
      <c r="I854" s="24">
        <f>H854*VLOOKUP(G854,Assumptions!$B$43:$C$45,2,FALSE)</f>
        <v/>
      </c>
      <c r="J854" s="25">
        <f>VLOOKUP(F854,Assumptions!$B$50:$D$59,2,FALSE)*VLOOKUP("SI-T1",Assumptions!$B$27:$C$31,2,FALSE)*VLOOKUP(G854,Assumptions!$B$43:$C$45,2,FALSE)</f>
        <v/>
      </c>
    </row>
    <row r="855">
      <c r="B855" s="7" t="inlineStr">
        <is>
          <t>RC-0850</t>
        </is>
      </c>
      <c r="C855" s="11" t="inlineStr">
        <is>
          <t>Legacy &amp; Mainframe</t>
        </is>
      </c>
      <c r="D855" s="7" t="inlineStr">
        <is>
          <t>Mainframe Modernization Consultant</t>
        </is>
      </c>
      <c r="E855" s="11" t="inlineStr">
        <is>
          <t>Mainframe</t>
        </is>
      </c>
      <c r="F855" s="11" t="inlineStr">
        <is>
          <t>Lead</t>
        </is>
      </c>
      <c r="G855" s="21" t="inlineStr">
        <is>
          <t>High</t>
        </is>
      </c>
      <c r="H855" s="23">
        <f>VLOOKUP(F855,'Internal Cost Model'!$B$6:$F$15,5,FALSE)</f>
        <v/>
      </c>
      <c r="I855" s="24">
        <f>H855*VLOOKUP(G855,Assumptions!$B$43:$C$45,2,FALSE)</f>
        <v/>
      </c>
      <c r="J855" s="25">
        <f>VLOOKUP(F855,Assumptions!$B$50:$D$59,2,FALSE)*VLOOKUP("SI-T1",Assumptions!$B$27:$C$31,2,FALSE)*VLOOKUP(G855,Assumptions!$B$43:$C$45,2,FALSE)</f>
        <v/>
      </c>
    </row>
    <row r="856">
      <c r="B856" s="7" t="inlineStr">
        <is>
          <t>RC-0851</t>
        </is>
      </c>
      <c r="C856" s="11" t="inlineStr">
        <is>
          <t>Legacy &amp; Mainframe</t>
        </is>
      </c>
      <c r="D856" s="7" t="inlineStr">
        <is>
          <t>Mainframe Modernization Consultant</t>
        </is>
      </c>
      <c r="E856" s="11" t="inlineStr">
        <is>
          <t>Mainframe</t>
        </is>
      </c>
      <c r="F856" s="11" t="inlineStr">
        <is>
          <t>Senior</t>
        </is>
      </c>
      <c r="G856" s="21" t="inlineStr">
        <is>
          <t>High</t>
        </is>
      </c>
      <c r="H856" s="23">
        <f>VLOOKUP(F856,'Internal Cost Model'!$B$6:$F$15,5,FALSE)</f>
        <v/>
      </c>
      <c r="I856" s="24">
        <f>H856*VLOOKUP(G856,Assumptions!$B$43:$C$45,2,FALSE)</f>
        <v/>
      </c>
      <c r="J856" s="25">
        <f>VLOOKUP(F856,Assumptions!$B$50:$D$59,2,FALSE)*VLOOKUP("SI-T1",Assumptions!$B$27:$C$31,2,FALSE)*VLOOKUP(G856,Assumptions!$B$43:$C$45,2,FALSE)</f>
        <v/>
      </c>
    </row>
    <row r="857">
      <c r="B857" s="7" t="inlineStr">
        <is>
          <t>RC-0852</t>
        </is>
      </c>
      <c r="C857" s="11" t="inlineStr">
        <is>
          <t>Legacy &amp; Mainframe</t>
        </is>
      </c>
      <c r="D857" s="7" t="inlineStr">
        <is>
          <t>JCL Engineer</t>
        </is>
      </c>
      <c r="E857" s="11" t="inlineStr">
        <is>
          <t>z/OS</t>
        </is>
      </c>
      <c r="F857" s="11" t="inlineStr">
        <is>
          <t>Senior</t>
        </is>
      </c>
      <c r="G857" s="21" t="inlineStr">
        <is>
          <t>Medium</t>
        </is>
      </c>
      <c r="H857" s="23">
        <f>VLOOKUP(F857,'Internal Cost Model'!$B$6:$F$15,5,FALSE)</f>
        <v/>
      </c>
      <c r="I857" s="24">
        <f>H857*VLOOKUP(G857,Assumptions!$B$43:$C$45,2,FALSE)</f>
        <v/>
      </c>
      <c r="J857" s="25">
        <f>VLOOKUP(F857,Assumptions!$B$50:$D$59,2,FALSE)*VLOOKUP("SI-T1",Assumptions!$B$27:$C$31,2,FALSE)*VLOOKUP(G857,Assumptions!$B$43:$C$45,2,FALSE)</f>
        <v/>
      </c>
    </row>
    <row r="858">
      <c r="B858" s="7" t="inlineStr">
        <is>
          <t>RC-0853</t>
        </is>
      </c>
      <c r="C858" s="11" t="inlineStr">
        <is>
          <t>Legacy &amp; Mainframe</t>
        </is>
      </c>
      <c r="D858" s="7" t="inlineStr">
        <is>
          <t>JCL Engineer</t>
        </is>
      </c>
      <c r="E858" s="11" t="inlineStr">
        <is>
          <t>z/OS</t>
        </is>
      </c>
      <c r="F858" s="11" t="inlineStr">
        <is>
          <t>Intermediate</t>
        </is>
      </c>
      <c r="G858" s="21" t="inlineStr">
        <is>
          <t>Medium</t>
        </is>
      </c>
      <c r="H858" s="23">
        <f>VLOOKUP(F858,'Internal Cost Model'!$B$6:$F$15,5,FALSE)</f>
        <v/>
      </c>
      <c r="I858" s="24">
        <f>H858*VLOOKUP(G858,Assumptions!$B$43:$C$45,2,FALSE)</f>
        <v/>
      </c>
      <c r="J858" s="25">
        <f>VLOOKUP(F858,Assumptions!$B$50:$D$59,2,FALSE)*VLOOKUP("SI-T1",Assumptions!$B$27:$C$31,2,FALSE)*VLOOKUP(G858,Assumptions!$B$43:$C$45,2,FALSE)</f>
        <v/>
      </c>
    </row>
    <row r="859">
      <c r="B859" s="7" t="inlineStr">
        <is>
          <t>RC-0854</t>
        </is>
      </c>
      <c r="C859" s="11" t="inlineStr">
        <is>
          <t>Change Management</t>
        </is>
      </c>
      <c r="D859" s="7" t="inlineStr">
        <is>
          <t>Change Analyst</t>
        </is>
      </c>
      <c r="E859" s="11" t="inlineStr">
        <is>
          <t>Organizational Change</t>
        </is>
      </c>
      <c r="F859" s="11" t="inlineStr">
        <is>
          <t>Senior</t>
        </is>
      </c>
      <c r="G859" s="21" t="inlineStr">
        <is>
          <t>Low</t>
        </is>
      </c>
      <c r="H859" s="23">
        <f>VLOOKUP(F859,'Internal Cost Model'!$B$6:$F$15,5,FALSE)</f>
        <v/>
      </c>
      <c r="I859" s="24">
        <f>H859*VLOOKUP(G859,Assumptions!$B$43:$C$45,2,FALSE)</f>
        <v/>
      </c>
      <c r="J859" s="25">
        <f>VLOOKUP(F859,Assumptions!$B$50:$D$59,2,FALSE)*VLOOKUP("SI-T1",Assumptions!$B$27:$C$31,2,FALSE)*VLOOKUP(G859,Assumptions!$B$43:$C$45,2,FALSE)</f>
        <v/>
      </c>
    </row>
    <row r="860">
      <c r="B860" s="7" t="inlineStr">
        <is>
          <t>RC-0855</t>
        </is>
      </c>
      <c r="C860" s="11" t="inlineStr">
        <is>
          <t>Change Management</t>
        </is>
      </c>
      <c r="D860" s="7" t="inlineStr">
        <is>
          <t>Change Analyst</t>
        </is>
      </c>
      <c r="E860" s="11" t="inlineStr">
        <is>
          <t>Organizational Change</t>
        </is>
      </c>
      <c r="F860" s="11" t="inlineStr">
        <is>
          <t>Intermediate</t>
        </is>
      </c>
      <c r="G860" s="21" t="inlineStr">
        <is>
          <t>Low</t>
        </is>
      </c>
      <c r="H860" s="23">
        <f>VLOOKUP(F860,'Internal Cost Model'!$B$6:$F$15,5,FALSE)</f>
        <v/>
      </c>
      <c r="I860" s="24">
        <f>H860*VLOOKUP(G860,Assumptions!$B$43:$C$45,2,FALSE)</f>
        <v/>
      </c>
      <c r="J860" s="25">
        <f>VLOOKUP(F860,Assumptions!$B$50:$D$59,2,FALSE)*VLOOKUP("SI-T1",Assumptions!$B$27:$C$31,2,FALSE)*VLOOKUP(G860,Assumptions!$B$43:$C$45,2,FALSE)</f>
        <v/>
      </c>
    </row>
    <row r="861">
      <c r="B861" s="7" t="inlineStr">
        <is>
          <t>RC-0856</t>
        </is>
      </c>
      <c r="C861" s="11" t="inlineStr">
        <is>
          <t>Change Management</t>
        </is>
      </c>
      <c r="D861" s="7" t="inlineStr">
        <is>
          <t>Change Analyst</t>
        </is>
      </c>
      <c r="E861" s="11" t="inlineStr">
        <is>
          <t>Organizational Change</t>
        </is>
      </c>
      <c r="F861" s="11" t="inlineStr">
        <is>
          <t>Junior</t>
        </is>
      </c>
      <c r="G861" s="21" t="inlineStr">
        <is>
          <t>Low</t>
        </is>
      </c>
      <c r="H861" s="23">
        <f>VLOOKUP(F861,'Internal Cost Model'!$B$6:$F$15,5,FALSE)</f>
        <v/>
      </c>
      <c r="I861" s="24">
        <f>H861*VLOOKUP(G861,Assumptions!$B$43:$C$45,2,FALSE)</f>
        <v/>
      </c>
      <c r="J861" s="25">
        <f>VLOOKUP(F861,Assumptions!$B$50:$D$59,2,FALSE)*VLOOKUP("SI-T1",Assumptions!$B$27:$C$31,2,FALSE)*VLOOKUP(G861,Assumptions!$B$43:$C$45,2,FALSE)</f>
        <v/>
      </c>
    </row>
    <row r="862">
      <c r="B862" s="7" t="inlineStr">
        <is>
          <t>RC-0857</t>
        </is>
      </c>
      <c r="C862" s="11" t="inlineStr">
        <is>
          <t>Change Management</t>
        </is>
      </c>
      <c r="D862" s="7" t="inlineStr">
        <is>
          <t>Instructional Designer</t>
        </is>
      </c>
      <c r="E862" s="11" t="inlineStr">
        <is>
          <t>Training</t>
        </is>
      </c>
      <c r="F862" s="11" t="inlineStr">
        <is>
          <t>Senior</t>
        </is>
      </c>
      <c r="G862" s="21" t="inlineStr">
        <is>
          <t>Low</t>
        </is>
      </c>
      <c r="H862" s="23">
        <f>VLOOKUP(F862,'Internal Cost Model'!$B$6:$F$15,5,FALSE)</f>
        <v/>
      </c>
      <c r="I862" s="24">
        <f>H862*VLOOKUP(G862,Assumptions!$B$43:$C$45,2,FALSE)</f>
        <v/>
      </c>
      <c r="J862" s="25">
        <f>VLOOKUP(F862,Assumptions!$B$50:$D$59,2,FALSE)*VLOOKUP("SI-T1",Assumptions!$B$27:$C$31,2,FALSE)*VLOOKUP(G862,Assumptions!$B$43:$C$45,2,FALSE)</f>
        <v/>
      </c>
    </row>
    <row r="863">
      <c r="B863" s="7" t="inlineStr">
        <is>
          <t>RC-0858</t>
        </is>
      </c>
      <c r="C863" s="11" t="inlineStr">
        <is>
          <t>Change Management</t>
        </is>
      </c>
      <c r="D863" s="7" t="inlineStr">
        <is>
          <t>Instructional Designer</t>
        </is>
      </c>
      <c r="E863" s="11" t="inlineStr">
        <is>
          <t>Training</t>
        </is>
      </c>
      <c r="F863" s="11" t="inlineStr">
        <is>
          <t>Intermediate</t>
        </is>
      </c>
      <c r="G863" s="21" t="inlineStr">
        <is>
          <t>Low</t>
        </is>
      </c>
      <c r="H863" s="23">
        <f>VLOOKUP(F863,'Internal Cost Model'!$B$6:$F$15,5,FALSE)</f>
        <v/>
      </c>
      <c r="I863" s="24">
        <f>H863*VLOOKUP(G863,Assumptions!$B$43:$C$45,2,FALSE)</f>
        <v/>
      </c>
      <c r="J863" s="25">
        <f>VLOOKUP(F863,Assumptions!$B$50:$D$59,2,FALSE)*VLOOKUP("SI-T1",Assumptions!$B$27:$C$31,2,FALSE)*VLOOKUP(G863,Assumptions!$B$43:$C$45,2,FALSE)</f>
        <v/>
      </c>
    </row>
    <row r="864">
      <c r="B864" s="7" t="inlineStr">
        <is>
          <t>RC-0859</t>
        </is>
      </c>
      <c r="C864" s="11" t="inlineStr">
        <is>
          <t>Change Management</t>
        </is>
      </c>
      <c r="D864" s="7" t="inlineStr">
        <is>
          <t>Adoption Analyst</t>
        </is>
      </c>
      <c r="E864" s="11" t="inlineStr">
        <is>
          <t>Adoption</t>
        </is>
      </c>
      <c r="F864" s="11" t="inlineStr">
        <is>
          <t>Senior</t>
        </is>
      </c>
      <c r="G864" s="21" t="inlineStr">
        <is>
          <t>Low</t>
        </is>
      </c>
      <c r="H864" s="23">
        <f>VLOOKUP(F864,'Internal Cost Model'!$B$6:$F$15,5,FALSE)</f>
        <v/>
      </c>
      <c r="I864" s="24">
        <f>H864*VLOOKUP(G864,Assumptions!$B$43:$C$45,2,FALSE)</f>
        <v/>
      </c>
      <c r="J864" s="25">
        <f>VLOOKUP(F864,Assumptions!$B$50:$D$59,2,FALSE)*VLOOKUP("SI-T1",Assumptions!$B$27:$C$31,2,FALSE)*VLOOKUP(G864,Assumptions!$B$43:$C$45,2,FALSE)</f>
        <v/>
      </c>
    </row>
    <row r="865">
      <c r="B865" s="7" t="inlineStr">
        <is>
          <t>RC-0860</t>
        </is>
      </c>
      <c r="C865" s="11" t="inlineStr">
        <is>
          <t>Change Management</t>
        </is>
      </c>
      <c r="D865" s="7" t="inlineStr">
        <is>
          <t>Adoption Analyst</t>
        </is>
      </c>
      <c r="E865" s="11" t="inlineStr">
        <is>
          <t>Adoption</t>
        </is>
      </c>
      <c r="F865" s="11" t="inlineStr">
        <is>
          <t>Intermediate</t>
        </is>
      </c>
      <c r="G865" s="21" t="inlineStr">
        <is>
          <t>Low</t>
        </is>
      </c>
      <c r="H865" s="23">
        <f>VLOOKUP(F865,'Internal Cost Model'!$B$6:$F$15,5,FALSE)</f>
        <v/>
      </c>
      <c r="I865" s="24">
        <f>H865*VLOOKUP(G865,Assumptions!$B$43:$C$45,2,FALSE)</f>
        <v/>
      </c>
      <c r="J865" s="25">
        <f>VLOOKUP(F865,Assumptions!$B$50:$D$59,2,FALSE)*VLOOKUP("SI-T1",Assumptions!$B$27:$C$31,2,FALSE)*VLOOKUP(G865,Assumptions!$B$43:$C$45,2,FALSE)</f>
        <v/>
      </c>
    </row>
    <row r="866">
      <c r="B866" s="7" t="inlineStr">
        <is>
          <t>RC-0861</t>
        </is>
      </c>
      <c r="C866" s="11" t="inlineStr">
        <is>
          <t>Change Management</t>
        </is>
      </c>
      <c r="D866" s="7" t="inlineStr">
        <is>
          <t>Adoption Analyst</t>
        </is>
      </c>
      <c r="E866" s="11" t="inlineStr">
        <is>
          <t>Adoption</t>
        </is>
      </c>
      <c r="F866" s="11" t="inlineStr">
        <is>
          <t>Junior</t>
        </is>
      </c>
      <c r="G866" s="21" t="inlineStr">
        <is>
          <t>Low</t>
        </is>
      </c>
      <c r="H866" s="23">
        <f>VLOOKUP(F866,'Internal Cost Model'!$B$6:$F$15,5,FALSE)</f>
        <v/>
      </c>
      <c r="I866" s="24">
        <f>H866*VLOOKUP(G866,Assumptions!$B$43:$C$45,2,FALSE)</f>
        <v/>
      </c>
      <c r="J866" s="25">
        <f>VLOOKUP(F866,Assumptions!$B$50:$D$59,2,FALSE)*VLOOKUP("SI-T1",Assumptions!$B$27:$C$31,2,FALSE)*VLOOKUP(G866,Assumptions!$B$43:$C$45,2,FALSE)</f>
        <v/>
      </c>
    </row>
    <row r="867">
      <c r="B867" s="7" t="inlineStr">
        <is>
          <t>RC-0862</t>
        </is>
      </c>
      <c r="C867" s="11" t="inlineStr">
        <is>
          <t>Program Management</t>
        </is>
      </c>
      <c r="D867" s="7" t="inlineStr">
        <is>
          <t>Portfolio Manager</t>
        </is>
      </c>
      <c r="E867" s="11" t="inlineStr">
        <is>
          <t>Program Delivery</t>
        </is>
      </c>
      <c r="F867" s="11" t="inlineStr">
        <is>
          <t>Principal</t>
        </is>
      </c>
      <c r="G867" s="21" t="inlineStr">
        <is>
          <t>Medium</t>
        </is>
      </c>
      <c r="H867" s="23">
        <f>VLOOKUP(F867,'Internal Cost Model'!$B$6:$F$15,5,FALSE)</f>
        <v/>
      </c>
      <c r="I867" s="24">
        <f>H867*VLOOKUP(G867,Assumptions!$B$43:$C$45,2,FALSE)</f>
        <v/>
      </c>
      <c r="J867" s="25">
        <f>VLOOKUP(F867,Assumptions!$B$50:$D$59,2,FALSE)*VLOOKUP("SI-T1",Assumptions!$B$27:$C$31,2,FALSE)*VLOOKUP(G867,Assumptions!$B$43:$C$45,2,FALSE)</f>
        <v/>
      </c>
    </row>
    <row r="868">
      <c r="B868" s="7" t="inlineStr">
        <is>
          <t>RC-0863</t>
        </is>
      </c>
      <c r="C868" s="11" t="inlineStr">
        <is>
          <t>Program Management</t>
        </is>
      </c>
      <c r="D868" s="7" t="inlineStr">
        <is>
          <t>Portfolio Manager</t>
        </is>
      </c>
      <c r="E868" s="11" t="inlineStr">
        <is>
          <t>Program Delivery</t>
        </is>
      </c>
      <c r="F868" s="11" t="inlineStr">
        <is>
          <t>Director</t>
        </is>
      </c>
      <c r="G868" s="21" t="inlineStr">
        <is>
          <t>Medium</t>
        </is>
      </c>
      <c r="H868" s="23">
        <f>VLOOKUP(F868,'Internal Cost Model'!$B$6:$F$15,5,FALSE)</f>
        <v/>
      </c>
      <c r="I868" s="24">
        <f>H868*VLOOKUP(G868,Assumptions!$B$43:$C$45,2,FALSE)</f>
        <v/>
      </c>
      <c r="J868" s="25">
        <f>VLOOKUP(F868,Assumptions!$B$50:$D$59,2,FALSE)*VLOOKUP("SI-T1",Assumptions!$B$27:$C$31,2,FALSE)*VLOOKUP(G868,Assumptions!$B$43:$C$45,2,FALSE)</f>
        <v/>
      </c>
    </row>
    <row r="869">
      <c r="B869" s="7" t="inlineStr">
        <is>
          <t>RC-0864</t>
        </is>
      </c>
      <c r="C869" s="11" t="inlineStr">
        <is>
          <t>Program Management</t>
        </is>
      </c>
      <c r="D869" s="7" t="inlineStr">
        <is>
          <t>Agile Coach</t>
        </is>
      </c>
      <c r="E869" s="11" t="inlineStr">
        <is>
          <t>Agile Delivery</t>
        </is>
      </c>
      <c r="F869" s="11" t="inlineStr">
        <is>
          <t>Senior Manager</t>
        </is>
      </c>
      <c r="G869" s="21" t="inlineStr">
        <is>
          <t>Medium</t>
        </is>
      </c>
      <c r="H869" s="23">
        <f>VLOOKUP(F869,'Internal Cost Model'!$B$6:$F$15,5,FALSE)</f>
        <v/>
      </c>
      <c r="I869" s="24">
        <f>H869*VLOOKUP(G869,Assumptions!$B$43:$C$45,2,FALSE)</f>
        <v/>
      </c>
      <c r="J869" s="25">
        <f>VLOOKUP(F869,Assumptions!$B$50:$D$59,2,FALSE)*VLOOKUP("SI-T1",Assumptions!$B$27:$C$31,2,FALSE)*VLOOKUP(G869,Assumptions!$B$43:$C$45,2,FALSE)</f>
        <v/>
      </c>
    </row>
    <row r="870">
      <c r="B870" s="7" t="inlineStr">
        <is>
          <t>RC-0865</t>
        </is>
      </c>
      <c r="C870" s="11" t="inlineStr">
        <is>
          <t>Program Management</t>
        </is>
      </c>
      <c r="D870" s="7" t="inlineStr">
        <is>
          <t>Agile Coach</t>
        </is>
      </c>
      <c r="E870" s="11" t="inlineStr">
        <is>
          <t>Agile Delivery</t>
        </is>
      </c>
      <c r="F870" s="11" t="inlineStr">
        <is>
          <t>Manager</t>
        </is>
      </c>
      <c r="G870" s="21" t="inlineStr">
        <is>
          <t>Medium</t>
        </is>
      </c>
      <c r="H870" s="23">
        <f>VLOOKUP(F870,'Internal Cost Model'!$B$6:$F$15,5,FALSE)</f>
        <v/>
      </c>
      <c r="I870" s="24">
        <f>H870*VLOOKUP(G870,Assumptions!$B$43:$C$45,2,FALSE)</f>
        <v/>
      </c>
      <c r="J870" s="25">
        <f>VLOOKUP(F870,Assumptions!$B$50:$D$59,2,FALSE)*VLOOKUP("SI-T1",Assumptions!$B$27:$C$31,2,FALSE)*VLOOKUP(G870,Assumptions!$B$43:$C$45,2,FALSE)</f>
        <v/>
      </c>
    </row>
    <row r="871">
      <c r="B871" s="7" t="inlineStr">
        <is>
          <t>RC-0866</t>
        </is>
      </c>
      <c r="C871" s="11" t="inlineStr">
        <is>
          <t>Program Management</t>
        </is>
      </c>
      <c r="D871" s="7" t="inlineStr">
        <is>
          <t>Agile Coach</t>
        </is>
      </c>
      <c r="E871" s="11" t="inlineStr">
        <is>
          <t>Agile Delivery</t>
        </is>
      </c>
      <c r="F871" s="11" t="inlineStr">
        <is>
          <t>Lead</t>
        </is>
      </c>
      <c r="G871" s="21" t="inlineStr">
        <is>
          <t>Medium</t>
        </is>
      </c>
      <c r="H871" s="23">
        <f>VLOOKUP(F871,'Internal Cost Model'!$B$6:$F$15,5,FALSE)</f>
        <v/>
      </c>
      <c r="I871" s="24">
        <f>H871*VLOOKUP(G871,Assumptions!$B$43:$C$45,2,FALSE)</f>
        <v/>
      </c>
      <c r="J871" s="25">
        <f>VLOOKUP(F871,Assumptions!$B$50:$D$59,2,FALSE)*VLOOKUP("SI-T1",Assumptions!$B$27:$C$31,2,FALSE)*VLOOKUP(G871,Assumptions!$B$43:$C$45,2,FALSE)</f>
        <v/>
      </c>
    </row>
    <row r="872">
      <c r="B872" s="7" t="inlineStr">
        <is>
          <t>RC-0867</t>
        </is>
      </c>
      <c r="C872" s="11" t="inlineStr">
        <is>
          <t>Program Management</t>
        </is>
      </c>
      <c r="D872" s="7" t="inlineStr">
        <is>
          <t>Release Train Engineer</t>
        </is>
      </c>
      <c r="E872" s="11" t="inlineStr">
        <is>
          <t>Agile Delivery</t>
        </is>
      </c>
      <c r="F872" s="11" t="inlineStr">
        <is>
          <t>Senior Manager</t>
        </is>
      </c>
      <c r="G872" s="21" t="inlineStr">
        <is>
          <t>Medium</t>
        </is>
      </c>
      <c r="H872" s="23">
        <f>VLOOKUP(F872,'Internal Cost Model'!$B$6:$F$15,5,FALSE)</f>
        <v/>
      </c>
      <c r="I872" s="24">
        <f>H872*VLOOKUP(G872,Assumptions!$B$43:$C$45,2,FALSE)</f>
        <v/>
      </c>
      <c r="J872" s="25">
        <f>VLOOKUP(F872,Assumptions!$B$50:$D$59,2,FALSE)*VLOOKUP("SI-T1",Assumptions!$B$27:$C$31,2,FALSE)*VLOOKUP(G872,Assumptions!$B$43:$C$45,2,FALSE)</f>
        <v/>
      </c>
    </row>
    <row r="873">
      <c r="B873" s="7" t="inlineStr">
        <is>
          <t>RC-0868</t>
        </is>
      </c>
      <c r="C873" s="11" t="inlineStr">
        <is>
          <t>Program Management</t>
        </is>
      </c>
      <c r="D873" s="7" t="inlineStr">
        <is>
          <t>Release Train Engineer</t>
        </is>
      </c>
      <c r="E873" s="11" t="inlineStr">
        <is>
          <t>Agile Delivery</t>
        </is>
      </c>
      <c r="F873" s="11" t="inlineStr">
        <is>
          <t>Manager</t>
        </is>
      </c>
      <c r="G873" s="21" t="inlineStr">
        <is>
          <t>Medium</t>
        </is>
      </c>
      <c r="H873" s="23">
        <f>VLOOKUP(F873,'Internal Cost Model'!$B$6:$F$15,5,FALSE)</f>
        <v/>
      </c>
      <c r="I873" s="24">
        <f>H873*VLOOKUP(G873,Assumptions!$B$43:$C$45,2,FALSE)</f>
        <v/>
      </c>
      <c r="J873" s="25">
        <f>VLOOKUP(F873,Assumptions!$B$50:$D$59,2,FALSE)*VLOOKUP("SI-T1",Assumptions!$B$27:$C$31,2,FALSE)*VLOOKUP(G873,Assumptions!$B$43:$C$45,2,FALSE)</f>
        <v/>
      </c>
    </row>
    <row r="874">
      <c r="B874" s="7" t="inlineStr">
        <is>
          <t>RC-0869</t>
        </is>
      </c>
      <c r="C874" s="11" t="inlineStr">
        <is>
          <t>Program Management</t>
        </is>
      </c>
      <c r="D874" s="7" t="inlineStr">
        <is>
          <t>Release Train Engineer</t>
        </is>
      </c>
      <c r="E874" s="11" t="inlineStr">
        <is>
          <t>Agile Delivery</t>
        </is>
      </c>
      <c r="F874" s="11" t="inlineStr">
        <is>
          <t>Lead</t>
        </is>
      </c>
      <c r="G874" s="21" t="inlineStr">
        <is>
          <t>Medium</t>
        </is>
      </c>
      <c r="H874" s="23">
        <f>VLOOKUP(F874,'Internal Cost Model'!$B$6:$F$15,5,FALSE)</f>
        <v/>
      </c>
      <c r="I874" s="24">
        <f>H874*VLOOKUP(G874,Assumptions!$B$43:$C$45,2,FALSE)</f>
        <v/>
      </c>
      <c r="J874" s="25">
        <f>VLOOKUP(F874,Assumptions!$B$50:$D$59,2,FALSE)*VLOOKUP("SI-T1",Assumptions!$B$27:$C$31,2,FALSE)*VLOOKUP(G874,Assumptions!$B$43:$C$45,2,FALSE)</f>
        <v/>
      </c>
    </row>
    <row r="875">
      <c r="B875" s="7" t="inlineStr">
        <is>
          <t>RC-0870</t>
        </is>
      </c>
      <c r="C875" s="11" t="inlineStr">
        <is>
          <t>Program Management</t>
        </is>
      </c>
      <c r="D875" s="7" t="inlineStr">
        <is>
          <t>Delivery Lead</t>
        </is>
      </c>
      <c r="E875" s="11" t="inlineStr">
        <is>
          <t>Program Delivery</t>
        </is>
      </c>
      <c r="F875" s="11" t="inlineStr">
        <is>
          <t>Senior Manager</t>
        </is>
      </c>
      <c r="G875" s="21" t="inlineStr">
        <is>
          <t>Medium</t>
        </is>
      </c>
      <c r="H875" s="23">
        <f>VLOOKUP(F875,'Internal Cost Model'!$B$6:$F$15,5,FALSE)</f>
        <v/>
      </c>
      <c r="I875" s="24">
        <f>H875*VLOOKUP(G875,Assumptions!$B$43:$C$45,2,FALSE)</f>
        <v/>
      </c>
      <c r="J875" s="25">
        <f>VLOOKUP(F875,Assumptions!$B$50:$D$59,2,FALSE)*VLOOKUP("SI-T1",Assumptions!$B$27:$C$31,2,FALSE)*VLOOKUP(G875,Assumptions!$B$43:$C$45,2,FALSE)</f>
        <v/>
      </c>
    </row>
    <row r="876">
      <c r="B876" s="7" t="inlineStr">
        <is>
          <t>RC-0871</t>
        </is>
      </c>
      <c r="C876" s="11" t="inlineStr">
        <is>
          <t>Program Management</t>
        </is>
      </c>
      <c r="D876" s="7" t="inlineStr">
        <is>
          <t>Delivery Lead</t>
        </is>
      </c>
      <c r="E876" s="11" t="inlineStr">
        <is>
          <t>Program Delivery</t>
        </is>
      </c>
      <c r="F876" s="11" t="inlineStr">
        <is>
          <t>Manager</t>
        </is>
      </c>
      <c r="G876" s="21" t="inlineStr">
        <is>
          <t>Medium</t>
        </is>
      </c>
      <c r="H876" s="23">
        <f>VLOOKUP(F876,'Internal Cost Model'!$B$6:$F$15,5,FALSE)</f>
        <v/>
      </c>
      <c r="I876" s="24">
        <f>H876*VLOOKUP(G876,Assumptions!$B$43:$C$45,2,FALSE)</f>
        <v/>
      </c>
      <c r="J876" s="25">
        <f>VLOOKUP(F876,Assumptions!$B$50:$D$59,2,FALSE)*VLOOKUP("SI-T1",Assumptions!$B$27:$C$31,2,FALSE)*VLOOKUP(G876,Assumptions!$B$43:$C$45,2,FALSE)</f>
        <v/>
      </c>
    </row>
    <row r="877">
      <c r="B877" s="7" t="inlineStr">
        <is>
          <t>RC-0872</t>
        </is>
      </c>
      <c r="C877" s="11" t="inlineStr">
        <is>
          <t>Program Management</t>
        </is>
      </c>
      <c r="D877" s="7" t="inlineStr">
        <is>
          <t>Business Analyst</t>
        </is>
      </c>
      <c r="E877" s="11" t="inlineStr">
        <is>
          <t>PMO</t>
        </is>
      </c>
      <c r="F877" s="11" t="inlineStr">
        <is>
          <t>Senior</t>
        </is>
      </c>
      <c r="G877" s="21" t="inlineStr">
        <is>
          <t>Low</t>
        </is>
      </c>
      <c r="H877" s="23">
        <f>VLOOKUP(F877,'Internal Cost Model'!$B$6:$F$15,5,FALSE)</f>
        <v/>
      </c>
      <c r="I877" s="24">
        <f>H877*VLOOKUP(G877,Assumptions!$B$43:$C$45,2,FALSE)</f>
        <v/>
      </c>
      <c r="J877" s="25">
        <f>VLOOKUP(F877,Assumptions!$B$50:$D$59,2,FALSE)*VLOOKUP("SI-T1",Assumptions!$B$27:$C$31,2,FALSE)*VLOOKUP(G877,Assumptions!$B$43:$C$45,2,FALSE)</f>
        <v/>
      </c>
    </row>
    <row r="878">
      <c r="B878" s="7" t="inlineStr">
        <is>
          <t>RC-0873</t>
        </is>
      </c>
      <c r="C878" s="11" t="inlineStr">
        <is>
          <t>Program Management</t>
        </is>
      </c>
      <c r="D878" s="7" t="inlineStr">
        <is>
          <t>Business Analyst</t>
        </is>
      </c>
      <c r="E878" s="11" t="inlineStr">
        <is>
          <t>PMO</t>
        </is>
      </c>
      <c r="F878" s="11" t="inlineStr">
        <is>
          <t>Intermediate</t>
        </is>
      </c>
      <c r="G878" s="21" t="inlineStr">
        <is>
          <t>Low</t>
        </is>
      </c>
      <c r="H878" s="23">
        <f>VLOOKUP(F878,'Internal Cost Model'!$B$6:$F$15,5,FALSE)</f>
        <v/>
      </c>
      <c r="I878" s="24">
        <f>H878*VLOOKUP(G878,Assumptions!$B$43:$C$45,2,FALSE)</f>
        <v/>
      </c>
      <c r="J878" s="25">
        <f>VLOOKUP(F878,Assumptions!$B$50:$D$59,2,FALSE)*VLOOKUP("SI-T1",Assumptions!$B$27:$C$31,2,FALSE)*VLOOKUP(G878,Assumptions!$B$43:$C$45,2,FALSE)</f>
        <v/>
      </c>
    </row>
    <row r="879">
      <c r="B879" s="7" t="inlineStr">
        <is>
          <t>RC-0874</t>
        </is>
      </c>
      <c r="C879" s="11" t="inlineStr">
        <is>
          <t>Program Management</t>
        </is>
      </c>
      <c r="D879" s="7" t="inlineStr">
        <is>
          <t>Business Analyst</t>
        </is>
      </c>
      <c r="E879" s="11" t="inlineStr">
        <is>
          <t>PMO</t>
        </is>
      </c>
      <c r="F879" s="11" t="inlineStr">
        <is>
          <t>Junior</t>
        </is>
      </c>
      <c r="G879" s="21" t="inlineStr">
        <is>
          <t>Low</t>
        </is>
      </c>
      <c r="H879" s="23">
        <f>VLOOKUP(F879,'Internal Cost Model'!$B$6:$F$15,5,FALSE)</f>
        <v/>
      </c>
      <c r="I879" s="24">
        <f>H879*VLOOKUP(G879,Assumptions!$B$43:$C$45,2,FALSE)</f>
        <v/>
      </c>
      <c r="J879" s="25">
        <f>VLOOKUP(F879,Assumptions!$B$50:$D$59,2,FALSE)*VLOOKUP("SI-T1",Assumptions!$B$27:$C$31,2,FALSE)*VLOOKUP(G879,Assumptions!$B$43:$C$45,2,FALSE)</f>
        <v/>
      </c>
    </row>
    <row r="880">
      <c r="B880" s="7" t="inlineStr">
        <is>
          <t>RC-0875</t>
        </is>
      </c>
      <c r="C880" s="11" t="inlineStr">
        <is>
          <t>Enterprise Architecture</t>
        </is>
      </c>
      <c r="D880" s="7" t="inlineStr">
        <is>
          <t>Business Architect</t>
        </is>
      </c>
      <c r="E880" s="11" t="inlineStr">
        <is>
          <t>Enterprise Architecture</t>
        </is>
      </c>
      <c r="F880" s="11" t="inlineStr">
        <is>
          <t>Director</t>
        </is>
      </c>
      <c r="G880" s="21" t="inlineStr">
        <is>
          <t>High</t>
        </is>
      </c>
      <c r="H880" s="23">
        <f>VLOOKUP(F880,'Internal Cost Model'!$B$6:$F$15,5,FALSE)</f>
        <v/>
      </c>
      <c r="I880" s="24">
        <f>H880*VLOOKUP(G880,Assumptions!$B$43:$C$45,2,FALSE)</f>
        <v/>
      </c>
      <c r="J880" s="25">
        <f>VLOOKUP(F880,Assumptions!$B$50:$D$59,2,FALSE)*VLOOKUP("SI-T1",Assumptions!$B$27:$C$31,2,FALSE)*VLOOKUP(G880,Assumptions!$B$43:$C$45,2,FALSE)</f>
        <v/>
      </c>
    </row>
    <row r="881">
      <c r="B881" s="7" t="inlineStr">
        <is>
          <t>RC-0876</t>
        </is>
      </c>
      <c r="C881" s="11" t="inlineStr">
        <is>
          <t>Enterprise Architecture</t>
        </is>
      </c>
      <c r="D881" s="7" t="inlineStr">
        <is>
          <t>Business Architect</t>
        </is>
      </c>
      <c r="E881" s="11" t="inlineStr">
        <is>
          <t>Enterprise Architecture</t>
        </is>
      </c>
      <c r="F881" s="11" t="inlineStr">
        <is>
          <t>Senior Manager</t>
        </is>
      </c>
      <c r="G881" s="21" t="inlineStr">
        <is>
          <t>High</t>
        </is>
      </c>
      <c r="H881" s="23">
        <f>VLOOKUP(F881,'Internal Cost Model'!$B$6:$F$15,5,FALSE)</f>
        <v/>
      </c>
      <c r="I881" s="24">
        <f>H881*VLOOKUP(G881,Assumptions!$B$43:$C$45,2,FALSE)</f>
        <v/>
      </c>
      <c r="J881" s="25">
        <f>VLOOKUP(F881,Assumptions!$B$50:$D$59,2,FALSE)*VLOOKUP("SI-T1",Assumptions!$B$27:$C$31,2,FALSE)*VLOOKUP(G881,Assumptions!$B$43:$C$45,2,FALSE)</f>
        <v/>
      </c>
    </row>
    <row r="882">
      <c r="B882" s="7" t="inlineStr">
        <is>
          <t>RC-0877</t>
        </is>
      </c>
      <c r="C882" s="11" t="inlineStr">
        <is>
          <t>Enterprise Architecture</t>
        </is>
      </c>
      <c r="D882" s="7" t="inlineStr">
        <is>
          <t>Business Architect</t>
        </is>
      </c>
      <c r="E882" s="11" t="inlineStr">
        <is>
          <t>Enterprise Architecture</t>
        </is>
      </c>
      <c r="F882" s="11" t="inlineStr">
        <is>
          <t>Manager</t>
        </is>
      </c>
      <c r="G882" s="21" t="inlineStr">
        <is>
          <t>High</t>
        </is>
      </c>
      <c r="H882" s="23">
        <f>VLOOKUP(F882,'Internal Cost Model'!$B$6:$F$15,5,FALSE)</f>
        <v/>
      </c>
      <c r="I882" s="24">
        <f>H882*VLOOKUP(G882,Assumptions!$B$43:$C$45,2,FALSE)</f>
        <v/>
      </c>
      <c r="J882" s="25">
        <f>VLOOKUP(F882,Assumptions!$B$50:$D$59,2,FALSE)*VLOOKUP("SI-T1",Assumptions!$B$27:$C$31,2,FALSE)*VLOOKUP(G882,Assumptions!$B$43:$C$45,2,FALSE)</f>
        <v/>
      </c>
    </row>
    <row r="883">
      <c r="B883" s="7" t="inlineStr">
        <is>
          <t>RC-0878</t>
        </is>
      </c>
      <c r="C883" s="11" t="inlineStr">
        <is>
          <t>Enterprise Architecture</t>
        </is>
      </c>
      <c r="D883" s="7" t="inlineStr">
        <is>
          <t>Business Architect</t>
        </is>
      </c>
      <c r="E883" s="11" t="inlineStr">
        <is>
          <t>Enterprise Architecture</t>
        </is>
      </c>
      <c r="F883" s="11" t="inlineStr">
        <is>
          <t>Lead</t>
        </is>
      </c>
      <c r="G883" s="21" t="inlineStr">
        <is>
          <t>High</t>
        </is>
      </c>
      <c r="H883" s="23">
        <f>VLOOKUP(F883,'Internal Cost Model'!$B$6:$F$15,5,FALSE)</f>
        <v/>
      </c>
      <c r="I883" s="24">
        <f>H883*VLOOKUP(G883,Assumptions!$B$43:$C$45,2,FALSE)</f>
        <v/>
      </c>
      <c r="J883" s="25">
        <f>VLOOKUP(F883,Assumptions!$B$50:$D$59,2,FALSE)*VLOOKUP("SI-T1",Assumptions!$B$27:$C$31,2,FALSE)*VLOOKUP(G883,Assumptions!$B$43:$C$45,2,FALSE)</f>
        <v/>
      </c>
    </row>
    <row r="884">
      <c r="B884" s="7" t="inlineStr">
        <is>
          <t>RC-0879</t>
        </is>
      </c>
      <c r="C884" s="11" t="inlineStr">
        <is>
          <t>Enterprise Architecture</t>
        </is>
      </c>
      <c r="D884" s="7" t="inlineStr">
        <is>
          <t>Domain Architect</t>
        </is>
      </c>
      <c r="E884" s="11" t="inlineStr">
        <is>
          <t>Solution Architecture</t>
        </is>
      </c>
      <c r="F884" s="11" t="inlineStr">
        <is>
          <t>Director</t>
        </is>
      </c>
      <c r="G884" s="21" t="inlineStr">
        <is>
          <t>High</t>
        </is>
      </c>
      <c r="H884" s="23">
        <f>VLOOKUP(F884,'Internal Cost Model'!$B$6:$F$15,5,FALSE)</f>
        <v/>
      </c>
      <c r="I884" s="24">
        <f>H884*VLOOKUP(G884,Assumptions!$B$43:$C$45,2,FALSE)</f>
        <v/>
      </c>
      <c r="J884" s="25">
        <f>VLOOKUP(F884,Assumptions!$B$50:$D$59,2,FALSE)*VLOOKUP("SI-T1",Assumptions!$B$27:$C$31,2,FALSE)*VLOOKUP(G884,Assumptions!$B$43:$C$45,2,FALSE)</f>
        <v/>
      </c>
    </row>
    <row r="885">
      <c r="B885" s="7" t="inlineStr">
        <is>
          <t>RC-0880</t>
        </is>
      </c>
      <c r="C885" s="11" t="inlineStr">
        <is>
          <t>Enterprise Architecture</t>
        </is>
      </c>
      <c r="D885" s="7" t="inlineStr">
        <is>
          <t>Domain Architect</t>
        </is>
      </c>
      <c r="E885" s="11" t="inlineStr">
        <is>
          <t>Solution Architecture</t>
        </is>
      </c>
      <c r="F885" s="11" t="inlineStr">
        <is>
          <t>Senior Manager</t>
        </is>
      </c>
      <c r="G885" s="21" t="inlineStr">
        <is>
          <t>High</t>
        </is>
      </c>
      <c r="H885" s="23">
        <f>VLOOKUP(F885,'Internal Cost Model'!$B$6:$F$15,5,FALSE)</f>
        <v/>
      </c>
      <c r="I885" s="24">
        <f>H885*VLOOKUP(G885,Assumptions!$B$43:$C$45,2,FALSE)</f>
        <v/>
      </c>
      <c r="J885" s="25">
        <f>VLOOKUP(F885,Assumptions!$B$50:$D$59,2,FALSE)*VLOOKUP("SI-T1",Assumptions!$B$27:$C$31,2,FALSE)*VLOOKUP(G885,Assumptions!$B$43:$C$45,2,FALSE)</f>
        <v/>
      </c>
    </row>
    <row r="886">
      <c r="B886" s="7" t="inlineStr">
        <is>
          <t>RC-0881</t>
        </is>
      </c>
      <c r="C886" s="11" t="inlineStr">
        <is>
          <t>Enterprise Architecture</t>
        </is>
      </c>
      <c r="D886" s="7" t="inlineStr">
        <is>
          <t>Domain Architect</t>
        </is>
      </c>
      <c r="E886" s="11" t="inlineStr">
        <is>
          <t>Solution Architecture</t>
        </is>
      </c>
      <c r="F886" s="11" t="inlineStr">
        <is>
          <t>Manager</t>
        </is>
      </c>
      <c r="G886" s="21" t="inlineStr">
        <is>
          <t>High</t>
        </is>
      </c>
      <c r="H886" s="23">
        <f>VLOOKUP(F886,'Internal Cost Model'!$B$6:$F$15,5,FALSE)</f>
        <v/>
      </c>
      <c r="I886" s="24">
        <f>H886*VLOOKUP(G886,Assumptions!$B$43:$C$45,2,FALSE)</f>
        <v/>
      </c>
      <c r="J886" s="25">
        <f>VLOOKUP(F886,Assumptions!$B$50:$D$59,2,FALSE)*VLOOKUP("SI-T1",Assumptions!$B$27:$C$31,2,FALSE)*VLOOKUP(G886,Assumptions!$B$43:$C$45,2,FALSE)</f>
        <v/>
      </c>
    </row>
    <row r="887">
      <c r="B887" s="7" t="inlineStr">
        <is>
          <t>RC-0882</t>
        </is>
      </c>
      <c r="C887" s="11" t="inlineStr">
        <is>
          <t>Enterprise Architecture</t>
        </is>
      </c>
      <c r="D887" s="7" t="inlineStr">
        <is>
          <t>Domain Architect</t>
        </is>
      </c>
      <c r="E887" s="11" t="inlineStr">
        <is>
          <t>Solution Architecture</t>
        </is>
      </c>
      <c r="F887" s="11" t="inlineStr">
        <is>
          <t>Lead</t>
        </is>
      </c>
      <c r="G887" s="21" t="inlineStr">
        <is>
          <t>High</t>
        </is>
      </c>
      <c r="H887" s="23">
        <f>VLOOKUP(F887,'Internal Cost Model'!$B$6:$F$15,5,FALSE)</f>
        <v/>
      </c>
      <c r="I887" s="24">
        <f>H887*VLOOKUP(G887,Assumptions!$B$43:$C$45,2,FALSE)</f>
        <v/>
      </c>
      <c r="J887" s="25">
        <f>VLOOKUP(F887,Assumptions!$B$50:$D$59,2,FALSE)*VLOOKUP("SI-T1",Assumptions!$B$27:$C$31,2,FALSE)*VLOOKUP(G887,Assumptions!$B$43:$C$45,2,FALSE)</f>
        <v/>
      </c>
    </row>
    <row r="888">
      <c r="B888" s="7" t="inlineStr">
        <is>
          <t>RC-0883</t>
        </is>
      </c>
      <c r="C888" s="11" t="inlineStr">
        <is>
          <t>Enterprise Architecture</t>
        </is>
      </c>
      <c r="D888" s="7" t="inlineStr">
        <is>
          <t>Integration Architect (EA)</t>
        </is>
      </c>
      <c r="E888" s="11" t="inlineStr">
        <is>
          <t>Technical Architecture</t>
        </is>
      </c>
      <c r="F888" s="11" t="inlineStr">
        <is>
          <t>Senior Manager</t>
        </is>
      </c>
      <c r="G888" s="21" t="inlineStr">
        <is>
          <t>High</t>
        </is>
      </c>
      <c r="H888" s="23">
        <f>VLOOKUP(F888,'Internal Cost Model'!$B$6:$F$15,5,FALSE)</f>
        <v/>
      </c>
      <c r="I888" s="24">
        <f>H888*VLOOKUP(G888,Assumptions!$B$43:$C$45,2,FALSE)</f>
        <v/>
      </c>
      <c r="J888" s="25">
        <f>VLOOKUP(F888,Assumptions!$B$50:$D$59,2,FALSE)*VLOOKUP("SI-T1",Assumptions!$B$27:$C$31,2,FALSE)*VLOOKUP(G888,Assumptions!$B$43:$C$45,2,FALSE)</f>
        <v/>
      </c>
    </row>
    <row r="889">
      <c r="B889" s="7" t="inlineStr">
        <is>
          <t>RC-0884</t>
        </is>
      </c>
      <c r="C889" s="11" t="inlineStr">
        <is>
          <t>Enterprise Architecture</t>
        </is>
      </c>
      <c r="D889" s="7" t="inlineStr">
        <is>
          <t>Integration Architect (EA)</t>
        </is>
      </c>
      <c r="E889" s="11" t="inlineStr">
        <is>
          <t>Technical Architecture</t>
        </is>
      </c>
      <c r="F889" s="11" t="inlineStr">
        <is>
          <t>Manager</t>
        </is>
      </c>
      <c r="G889" s="21" t="inlineStr">
        <is>
          <t>High</t>
        </is>
      </c>
      <c r="H889" s="23">
        <f>VLOOKUP(F889,'Internal Cost Model'!$B$6:$F$15,5,FALSE)</f>
        <v/>
      </c>
      <c r="I889" s="24">
        <f>H889*VLOOKUP(G889,Assumptions!$B$43:$C$45,2,FALSE)</f>
        <v/>
      </c>
      <c r="J889" s="25">
        <f>VLOOKUP(F889,Assumptions!$B$50:$D$59,2,FALSE)*VLOOKUP("SI-T1",Assumptions!$B$27:$C$31,2,FALSE)*VLOOKUP(G889,Assumptions!$B$43:$C$45,2,FALSE)</f>
        <v/>
      </c>
    </row>
    <row r="890">
      <c r="B890" s="7" t="inlineStr">
        <is>
          <t>RC-0885</t>
        </is>
      </c>
      <c r="C890" s="11" t="inlineStr">
        <is>
          <t>Enterprise Architecture</t>
        </is>
      </c>
      <c r="D890" s="7" t="inlineStr">
        <is>
          <t>Integration Architect (EA)</t>
        </is>
      </c>
      <c r="E890" s="11" t="inlineStr">
        <is>
          <t>Technical Architecture</t>
        </is>
      </c>
      <c r="F890" s="11" t="inlineStr">
        <is>
          <t>Lead</t>
        </is>
      </c>
      <c r="G890" s="21" t="inlineStr">
        <is>
          <t>High</t>
        </is>
      </c>
      <c r="H890" s="23">
        <f>VLOOKUP(F890,'Internal Cost Model'!$B$6:$F$15,5,FALSE)</f>
        <v/>
      </c>
      <c r="I890" s="24">
        <f>H890*VLOOKUP(G890,Assumptions!$B$43:$C$45,2,FALSE)</f>
        <v/>
      </c>
      <c r="J890" s="25">
        <f>VLOOKUP(F890,Assumptions!$B$50:$D$59,2,FALSE)*VLOOKUP("SI-T1",Assumptions!$B$27:$C$31,2,FALSE)*VLOOKUP(G890,Assumptions!$B$43:$C$45,2,FALSE)</f>
        <v/>
      </c>
    </row>
    <row r="891">
      <c r="B891" s="7" t="inlineStr">
        <is>
          <t>RC-0886</t>
        </is>
      </c>
      <c r="C891" s="11" t="inlineStr">
        <is>
          <t>Enterprise Architecture</t>
        </is>
      </c>
      <c r="D891" s="7" t="inlineStr">
        <is>
          <t>Security Architect (EA)</t>
        </is>
      </c>
      <c r="E891" s="11" t="inlineStr">
        <is>
          <t>Technical Architecture</t>
        </is>
      </c>
      <c r="F891" s="11" t="inlineStr">
        <is>
          <t>Senior Manager</t>
        </is>
      </c>
      <c r="G891" s="21" t="inlineStr">
        <is>
          <t>High</t>
        </is>
      </c>
      <c r="H891" s="23">
        <f>VLOOKUP(F891,'Internal Cost Model'!$B$6:$F$15,5,FALSE)</f>
        <v/>
      </c>
      <c r="I891" s="24">
        <f>H891*VLOOKUP(G891,Assumptions!$B$43:$C$45,2,FALSE)</f>
        <v/>
      </c>
      <c r="J891" s="25">
        <f>VLOOKUP(F891,Assumptions!$B$50:$D$59,2,FALSE)*VLOOKUP("SI-T1",Assumptions!$B$27:$C$31,2,FALSE)*VLOOKUP(G891,Assumptions!$B$43:$C$45,2,FALSE)</f>
        <v/>
      </c>
    </row>
    <row r="892">
      <c r="B892" s="7" t="inlineStr">
        <is>
          <t>RC-0887</t>
        </is>
      </c>
      <c r="C892" s="11" t="inlineStr">
        <is>
          <t>Enterprise Architecture</t>
        </is>
      </c>
      <c r="D892" s="7" t="inlineStr">
        <is>
          <t>Security Architect (EA)</t>
        </is>
      </c>
      <c r="E892" s="11" t="inlineStr">
        <is>
          <t>Technical Architecture</t>
        </is>
      </c>
      <c r="F892" s="11" t="inlineStr">
        <is>
          <t>Manager</t>
        </is>
      </c>
      <c r="G892" s="21" t="inlineStr">
        <is>
          <t>High</t>
        </is>
      </c>
      <c r="H892" s="23">
        <f>VLOOKUP(F892,'Internal Cost Model'!$B$6:$F$15,5,FALSE)</f>
        <v/>
      </c>
      <c r="I892" s="24">
        <f>H892*VLOOKUP(G892,Assumptions!$B$43:$C$45,2,FALSE)</f>
        <v/>
      </c>
      <c r="J892" s="25">
        <f>VLOOKUP(F892,Assumptions!$B$50:$D$59,2,FALSE)*VLOOKUP("SI-T1",Assumptions!$B$27:$C$31,2,FALSE)*VLOOKUP(G892,Assumptions!$B$43:$C$45,2,FALSE)</f>
        <v/>
      </c>
    </row>
    <row r="893">
      <c r="B893" s="7" t="inlineStr">
        <is>
          <t>RC-0888</t>
        </is>
      </c>
      <c r="C893" s="11" t="inlineStr">
        <is>
          <t>Enterprise Architecture</t>
        </is>
      </c>
      <c r="D893" s="7" t="inlineStr">
        <is>
          <t>Security Architect (EA)</t>
        </is>
      </c>
      <c r="E893" s="11" t="inlineStr">
        <is>
          <t>Technical Architecture</t>
        </is>
      </c>
      <c r="F893" s="11" t="inlineStr">
        <is>
          <t>Lead</t>
        </is>
      </c>
      <c r="G893" s="21" t="inlineStr">
        <is>
          <t>High</t>
        </is>
      </c>
      <c r="H893" s="23">
        <f>VLOOKUP(F893,'Internal Cost Model'!$B$6:$F$15,5,FALSE)</f>
        <v/>
      </c>
      <c r="I893" s="24">
        <f>H893*VLOOKUP(G893,Assumptions!$B$43:$C$45,2,FALSE)</f>
        <v/>
      </c>
      <c r="J893" s="25">
        <f>VLOOKUP(F893,Assumptions!$B$50:$D$59,2,FALSE)*VLOOKUP("SI-T1",Assumptions!$B$27:$C$31,2,FALSE)*VLOOKUP(G893,Assumptions!$B$43:$C$45,2,FALSE)</f>
        <v/>
      </c>
    </row>
    <row r="894">
      <c r="B894" s="7" t="inlineStr">
        <is>
          <t>RC-0889</t>
        </is>
      </c>
      <c r="C894" s="11" t="inlineStr">
        <is>
          <t>Enterprise Architecture</t>
        </is>
      </c>
      <c r="D894" s="7" t="inlineStr">
        <is>
          <t>Data Architect (EA)</t>
        </is>
      </c>
      <c r="E894" s="11" t="inlineStr">
        <is>
          <t>Technical Architecture</t>
        </is>
      </c>
      <c r="F894" s="11" t="inlineStr">
        <is>
          <t>Senior Manager</t>
        </is>
      </c>
      <c r="G894" s="21" t="inlineStr">
        <is>
          <t>High</t>
        </is>
      </c>
      <c r="H894" s="23">
        <f>VLOOKUP(F894,'Internal Cost Model'!$B$6:$F$15,5,FALSE)</f>
        <v/>
      </c>
      <c r="I894" s="24">
        <f>H894*VLOOKUP(G894,Assumptions!$B$43:$C$45,2,FALSE)</f>
        <v/>
      </c>
      <c r="J894" s="25">
        <f>VLOOKUP(F894,Assumptions!$B$50:$D$59,2,FALSE)*VLOOKUP("SI-T1",Assumptions!$B$27:$C$31,2,FALSE)*VLOOKUP(G894,Assumptions!$B$43:$C$45,2,FALSE)</f>
        <v/>
      </c>
    </row>
    <row r="895">
      <c r="B895" s="7" t="inlineStr">
        <is>
          <t>RC-0890</t>
        </is>
      </c>
      <c r="C895" s="11" t="inlineStr">
        <is>
          <t>Enterprise Architecture</t>
        </is>
      </c>
      <c r="D895" s="7" t="inlineStr">
        <is>
          <t>Data Architect (EA)</t>
        </is>
      </c>
      <c r="E895" s="11" t="inlineStr">
        <is>
          <t>Technical Architecture</t>
        </is>
      </c>
      <c r="F895" s="11" t="inlineStr">
        <is>
          <t>Manager</t>
        </is>
      </c>
      <c r="G895" s="21" t="inlineStr">
        <is>
          <t>High</t>
        </is>
      </c>
      <c r="H895" s="23">
        <f>VLOOKUP(F895,'Internal Cost Model'!$B$6:$F$15,5,FALSE)</f>
        <v/>
      </c>
      <c r="I895" s="24">
        <f>H895*VLOOKUP(G895,Assumptions!$B$43:$C$45,2,FALSE)</f>
        <v/>
      </c>
      <c r="J895" s="25">
        <f>VLOOKUP(F895,Assumptions!$B$50:$D$59,2,FALSE)*VLOOKUP("SI-T1",Assumptions!$B$27:$C$31,2,FALSE)*VLOOKUP(G895,Assumptions!$B$43:$C$45,2,FALSE)</f>
        <v/>
      </c>
    </row>
    <row r="896">
      <c r="B896" s="7" t="inlineStr">
        <is>
          <t>RC-0891</t>
        </is>
      </c>
      <c r="C896" s="11" t="inlineStr">
        <is>
          <t>Enterprise Architecture</t>
        </is>
      </c>
      <c r="D896" s="7" t="inlineStr">
        <is>
          <t>Data Architect (EA)</t>
        </is>
      </c>
      <c r="E896" s="11" t="inlineStr">
        <is>
          <t>Technical Architecture</t>
        </is>
      </c>
      <c r="F896" s="11" t="inlineStr">
        <is>
          <t>Lead</t>
        </is>
      </c>
      <c r="G896" s="21" t="inlineStr">
        <is>
          <t>High</t>
        </is>
      </c>
      <c r="H896" s="23">
        <f>VLOOKUP(F896,'Internal Cost Model'!$B$6:$F$15,5,FALSE)</f>
        <v/>
      </c>
      <c r="I896" s="24">
        <f>H896*VLOOKUP(G896,Assumptions!$B$43:$C$45,2,FALSE)</f>
        <v/>
      </c>
      <c r="J896" s="25">
        <f>VLOOKUP(F896,Assumptions!$B$50:$D$59,2,FALSE)*VLOOKUP("SI-T1",Assumptions!$B$27:$C$31,2,FALSE)*VLOOKUP(G896,Assumptions!$B$43:$C$45,2,FALSE)</f>
        <v/>
      </c>
    </row>
  </sheetData>
  <autoFilter ref="B5:J8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EA8"/>
    <outlinePr summaryBelow="1" summaryRight="1"/>
    <pageSetUpPr/>
  </sheetPr>
  <dimension ref="B2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4" t="inlineStr">
        <is>
          <t>GEOGRAPHY MODEL</t>
        </is>
      </c>
    </row>
    <row r="4">
      <c r="B4" s="6" t="inlineStr">
        <is>
          <t>Region</t>
        </is>
      </c>
      <c r="C4" s="6" t="inlineStr">
        <is>
          <t>Shore</t>
        </is>
      </c>
      <c r="D4" s="6" t="inlineStr">
        <is>
          <t>Salary Mult</t>
        </is>
      </c>
      <c r="E4" s="6" t="inlineStr">
        <is>
          <t>Rate Mult</t>
        </is>
      </c>
      <c r="F4" s="6" t="inlineStr">
        <is>
          <t>Scarcity Mult</t>
        </is>
      </c>
      <c r="G4" s="6" t="inlineStr">
        <is>
          <t>Cost of Living</t>
        </is>
      </c>
    </row>
    <row r="5">
      <c r="B5" s="7" t="inlineStr">
        <is>
          <t>NYC</t>
        </is>
      </c>
      <c r="C5" s="21" t="inlineStr">
        <is>
          <t>Onshore</t>
        </is>
      </c>
      <c r="D5" s="18" t="n">
        <v>1.2</v>
      </c>
      <c r="E5" s="18" t="n">
        <v>1.18</v>
      </c>
      <c r="F5" s="18" t="n">
        <v>1.1</v>
      </c>
      <c r="G5" s="18" t="n">
        <v>1.25</v>
      </c>
    </row>
    <row r="6">
      <c r="B6" s="7" t="inlineStr">
        <is>
          <t>SF / Bay Area</t>
        </is>
      </c>
      <c r="C6" s="21" t="inlineStr">
        <is>
          <t>Onshore</t>
        </is>
      </c>
      <c r="D6" s="18" t="n">
        <v>1.25</v>
      </c>
      <c r="E6" s="18" t="n">
        <v>1.22</v>
      </c>
      <c r="F6" s="18" t="n">
        <v>1.15</v>
      </c>
      <c r="G6" s="18" t="n">
        <v>1.3</v>
      </c>
    </row>
    <row r="7">
      <c r="B7" s="7" t="inlineStr">
        <is>
          <t>Seattle</t>
        </is>
      </c>
      <c r="C7" s="21" t="inlineStr">
        <is>
          <t>Onshore</t>
        </is>
      </c>
      <c r="D7" s="18" t="n">
        <v>1.15</v>
      </c>
      <c r="E7" s="18" t="n">
        <v>1.12</v>
      </c>
      <c r="F7" s="18" t="n">
        <v>1.1</v>
      </c>
      <c r="G7" s="18" t="n">
        <v>1.18</v>
      </c>
    </row>
    <row r="8">
      <c r="B8" s="7" t="inlineStr">
        <is>
          <t>Chicago</t>
        </is>
      </c>
      <c r="C8" s="21" t="inlineStr">
        <is>
          <t>Onshore</t>
        </is>
      </c>
      <c r="D8" s="18" t="n">
        <v>1.05</v>
      </c>
      <c r="E8" s="18" t="n">
        <v>1.05</v>
      </c>
      <c r="F8" s="18" t="n">
        <v>1</v>
      </c>
      <c r="G8" s="18" t="n">
        <v>1.05</v>
      </c>
    </row>
    <row r="9">
      <c r="B9" s="7" t="inlineStr">
        <is>
          <t>Houston</t>
        </is>
      </c>
      <c r="C9" s="21" t="inlineStr">
        <is>
          <t>Onshore</t>
        </is>
      </c>
      <c r="D9" s="18" t="n">
        <v>1</v>
      </c>
      <c r="E9" s="18" t="n">
        <v>1</v>
      </c>
      <c r="F9" s="18" t="n">
        <v>1</v>
      </c>
      <c r="G9" s="18" t="n">
        <v>1</v>
      </c>
    </row>
    <row r="10">
      <c r="B10" s="7" t="inlineStr">
        <is>
          <t>Dallas</t>
        </is>
      </c>
      <c r="C10" s="21" t="inlineStr">
        <is>
          <t>Onshore</t>
        </is>
      </c>
      <c r="D10" s="18" t="n">
        <v>1</v>
      </c>
      <c r="E10" s="18" t="n">
        <v>1</v>
      </c>
      <c r="F10" s="18" t="n">
        <v>1</v>
      </c>
      <c r="G10" s="18" t="n">
        <v>1</v>
      </c>
    </row>
    <row r="11">
      <c r="B11" s="7" t="inlineStr">
        <is>
          <t>Atlanta</t>
        </is>
      </c>
      <c r="C11" s="21" t="inlineStr">
        <is>
          <t>Onshore</t>
        </is>
      </c>
      <c r="D11" s="18" t="n">
        <v>0.98</v>
      </c>
      <c r="E11" s="18" t="n">
        <v>1</v>
      </c>
      <c r="F11" s="18" t="n">
        <v>1</v>
      </c>
      <c r="G11" s="18" t="n">
        <v>0.98</v>
      </c>
    </row>
    <row r="12">
      <c r="B12" s="7" t="inlineStr">
        <is>
          <t>Canada</t>
        </is>
      </c>
      <c r="C12" s="21" t="inlineStr">
        <is>
          <t>Nearshore</t>
        </is>
      </c>
      <c r="D12" s="18" t="n">
        <v>0.82</v>
      </c>
      <c r="E12" s="18" t="n">
        <v>0.85</v>
      </c>
      <c r="F12" s="18" t="n">
        <v>0.95</v>
      </c>
      <c r="G12" s="18" t="n">
        <v>0.9</v>
      </c>
    </row>
    <row r="13">
      <c r="B13" s="7" t="inlineStr">
        <is>
          <t>UK</t>
        </is>
      </c>
      <c r="C13" s="21" t="inlineStr">
        <is>
          <t>Onshore</t>
        </is>
      </c>
      <c r="D13" s="18" t="n">
        <v>1.05</v>
      </c>
      <c r="E13" s="18" t="n">
        <v>1.08</v>
      </c>
      <c r="F13" s="18" t="n">
        <v>1.05</v>
      </c>
      <c r="G13" s="18" t="n">
        <v>1.1</v>
      </c>
    </row>
    <row r="14">
      <c r="B14" s="7" t="inlineStr">
        <is>
          <t>Western Europe</t>
        </is>
      </c>
      <c r="C14" s="21" t="inlineStr">
        <is>
          <t>Onshore</t>
        </is>
      </c>
      <c r="D14" s="18" t="n">
        <v>1.02</v>
      </c>
      <c r="E14" s="18" t="n">
        <v>1.05</v>
      </c>
      <c r="F14" s="18" t="n">
        <v>1.05</v>
      </c>
      <c r="G14" s="18" t="n">
        <v>1.08</v>
      </c>
    </row>
    <row r="15">
      <c r="B15" s="7" t="inlineStr">
        <is>
          <t>Eastern Europe</t>
        </is>
      </c>
      <c r="C15" s="21" t="inlineStr">
        <is>
          <t>Nearshore</t>
        </is>
      </c>
      <c r="D15" s="18" t="n">
        <v>0.55</v>
      </c>
      <c r="E15" s="18" t="n">
        <v>0.6</v>
      </c>
      <c r="F15" s="18" t="n">
        <v>0.9</v>
      </c>
      <c r="G15" s="18" t="n">
        <v>0.55</v>
      </c>
    </row>
    <row r="16">
      <c r="B16" s="7" t="inlineStr">
        <is>
          <t>India Tier 1</t>
        </is>
      </c>
      <c r="C16" s="21" t="inlineStr">
        <is>
          <t>Offshore</t>
        </is>
      </c>
      <c r="D16" s="18" t="n">
        <v>0.3</v>
      </c>
      <c r="E16" s="18" t="n">
        <v>0.4</v>
      </c>
      <c r="F16" s="18" t="n">
        <v>0.85</v>
      </c>
      <c r="G16" s="18" t="n">
        <v>0.35</v>
      </c>
    </row>
    <row r="17">
      <c r="B17" s="7" t="inlineStr">
        <is>
          <t>India Tier 2</t>
        </is>
      </c>
      <c r="C17" s="21" t="inlineStr">
        <is>
          <t>Offshore</t>
        </is>
      </c>
      <c r="D17" s="18" t="n">
        <v>0.24</v>
      </c>
      <c r="E17" s="18" t="n">
        <v>0.34</v>
      </c>
      <c r="F17" s="18" t="n">
        <v>0.8</v>
      </c>
      <c r="G17" s="18" t="n">
        <v>0.28</v>
      </c>
    </row>
    <row r="18">
      <c r="B18" s="7" t="inlineStr">
        <is>
          <t>Philippines</t>
        </is>
      </c>
      <c r="C18" s="21" t="inlineStr">
        <is>
          <t>Offshore</t>
        </is>
      </c>
      <c r="D18" s="18" t="n">
        <v>0.26</v>
      </c>
      <c r="E18" s="18" t="n">
        <v>0.36</v>
      </c>
      <c r="F18" s="18" t="n">
        <v>0.8</v>
      </c>
      <c r="G18" s="18" t="n">
        <v>0.3</v>
      </c>
    </row>
    <row r="19">
      <c r="B19" s="7" t="inlineStr">
        <is>
          <t>LATAM</t>
        </is>
      </c>
      <c r="C19" s="21" t="inlineStr">
        <is>
          <t>Nearshore</t>
        </is>
      </c>
      <c r="D19" s="18" t="n">
        <v>0.5</v>
      </c>
      <c r="E19" s="18" t="n">
        <v>0.58</v>
      </c>
      <c r="F19" s="18" t="n">
        <v>0.9</v>
      </c>
      <c r="G19" s="18" t="n">
        <v>0.52</v>
      </c>
    </row>
    <row r="20">
      <c r="B20" s="7" t="inlineStr">
        <is>
          <t>Middle East</t>
        </is>
      </c>
      <c r="C20" s="21" t="inlineStr">
        <is>
          <t>Onshore</t>
        </is>
      </c>
      <c r="D20" s="18" t="n">
        <v>0.95</v>
      </c>
      <c r="E20" s="18" t="n">
        <v>1</v>
      </c>
      <c r="F20" s="18" t="n">
        <v>1.05</v>
      </c>
      <c r="G20" s="18" t="n">
        <v>1</v>
      </c>
    </row>
    <row r="21">
      <c r="B21" s="7" t="inlineStr">
        <is>
          <t>Australia</t>
        </is>
      </c>
      <c r="C21" s="21" t="inlineStr">
        <is>
          <t>Onshore</t>
        </is>
      </c>
      <c r="D21" s="18" t="n">
        <v>1.08</v>
      </c>
      <c r="E21" s="18" t="n">
        <v>1.1</v>
      </c>
      <c r="F21" s="18" t="n">
        <v>1.05</v>
      </c>
      <c r="G21" s="18" t="n">
        <v>1.12</v>
      </c>
    </row>
  </sheetData>
  <autoFilter ref="B4:G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1765B"/>
    <outlinePr summaryBelow="1" summaryRight="1"/>
    <pageSetUpPr/>
  </sheetPr>
  <dimension ref="B2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4" t="inlineStr">
        <is>
          <t>INTERNAL FULLY-LOADED COST MODEL</t>
        </is>
      </c>
    </row>
    <row r="3">
      <c r="B3" s="9" t="inlineStr">
        <is>
          <t>Loaded annual = base salary x (1 + total load factor). Loaded hourly = loaded annual / billable hours.</t>
        </is>
      </c>
    </row>
    <row r="5">
      <c r="B5" s="6" t="inlineStr">
        <is>
          <t>Level</t>
        </is>
      </c>
      <c r="C5" s="6" t="inlineStr">
        <is>
          <t>Base Salary</t>
        </is>
      </c>
      <c r="D5" s="6" t="inlineStr">
        <is>
          <t>Load Factor</t>
        </is>
      </c>
      <c r="E5" s="6" t="inlineStr">
        <is>
          <t>Loaded Annual</t>
        </is>
      </c>
      <c r="F5" s="6" t="inlineStr">
        <is>
          <t>Loaded Hourly</t>
        </is>
      </c>
    </row>
    <row r="6">
      <c r="B6" s="7" t="inlineStr">
        <is>
          <t>Partner</t>
        </is>
      </c>
      <c r="C6" s="22">
        <f>VLOOKUP(B6,Assumptions!$B$50:$D$59,3,FALSE)</f>
        <v/>
      </c>
      <c r="D6" s="26">
        <f>1+Assumptions!$C$20</f>
        <v/>
      </c>
      <c r="E6" s="25">
        <f>C6*D6</f>
        <v/>
      </c>
      <c r="F6" s="24">
        <f>E6/Assumptions!$C$22</f>
        <v/>
      </c>
    </row>
    <row r="7">
      <c r="B7" s="7" t="inlineStr">
        <is>
          <t>Managing Director</t>
        </is>
      </c>
      <c r="C7" s="22">
        <f>VLOOKUP(B7,Assumptions!$B$50:$D$59,3,FALSE)</f>
        <v/>
      </c>
      <c r="D7" s="26">
        <f>1+Assumptions!$C$20</f>
        <v/>
      </c>
      <c r="E7" s="25">
        <f>C7*D7</f>
        <v/>
      </c>
      <c r="F7" s="24">
        <f>E7/Assumptions!$C$22</f>
        <v/>
      </c>
    </row>
    <row r="8">
      <c r="B8" s="7" t="inlineStr">
        <is>
          <t>Principal</t>
        </is>
      </c>
      <c r="C8" s="22">
        <f>VLOOKUP(B8,Assumptions!$B$50:$D$59,3,FALSE)</f>
        <v/>
      </c>
      <c r="D8" s="26">
        <f>1+Assumptions!$C$20</f>
        <v/>
      </c>
      <c r="E8" s="25">
        <f>C8*D8</f>
        <v/>
      </c>
      <c r="F8" s="24">
        <f>E8/Assumptions!$C$22</f>
        <v/>
      </c>
    </row>
    <row r="9">
      <c r="B9" s="7" t="inlineStr">
        <is>
          <t>Director</t>
        </is>
      </c>
      <c r="C9" s="22">
        <f>VLOOKUP(B9,Assumptions!$B$50:$D$59,3,FALSE)</f>
        <v/>
      </c>
      <c r="D9" s="26">
        <f>1+Assumptions!$C$20</f>
        <v/>
      </c>
      <c r="E9" s="25">
        <f>C9*D9</f>
        <v/>
      </c>
      <c r="F9" s="24">
        <f>E9/Assumptions!$C$22</f>
        <v/>
      </c>
    </row>
    <row r="10">
      <c r="B10" s="7" t="inlineStr">
        <is>
          <t>Senior Manager</t>
        </is>
      </c>
      <c r="C10" s="22">
        <f>VLOOKUP(B10,Assumptions!$B$50:$D$59,3,FALSE)</f>
        <v/>
      </c>
      <c r="D10" s="26">
        <f>1+Assumptions!$C$20</f>
        <v/>
      </c>
      <c r="E10" s="25">
        <f>C10*D10</f>
        <v/>
      </c>
      <c r="F10" s="24">
        <f>E10/Assumptions!$C$22</f>
        <v/>
      </c>
    </row>
    <row r="11">
      <c r="B11" s="7" t="inlineStr">
        <is>
          <t>Manager</t>
        </is>
      </c>
      <c r="C11" s="22">
        <f>VLOOKUP(B11,Assumptions!$B$50:$D$59,3,FALSE)</f>
        <v/>
      </c>
      <c r="D11" s="26">
        <f>1+Assumptions!$C$20</f>
        <v/>
      </c>
      <c r="E11" s="25">
        <f>C11*D11</f>
        <v/>
      </c>
      <c r="F11" s="24">
        <f>E11/Assumptions!$C$22</f>
        <v/>
      </c>
    </row>
    <row r="12">
      <c r="B12" s="7" t="inlineStr">
        <is>
          <t>Lead</t>
        </is>
      </c>
      <c r="C12" s="22">
        <f>VLOOKUP(B12,Assumptions!$B$50:$D$59,3,FALSE)</f>
        <v/>
      </c>
      <c r="D12" s="26">
        <f>1+Assumptions!$C$20</f>
        <v/>
      </c>
      <c r="E12" s="25">
        <f>C12*D12</f>
        <v/>
      </c>
      <c r="F12" s="24">
        <f>E12/Assumptions!$C$22</f>
        <v/>
      </c>
    </row>
    <row r="13">
      <c r="B13" s="7" t="inlineStr">
        <is>
          <t>Senior</t>
        </is>
      </c>
      <c r="C13" s="22">
        <f>VLOOKUP(B13,Assumptions!$B$50:$D$59,3,FALSE)</f>
        <v/>
      </c>
      <c r="D13" s="26">
        <f>1+Assumptions!$C$20</f>
        <v/>
      </c>
      <c r="E13" s="25">
        <f>C13*D13</f>
        <v/>
      </c>
      <c r="F13" s="24">
        <f>E13/Assumptions!$C$22</f>
        <v/>
      </c>
    </row>
    <row r="14">
      <c r="B14" s="7" t="inlineStr">
        <is>
          <t>Intermediate</t>
        </is>
      </c>
      <c r="C14" s="22">
        <f>VLOOKUP(B14,Assumptions!$B$50:$D$59,3,FALSE)</f>
        <v/>
      </c>
      <c r="D14" s="26">
        <f>1+Assumptions!$C$20</f>
        <v/>
      </c>
      <c r="E14" s="25">
        <f>C14*D14</f>
        <v/>
      </c>
      <c r="F14" s="24">
        <f>E14/Assumptions!$C$22</f>
        <v/>
      </c>
    </row>
    <row r="15">
      <c r="B15" s="7" t="inlineStr">
        <is>
          <t>Junior</t>
        </is>
      </c>
      <c r="C15" s="22">
        <f>VLOOKUP(B15,Assumptions!$B$50:$D$59,3,FALSE)</f>
        <v/>
      </c>
      <c r="D15" s="26">
        <f>1+Assumptions!$C$20</f>
        <v/>
      </c>
      <c r="E15" s="25">
        <f>C15*D15</f>
        <v/>
      </c>
      <c r="F15" s="24">
        <f>E15/Assumptions!$C$22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1765B"/>
    <outlinePr summaryBelow="1" summaryRight="1"/>
    <pageSetUpPr/>
  </sheetPr>
  <dimension ref="B2:H2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4" t="inlineStr">
        <is>
          <t>GLOBAL RATE INTELLIGENCE — anonymized provider archetypes</t>
        </is>
      </c>
    </row>
    <row r="3">
      <c r="B3" s="9" t="inlineStr">
        <is>
          <t>Bill rate = Market Base (onshore, by level) x Provider Tier Mult x Shore Mult. Scarcity applied per role in the estimator. No real firm names.</t>
        </is>
      </c>
    </row>
    <row r="5">
      <c r="B5" s="6" t="inlineStr">
        <is>
          <t>Provider</t>
        </is>
      </c>
      <c r="C5" s="6" t="inlineStr">
        <is>
          <t>Category</t>
        </is>
      </c>
      <c r="D5" s="6" t="inlineStr">
        <is>
          <t>Level</t>
        </is>
      </c>
      <c r="E5" s="6" t="inlineStr">
        <is>
          <t>Onshore $/hr</t>
        </is>
      </c>
      <c r="F5" s="6" t="inlineStr">
        <is>
          <t>Nearshore $/hr</t>
        </is>
      </c>
      <c r="G5" s="6" t="inlineStr">
        <is>
          <t>Offshore $/hr</t>
        </is>
      </c>
      <c r="H5" s="6" t="inlineStr">
        <is>
          <t>Tier Mult</t>
        </is>
      </c>
    </row>
    <row r="6">
      <c r="B6" s="7" t="inlineStr">
        <is>
          <t>CONS-T1-A</t>
        </is>
      </c>
      <c r="C6" s="21" t="inlineStr">
        <is>
          <t>CONS-T1</t>
        </is>
      </c>
      <c r="D6" s="11" t="inlineStr">
        <is>
          <t>Partner</t>
        </is>
      </c>
      <c r="E6" s="25">
        <f>VLOOKUP(D6,Assumptions!$B$50:$D$59,2,FALSE)*H6*INDEX(Assumptions!$C$36:$C$38,1)</f>
        <v/>
      </c>
      <c r="F6" s="25">
        <f>VLOOKUP(D6,Assumptions!$B$50:$D$59,2,FALSE)*H6*INDEX(Assumptions!$C$36:$C$38,2)</f>
        <v/>
      </c>
      <c r="G6" s="25">
        <f>VLOOKUP(D6,Assumptions!$B$50:$D$59,2,FALSE)*H6*INDEX(Assumptions!$C$36:$C$38,3)</f>
        <v/>
      </c>
      <c r="H6" s="26">
        <f>VLOOKUP(C6,Assumptions!$B$27:$C$31,2,FALSE)</f>
        <v/>
      </c>
    </row>
    <row r="7">
      <c r="B7" s="7" t="inlineStr">
        <is>
          <t>CONS-T1-A</t>
        </is>
      </c>
      <c r="C7" s="21" t="inlineStr">
        <is>
          <t>CONS-T1</t>
        </is>
      </c>
      <c r="D7" s="11" t="inlineStr">
        <is>
          <t>Managing Director</t>
        </is>
      </c>
      <c r="E7" s="25">
        <f>VLOOKUP(D7,Assumptions!$B$50:$D$59,2,FALSE)*H7*INDEX(Assumptions!$C$36:$C$38,1)</f>
        <v/>
      </c>
      <c r="F7" s="25">
        <f>VLOOKUP(D7,Assumptions!$B$50:$D$59,2,FALSE)*H7*INDEX(Assumptions!$C$36:$C$38,2)</f>
        <v/>
      </c>
      <c r="G7" s="25">
        <f>VLOOKUP(D7,Assumptions!$B$50:$D$59,2,FALSE)*H7*INDEX(Assumptions!$C$36:$C$38,3)</f>
        <v/>
      </c>
      <c r="H7" s="26">
        <f>VLOOKUP(C7,Assumptions!$B$27:$C$31,2,FALSE)</f>
        <v/>
      </c>
    </row>
    <row r="8">
      <c r="B8" s="7" t="inlineStr">
        <is>
          <t>CONS-T1-A</t>
        </is>
      </c>
      <c r="C8" s="21" t="inlineStr">
        <is>
          <t>CONS-T1</t>
        </is>
      </c>
      <c r="D8" s="11" t="inlineStr">
        <is>
          <t>Principal</t>
        </is>
      </c>
      <c r="E8" s="25">
        <f>VLOOKUP(D8,Assumptions!$B$50:$D$59,2,FALSE)*H8*INDEX(Assumptions!$C$36:$C$38,1)</f>
        <v/>
      </c>
      <c r="F8" s="25">
        <f>VLOOKUP(D8,Assumptions!$B$50:$D$59,2,FALSE)*H8*INDEX(Assumptions!$C$36:$C$38,2)</f>
        <v/>
      </c>
      <c r="G8" s="25">
        <f>VLOOKUP(D8,Assumptions!$B$50:$D$59,2,FALSE)*H8*INDEX(Assumptions!$C$36:$C$38,3)</f>
        <v/>
      </c>
      <c r="H8" s="26">
        <f>VLOOKUP(C8,Assumptions!$B$27:$C$31,2,FALSE)</f>
        <v/>
      </c>
    </row>
    <row r="9">
      <c r="B9" s="7" t="inlineStr">
        <is>
          <t>CONS-T1-A</t>
        </is>
      </c>
      <c r="C9" s="21" t="inlineStr">
        <is>
          <t>CONS-T1</t>
        </is>
      </c>
      <c r="D9" s="11" t="inlineStr">
        <is>
          <t>Director</t>
        </is>
      </c>
      <c r="E9" s="25">
        <f>VLOOKUP(D9,Assumptions!$B$50:$D$59,2,FALSE)*H9*INDEX(Assumptions!$C$36:$C$38,1)</f>
        <v/>
      </c>
      <c r="F9" s="25">
        <f>VLOOKUP(D9,Assumptions!$B$50:$D$59,2,FALSE)*H9*INDEX(Assumptions!$C$36:$C$38,2)</f>
        <v/>
      </c>
      <c r="G9" s="25">
        <f>VLOOKUP(D9,Assumptions!$B$50:$D$59,2,FALSE)*H9*INDEX(Assumptions!$C$36:$C$38,3)</f>
        <v/>
      </c>
      <c r="H9" s="26">
        <f>VLOOKUP(C9,Assumptions!$B$27:$C$31,2,FALSE)</f>
        <v/>
      </c>
    </row>
    <row r="10">
      <c r="B10" s="7" t="inlineStr">
        <is>
          <t>CONS-T1-A</t>
        </is>
      </c>
      <c r="C10" s="21" t="inlineStr">
        <is>
          <t>CONS-T1</t>
        </is>
      </c>
      <c r="D10" s="11" t="inlineStr">
        <is>
          <t>Senior Manager</t>
        </is>
      </c>
      <c r="E10" s="25">
        <f>VLOOKUP(D10,Assumptions!$B$50:$D$59,2,FALSE)*H10*INDEX(Assumptions!$C$36:$C$38,1)</f>
        <v/>
      </c>
      <c r="F10" s="25">
        <f>VLOOKUP(D10,Assumptions!$B$50:$D$59,2,FALSE)*H10*INDEX(Assumptions!$C$36:$C$38,2)</f>
        <v/>
      </c>
      <c r="G10" s="25">
        <f>VLOOKUP(D10,Assumptions!$B$50:$D$59,2,FALSE)*H10*INDEX(Assumptions!$C$36:$C$38,3)</f>
        <v/>
      </c>
      <c r="H10" s="26">
        <f>VLOOKUP(C10,Assumptions!$B$27:$C$31,2,FALSE)</f>
        <v/>
      </c>
    </row>
    <row r="11">
      <c r="B11" s="7" t="inlineStr">
        <is>
          <t>CONS-T1-A</t>
        </is>
      </c>
      <c r="C11" s="21" t="inlineStr">
        <is>
          <t>CONS-T1</t>
        </is>
      </c>
      <c r="D11" s="11" t="inlineStr">
        <is>
          <t>Manager</t>
        </is>
      </c>
      <c r="E11" s="25">
        <f>VLOOKUP(D11,Assumptions!$B$50:$D$59,2,FALSE)*H11*INDEX(Assumptions!$C$36:$C$38,1)</f>
        <v/>
      </c>
      <c r="F11" s="25">
        <f>VLOOKUP(D11,Assumptions!$B$50:$D$59,2,FALSE)*H11*INDEX(Assumptions!$C$36:$C$38,2)</f>
        <v/>
      </c>
      <c r="G11" s="25">
        <f>VLOOKUP(D11,Assumptions!$B$50:$D$59,2,FALSE)*H11*INDEX(Assumptions!$C$36:$C$38,3)</f>
        <v/>
      </c>
      <c r="H11" s="26">
        <f>VLOOKUP(C11,Assumptions!$B$27:$C$31,2,FALSE)</f>
        <v/>
      </c>
    </row>
    <row r="12">
      <c r="B12" s="7" t="inlineStr">
        <is>
          <t>CONS-T1-A</t>
        </is>
      </c>
      <c r="C12" s="21" t="inlineStr">
        <is>
          <t>CONS-T1</t>
        </is>
      </c>
      <c r="D12" s="11" t="inlineStr">
        <is>
          <t>Lead</t>
        </is>
      </c>
      <c r="E12" s="25">
        <f>VLOOKUP(D12,Assumptions!$B$50:$D$59,2,FALSE)*H12*INDEX(Assumptions!$C$36:$C$38,1)</f>
        <v/>
      </c>
      <c r="F12" s="25">
        <f>VLOOKUP(D12,Assumptions!$B$50:$D$59,2,FALSE)*H12*INDEX(Assumptions!$C$36:$C$38,2)</f>
        <v/>
      </c>
      <c r="G12" s="25">
        <f>VLOOKUP(D12,Assumptions!$B$50:$D$59,2,FALSE)*H12*INDEX(Assumptions!$C$36:$C$38,3)</f>
        <v/>
      </c>
      <c r="H12" s="26">
        <f>VLOOKUP(C12,Assumptions!$B$27:$C$31,2,FALSE)</f>
        <v/>
      </c>
    </row>
    <row r="13">
      <c r="B13" s="7" t="inlineStr">
        <is>
          <t>CONS-T1-A</t>
        </is>
      </c>
      <c r="C13" s="21" t="inlineStr">
        <is>
          <t>CONS-T1</t>
        </is>
      </c>
      <c r="D13" s="11" t="inlineStr">
        <is>
          <t>Senior</t>
        </is>
      </c>
      <c r="E13" s="25">
        <f>VLOOKUP(D13,Assumptions!$B$50:$D$59,2,FALSE)*H13*INDEX(Assumptions!$C$36:$C$38,1)</f>
        <v/>
      </c>
      <c r="F13" s="25">
        <f>VLOOKUP(D13,Assumptions!$B$50:$D$59,2,FALSE)*H13*INDEX(Assumptions!$C$36:$C$38,2)</f>
        <v/>
      </c>
      <c r="G13" s="25">
        <f>VLOOKUP(D13,Assumptions!$B$50:$D$59,2,FALSE)*H13*INDEX(Assumptions!$C$36:$C$38,3)</f>
        <v/>
      </c>
      <c r="H13" s="26">
        <f>VLOOKUP(C13,Assumptions!$B$27:$C$31,2,FALSE)</f>
        <v/>
      </c>
    </row>
    <row r="14">
      <c r="B14" s="7" t="inlineStr">
        <is>
          <t>CONS-T1-A</t>
        </is>
      </c>
      <c r="C14" s="21" t="inlineStr">
        <is>
          <t>CONS-T1</t>
        </is>
      </c>
      <c r="D14" s="11" t="inlineStr">
        <is>
          <t>Intermediate</t>
        </is>
      </c>
      <c r="E14" s="25">
        <f>VLOOKUP(D14,Assumptions!$B$50:$D$59,2,FALSE)*H14*INDEX(Assumptions!$C$36:$C$38,1)</f>
        <v/>
      </c>
      <c r="F14" s="25">
        <f>VLOOKUP(D14,Assumptions!$B$50:$D$59,2,FALSE)*H14*INDEX(Assumptions!$C$36:$C$38,2)</f>
        <v/>
      </c>
      <c r="G14" s="25">
        <f>VLOOKUP(D14,Assumptions!$B$50:$D$59,2,FALSE)*H14*INDEX(Assumptions!$C$36:$C$38,3)</f>
        <v/>
      </c>
      <c r="H14" s="26">
        <f>VLOOKUP(C14,Assumptions!$B$27:$C$31,2,FALSE)</f>
        <v/>
      </c>
    </row>
    <row r="15">
      <c r="B15" s="7" t="inlineStr">
        <is>
          <t>CONS-T1-A</t>
        </is>
      </c>
      <c r="C15" s="21" t="inlineStr">
        <is>
          <t>CONS-T1</t>
        </is>
      </c>
      <c r="D15" s="11" t="inlineStr">
        <is>
          <t>Junior</t>
        </is>
      </c>
      <c r="E15" s="25">
        <f>VLOOKUP(D15,Assumptions!$B$50:$D$59,2,FALSE)*H15*INDEX(Assumptions!$C$36:$C$38,1)</f>
        <v/>
      </c>
      <c r="F15" s="25">
        <f>VLOOKUP(D15,Assumptions!$B$50:$D$59,2,FALSE)*H15*INDEX(Assumptions!$C$36:$C$38,2)</f>
        <v/>
      </c>
      <c r="G15" s="25">
        <f>VLOOKUP(D15,Assumptions!$B$50:$D$59,2,FALSE)*H15*INDEX(Assumptions!$C$36:$C$38,3)</f>
        <v/>
      </c>
      <c r="H15" s="26">
        <f>VLOOKUP(C15,Assumptions!$B$27:$C$31,2,FALSE)</f>
        <v/>
      </c>
    </row>
    <row r="16">
      <c r="B16" s="7" t="inlineStr">
        <is>
          <t>CONS-T1-B</t>
        </is>
      </c>
      <c r="C16" s="21" t="inlineStr">
        <is>
          <t>CONS-T1</t>
        </is>
      </c>
      <c r="D16" s="11" t="inlineStr">
        <is>
          <t>Partner</t>
        </is>
      </c>
      <c r="E16" s="25">
        <f>VLOOKUP(D16,Assumptions!$B$50:$D$59,2,FALSE)*H16*INDEX(Assumptions!$C$36:$C$38,1)</f>
        <v/>
      </c>
      <c r="F16" s="25">
        <f>VLOOKUP(D16,Assumptions!$B$50:$D$59,2,FALSE)*H16*INDEX(Assumptions!$C$36:$C$38,2)</f>
        <v/>
      </c>
      <c r="G16" s="25">
        <f>VLOOKUP(D16,Assumptions!$B$50:$D$59,2,FALSE)*H16*INDEX(Assumptions!$C$36:$C$38,3)</f>
        <v/>
      </c>
      <c r="H16" s="26">
        <f>VLOOKUP(C16,Assumptions!$B$27:$C$31,2,FALSE)</f>
        <v/>
      </c>
    </row>
    <row r="17">
      <c r="B17" s="7" t="inlineStr">
        <is>
          <t>CONS-T1-B</t>
        </is>
      </c>
      <c r="C17" s="21" t="inlineStr">
        <is>
          <t>CONS-T1</t>
        </is>
      </c>
      <c r="D17" s="11" t="inlineStr">
        <is>
          <t>Managing Director</t>
        </is>
      </c>
      <c r="E17" s="25">
        <f>VLOOKUP(D17,Assumptions!$B$50:$D$59,2,FALSE)*H17*INDEX(Assumptions!$C$36:$C$38,1)</f>
        <v/>
      </c>
      <c r="F17" s="25">
        <f>VLOOKUP(D17,Assumptions!$B$50:$D$59,2,FALSE)*H17*INDEX(Assumptions!$C$36:$C$38,2)</f>
        <v/>
      </c>
      <c r="G17" s="25">
        <f>VLOOKUP(D17,Assumptions!$B$50:$D$59,2,FALSE)*H17*INDEX(Assumptions!$C$36:$C$38,3)</f>
        <v/>
      </c>
      <c r="H17" s="26">
        <f>VLOOKUP(C17,Assumptions!$B$27:$C$31,2,FALSE)</f>
        <v/>
      </c>
    </row>
    <row r="18">
      <c r="B18" s="7" t="inlineStr">
        <is>
          <t>CONS-T1-B</t>
        </is>
      </c>
      <c r="C18" s="21" t="inlineStr">
        <is>
          <t>CONS-T1</t>
        </is>
      </c>
      <c r="D18" s="11" t="inlineStr">
        <is>
          <t>Principal</t>
        </is>
      </c>
      <c r="E18" s="25">
        <f>VLOOKUP(D18,Assumptions!$B$50:$D$59,2,FALSE)*H18*INDEX(Assumptions!$C$36:$C$38,1)</f>
        <v/>
      </c>
      <c r="F18" s="25">
        <f>VLOOKUP(D18,Assumptions!$B$50:$D$59,2,FALSE)*H18*INDEX(Assumptions!$C$36:$C$38,2)</f>
        <v/>
      </c>
      <c r="G18" s="25">
        <f>VLOOKUP(D18,Assumptions!$B$50:$D$59,2,FALSE)*H18*INDEX(Assumptions!$C$36:$C$38,3)</f>
        <v/>
      </c>
      <c r="H18" s="26">
        <f>VLOOKUP(C18,Assumptions!$B$27:$C$31,2,FALSE)</f>
        <v/>
      </c>
    </row>
    <row r="19">
      <c r="B19" s="7" t="inlineStr">
        <is>
          <t>CONS-T1-B</t>
        </is>
      </c>
      <c r="C19" s="21" t="inlineStr">
        <is>
          <t>CONS-T1</t>
        </is>
      </c>
      <c r="D19" s="11" t="inlineStr">
        <is>
          <t>Director</t>
        </is>
      </c>
      <c r="E19" s="25">
        <f>VLOOKUP(D19,Assumptions!$B$50:$D$59,2,FALSE)*H19*INDEX(Assumptions!$C$36:$C$38,1)</f>
        <v/>
      </c>
      <c r="F19" s="25">
        <f>VLOOKUP(D19,Assumptions!$B$50:$D$59,2,FALSE)*H19*INDEX(Assumptions!$C$36:$C$38,2)</f>
        <v/>
      </c>
      <c r="G19" s="25">
        <f>VLOOKUP(D19,Assumptions!$B$50:$D$59,2,FALSE)*H19*INDEX(Assumptions!$C$36:$C$38,3)</f>
        <v/>
      </c>
      <c r="H19" s="26">
        <f>VLOOKUP(C19,Assumptions!$B$27:$C$31,2,FALSE)</f>
        <v/>
      </c>
    </row>
    <row r="20">
      <c r="B20" s="7" t="inlineStr">
        <is>
          <t>CONS-T1-B</t>
        </is>
      </c>
      <c r="C20" s="21" t="inlineStr">
        <is>
          <t>CONS-T1</t>
        </is>
      </c>
      <c r="D20" s="11" t="inlineStr">
        <is>
          <t>Senior Manager</t>
        </is>
      </c>
      <c r="E20" s="25">
        <f>VLOOKUP(D20,Assumptions!$B$50:$D$59,2,FALSE)*H20*INDEX(Assumptions!$C$36:$C$38,1)</f>
        <v/>
      </c>
      <c r="F20" s="25">
        <f>VLOOKUP(D20,Assumptions!$B$50:$D$59,2,FALSE)*H20*INDEX(Assumptions!$C$36:$C$38,2)</f>
        <v/>
      </c>
      <c r="G20" s="25">
        <f>VLOOKUP(D20,Assumptions!$B$50:$D$59,2,FALSE)*H20*INDEX(Assumptions!$C$36:$C$38,3)</f>
        <v/>
      </c>
      <c r="H20" s="26">
        <f>VLOOKUP(C20,Assumptions!$B$27:$C$31,2,FALSE)</f>
        <v/>
      </c>
    </row>
    <row r="21">
      <c r="B21" s="7" t="inlineStr">
        <is>
          <t>CONS-T1-B</t>
        </is>
      </c>
      <c r="C21" s="21" t="inlineStr">
        <is>
          <t>CONS-T1</t>
        </is>
      </c>
      <c r="D21" s="11" t="inlineStr">
        <is>
          <t>Manager</t>
        </is>
      </c>
      <c r="E21" s="25">
        <f>VLOOKUP(D21,Assumptions!$B$50:$D$59,2,FALSE)*H21*INDEX(Assumptions!$C$36:$C$38,1)</f>
        <v/>
      </c>
      <c r="F21" s="25">
        <f>VLOOKUP(D21,Assumptions!$B$50:$D$59,2,FALSE)*H21*INDEX(Assumptions!$C$36:$C$38,2)</f>
        <v/>
      </c>
      <c r="G21" s="25">
        <f>VLOOKUP(D21,Assumptions!$B$50:$D$59,2,FALSE)*H21*INDEX(Assumptions!$C$36:$C$38,3)</f>
        <v/>
      </c>
      <c r="H21" s="26">
        <f>VLOOKUP(C21,Assumptions!$B$27:$C$31,2,FALSE)</f>
        <v/>
      </c>
    </row>
    <row r="22">
      <c r="B22" s="7" t="inlineStr">
        <is>
          <t>CONS-T1-B</t>
        </is>
      </c>
      <c r="C22" s="21" t="inlineStr">
        <is>
          <t>CONS-T1</t>
        </is>
      </c>
      <c r="D22" s="11" t="inlineStr">
        <is>
          <t>Lead</t>
        </is>
      </c>
      <c r="E22" s="25">
        <f>VLOOKUP(D22,Assumptions!$B$50:$D$59,2,FALSE)*H22*INDEX(Assumptions!$C$36:$C$38,1)</f>
        <v/>
      </c>
      <c r="F22" s="25">
        <f>VLOOKUP(D22,Assumptions!$B$50:$D$59,2,FALSE)*H22*INDEX(Assumptions!$C$36:$C$38,2)</f>
        <v/>
      </c>
      <c r="G22" s="25">
        <f>VLOOKUP(D22,Assumptions!$B$50:$D$59,2,FALSE)*H22*INDEX(Assumptions!$C$36:$C$38,3)</f>
        <v/>
      </c>
      <c r="H22" s="26">
        <f>VLOOKUP(C22,Assumptions!$B$27:$C$31,2,FALSE)</f>
        <v/>
      </c>
    </row>
    <row r="23">
      <c r="B23" s="7" t="inlineStr">
        <is>
          <t>CONS-T1-B</t>
        </is>
      </c>
      <c r="C23" s="21" t="inlineStr">
        <is>
          <t>CONS-T1</t>
        </is>
      </c>
      <c r="D23" s="11" t="inlineStr">
        <is>
          <t>Senior</t>
        </is>
      </c>
      <c r="E23" s="25">
        <f>VLOOKUP(D23,Assumptions!$B$50:$D$59,2,FALSE)*H23*INDEX(Assumptions!$C$36:$C$38,1)</f>
        <v/>
      </c>
      <c r="F23" s="25">
        <f>VLOOKUP(D23,Assumptions!$B$50:$D$59,2,FALSE)*H23*INDEX(Assumptions!$C$36:$C$38,2)</f>
        <v/>
      </c>
      <c r="G23" s="25">
        <f>VLOOKUP(D23,Assumptions!$B$50:$D$59,2,FALSE)*H23*INDEX(Assumptions!$C$36:$C$38,3)</f>
        <v/>
      </c>
      <c r="H23" s="26">
        <f>VLOOKUP(C23,Assumptions!$B$27:$C$31,2,FALSE)</f>
        <v/>
      </c>
    </row>
    <row r="24">
      <c r="B24" s="7" t="inlineStr">
        <is>
          <t>CONS-T1-B</t>
        </is>
      </c>
      <c r="C24" s="21" t="inlineStr">
        <is>
          <t>CONS-T1</t>
        </is>
      </c>
      <c r="D24" s="11" t="inlineStr">
        <is>
          <t>Intermediate</t>
        </is>
      </c>
      <c r="E24" s="25">
        <f>VLOOKUP(D24,Assumptions!$B$50:$D$59,2,FALSE)*H24*INDEX(Assumptions!$C$36:$C$38,1)</f>
        <v/>
      </c>
      <c r="F24" s="25">
        <f>VLOOKUP(D24,Assumptions!$B$50:$D$59,2,FALSE)*H24*INDEX(Assumptions!$C$36:$C$38,2)</f>
        <v/>
      </c>
      <c r="G24" s="25">
        <f>VLOOKUP(D24,Assumptions!$B$50:$D$59,2,FALSE)*H24*INDEX(Assumptions!$C$36:$C$38,3)</f>
        <v/>
      </c>
      <c r="H24" s="26">
        <f>VLOOKUP(C24,Assumptions!$B$27:$C$31,2,FALSE)</f>
        <v/>
      </c>
    </row>
    <row r="25">
      <c r="B25" s="7" t="inlineStr">
        <is>
          <t>CONS-T1-B</t>
        </is>
      </c>
      <c r="C25" s="21" t="inlineStr">
        <is>
          <t>CONS-T1</t>
        </is>
      </c>
      <c r="D25" s="11" t="inlineStr">
        <is>
          <t>Junior</t>
        </is>
      </c>
      <c r="E25" s="25">
        <f>VLOOKUP(D25,Assumptions!$B$50:$D$59,2,FALSE)*H25*INDEX(Assumptions!$C$36:$C$38,1)</f>
        <v/>
      </c>
      <c r="F25" s="25">
        <f>VLOOKUP(D25,Assumptions!$B$50:$D$59,2,FALSE)*H25*INDEX(Assumptions!$C$36:$C$38,2)</f>
        <v/>
      </c>
      <c r="G25" s="25">
        <f>VLOOKUP(D25,Assumptions!$B$50:$D$59,2,FALSE)*H25*INDEX(Assumptions!$C$36:$C$38,3)</f>
        <v/>
      </c>
      <c r="H25" s="26">
        <f>VLOOKUP(C25,Assumptions!$B$27:$C$31,2,FALSE)</f>
        <v/>
      </c>
    </row>
    <row r="26">
      <c r="B26" s="7" t="inlineStr">
        <is>
          <t>CONS-T1-C</t>
        </is>
      </c>
      <c r="C26" s="21" t="inlineStr">
        <is>
          <t>CONS-T1</t>
        </is>
      </c>
      <c r="D26" s="11" t="inlineStr">
        <is>
          <t>Partner</t>
        </is>
      </c>
      <c r="E26" s="25">
        <f>VLOOKUP(D26,Assumptions!$B$50:$D$59,2,FALSE)*H26*INDEX(Assumptions!$C$36:$C$38,1)</f>
        <v/>
      </c>
      <c r="F26" s="25">
        <f>VLOOKUP(D26,Assumptions!$B$50:$D$59,2,FALSE)*H26*INDEX(Assumptions!$C$36:$C$38,2)</f>
        <v/>
      </c>
      <c r="G26" s="25">
        <f>VLOOKUP(D26,Assumptions!$B$50:$D$59,2,FALSE)*H26*INDEX(Assumptions!$C$36:$C$38,3)</f>
        <v/>
      </c>
      <c r="H26" s="26">
        <f>VLOOKUP(C26,Assumptions!$B$27:$C$31,2,FALSE)</f>
        <v/>
      </c>
    </row>
    <row r="27">
      <c r="B27" s="7" t="inlineStr">
        <is>
          <t>CONS-T1-C</t>
        </is>
      </c>
      <c r="C27" s="21" t="inlineStr">
        <is>
          <t>CONS-T1</t>
        </is>
      </c>
      <c r="D27" s="11" t="inlineStr">
        <is>
          <t>Managing Director</t>
        </is>
      </c>
      <c r="E27" s="25">
        <f>VLOOKUP(D27,Assumptions!$B$50:$D$59,2,FALSE)*H27*INDEX(Assumptions!$C$36:$C$38,1)</f>
        <v/>
      </c>
      <c r="F27" s="25">
        <f>VLOOKUP(D27,Assumptions!$B$50:$D$59,2,FALSE)*H27*INDEX(Assumptions!$C$36:$C$38,2)</f>
        <v/>
      </c>
      <c r="G27" s="25">
        <f>VLOOKUP(D27,Assumptions!$B$50:$D$59,2,FALSE)*H27*INDEX(Assumptions!$C$36:$C$38,3)</f>
        <v/>
      </c>
      <c r="H27" s="26">
        <f>VLOOKUP(C27,Assumptions!$B$27:$C$31,2,FALSE)</f>
        <v/>
      </c>
    </row>
    <row r="28">
      <c r="B28" s="7" t="inlineStr">
        <is>
          <t>CONS-T1-C</t>
        </is>
      </c>
      <c r="C28" s="21" t="inlineStr">
        <is>
          <t>CONS-T1</t>
        </is>
      </c>
      <c r="D28" s="11" t="inlineStr">
        <is>
          <t>Principal</t>
        </is>
      </c>
      <c r="E28" s="25">
        <f>VLOOKUP(D28,Assumptions!$B$50:$D$59,2,FALSE)*H28*INDEX(Assumptions!$C$36:$C$38,1)</f>
        <v/>
      </c>
      <c r="F28" s="25">
        <f>VLOOKUP(D28,Assumptions!$B$50:$D$59,2,FALSE)*H28*INDEX(Assumptions!$C$36:$C$38,2)</f>
        <v/>
      </c>
      <c r="G28" s="25">
        <f>VLOOKUP(D28,Assumptions!$B$50:$D$59,2,FALSE)*H28*INDEX(Assumptions!$C$36:$C$38,3)</f>
        <v/>
      </c>
      <c r="H28" s="26">
        <f>VLOOKUP(C28,Assumptions!$B$27:$C$31,2,FALSE)</f>
        <v/>
      </c>
    </row>
    <row r="29">
      <c r="B29" s="7" t="inlineStr">
        <is>
          <t>CONS-T1-C</t>
        </is>
      </c>
      <c r="C29" s="21" t="inlineStr">
        <is>
          <t>CONS-T1</t>
        </is>
      </c>
      <c r="D29" s="11" t="inlineStr">
        <is>
          <t>Director</t>
        </is>
      </c>
      <c r="E29" s="25">
        <f>VLOOKUP(D29,Assumptions!$B$50:$D$59,2,FALSE)*H29*INDEX(Assumptions!$C$36:$C$38,1)</f>
        <v/>
      </c>
      <c r="F29" s="25">
        <f>VLOOKUP(D29,Assumptions!$B$50:$D$59,2,FALSE)*H29*INDEX(Assumptions!$C$36:$C$38,2)</f>
        <v/>
      </c>
      <c r="G29" s="25">
        <f>VLOOKUP(D29,Assumptions!$B$50:$D$59,2,FALSE)*H29*INDEX(Assumptions!$C$36:$C$38,3)</f>
        <v/>
      </c>
      <c r="H29" s="26">
        <f>VLOOKUP(C29,Assumptions!$B$27:$C$31,2,FALSE)</f>
        <v/>
      </c>
    </row>
    <row r="30">
      <c r="B30" s="7" t="inlineStr">
        <is>
          <t>CONS-T1-C</t>
        </is>
      </c>
      <c r="C30" s="21" t="inlineStr">
        <is>
          <t>CONS-T1</t>
        </is>
      </c>
      <c r="D30" s="11" t="inlineStr">
        <is>
          <t>Senior Manager</t>
        </is>
      </c>
      <c r="E30" s="25">
        <f>VLOOKUP(D30,Assumptions!$B$50:$D$59,2,FALSE)*H30*INDEX(Assumptions!$C$36:$C$38,1)</f>
        <v/>
      </c>
      <c r="F30" s="25">
        <f>VLOOKUP(D30,Assumptions!$B$50:$D$59,2,FALSE)*H30*INDEX(Assumptions!$C$36:$C$38,2)</f>
        <v/>
      </c>
      <c r="G30" s="25">
        <f>VLOOKUP(D30,Assumptions!$B$50:$D$59,2,FALSE)*H30*INDEX(Assumptions!$C$36:$C$38,3)</f>
        <v/>
      </c>
      <c r="H30" s="26">
        <f>VLOOKUP(C30,Assumptions!$B$27:$C$31,2,FALSE)</f>
        <v/>
      </c>
    </row>
    <row r="31">
      <c r="B31" s="7" t="inlineStr">
        <is>
          <t>CONS-T1-C</t>
        </is>
      </c>
      <c r="C31" s="21" t="inlineStr">
        <is>
          <t>CONS-T1</t>
        </is>
      </c>
      <c r="D31" s="11" t="inlineStr">
        <is>
          <t>Manager</t>
        </is>
      </c>
      <c r="E31" s="25">
        <f>VLOOKUP(D31,Assumptions!$B$50:$D$59,2,FALSE)*H31*INDEX(Assumptions!$C$36:$C$38,1)</f>
        <v/>
      </c>
      <c r="F31" s="25">
        <f>VLOOKUP(D31,Assumptions!$B$50:$D$59,2,FALSE)*H31*INDEX(Assumptions!$C$36:$C$38,2)</f>
        <v/>
      </c>
      <c r="G31" s="25">
        <f>VLOOKUP(D31,Assumptions!$B$50:$D$59,2,FALSE)*H31*INDEX(Assumptions!$C$36:$C$38,3)</f>
        <v/>
      </c>
      <c r="H31" s="26">
        <f>VLOOKUP(C31,Assumptions!$B$27:$C$31,2,FALSE)</f>
        <v/>
      </c>
    </row>
    <row r="32">
      <c r="B32" s="7" t="inlineStr">
        <is>
          <t>CONS-T1-C</t>
        </is>
      </c>
      <c r="C32" s="21" t="inlineStr">
        <is>
          <t>CONS-T1</t>
        </is>
      </c>
      <c r="D32" s="11" t="inlineStr">
        <is>
          <t>Lead</t>
        </is>
      </c>
      <c r="E32" s="25">
        <f>VLOOKUP(D32,Assumptions!$B$50:$D$59,2,FALSE)*H32*INDEX(Assumptions!$C$36:$C$38,1)</f>
        <v/>
      </c>
      <c r="F32" s="25">
        <f>VLOOKUP(D32,Assumptions!$B$50:$D$59,2,FALSE)*H32*INDEX(Assumptions!$C$36:$C$38,2)</f>
        <v/>
      </c>
      <c r="G32" s="25">
        <f>VLOOKUP(D32,Assumptions!$B$50:$D$59,2,FALSE)*H32*INDEX(Assumptions!$C$36:$C$38,3)</f>
        <v/>
      </c>
      <c r="H32" s="26">
        <f>VLOOKUP(C32,Assumptions!$B$27:$C$31,2,FALSE)</f>
        <v/>
      </c>
    </row>
    <row r="33">
      <c r="B33" s="7" t="inlineStr">
        <is>
          <t>CONS-T1-C</t>
        </is>
      </c>
      <c r="C33" s="21" t="inlineStr">
        <is>
          <t>CONS-T1</t>
        </is>
      </c>
      <c r="D33" s="11" t="inlineStr">
        <is>
          <t>Senior</t>
        </is>
      </c>
      <c r="E33" s="25">
        <f>VLOOKUP(D33,Assumptions!$B$50:$D$59,2,FALSE)*H33*INDEX(Assumptions!$C$36:$C$38,1)</f>
        <v/>
      </c>
      <c r="F33" s="25">
        <f>VLOOKUP(D33,Assumptions!$B$50:$D$59,2,FALSE)*H33*INDEX(Assumptions!$C$36:$C$38,2)</f>
        <v/>
      </c>
      <c r="G33" s="25">
        <f>VLOOKUP(D33,Assumptions!$B$50:$D$59,2,FALSE)*H33*INDEX(Assumptions!$C$36:$C$38,3)</f>
        <v/>
      </c>
      <c r="H33" s="26">
        <f>VLOOKUP(C33,Assumptions!$B$27:$C$31,2,FALSE)</f>
        <v/>
      </c>
    </row>
    <row r="34">
      <c r="B34" s="7" t="inlineStr">
        <is>
          <t>CONS-T1-C</t>
        </is>
      </c>
      <c r="C34" s="21" t="inlineStr">
        <is>
          <t>CONS-T1</t>
        </is>
      </c>
      <c r="D34" s="11" t="inlineStr">
        <is>
          <t>Intermediate</t>
        </is>
      </c>
      <c r="E34" s="25">
        <f>VLOOKUP(D34,Assumptions!$B$50:$D$59,2,FALSE)*H34*INDEX(Assumptions!$C$36:$C$38,1)</f>
        <v/>
      </c>
      <c r="F34" s="25">
        <f>VLOOKUP(D34,Assumptions!$B$50:$D$59,2,FALSE)*H34*INDEX(Assumptions!$C$36:$C$38,2)</f>
        <v/>
      </c>
      <c r="G34" s="25">
        <f>VLOOKUP(D34,Assumptions!$B$50:$D$59,2,FALSE)*H34*INDEX(Assumptions!$C$36:$C$38,3)</f>
        <v/>
      </c>
      <c r="H34" s="26">
        <f>VLOOKUP(C34,Assumptions!$B$27:$C$31,2,FALSE)</f>
        <v/>
      </c>
    </row>
    <row r="35">
      <c r="B35" s="7" t="inlineStr">
        <is>
          <t>CONS-T1-C</t>
        </is>
      </c>
      <c r="C35" s="21" t="inlineStr">
        <is>
          <t>CONS-T1</t>
        </is>
      </c>
      <c r="D35" s="11" t="inlineStr">
        <is>
          <t>Junior</t>
        </is>
      </c>
      <c r="E35" s="25">
        <f>VLOOKUP(D35,Assumptions!$B$50:$D$59,2,FALSE)*H35*INDEX(Assumptions!$C$36:$C$38,1)</f>
        <v/>
      </c>
      <c r="F35" s="25">
        <f>VLOOKUP(D35,Assumptions!$B$50:$D$59,2,FALSE)*H35*INDEX(Assumptions!$C$36:$C$38,2)</f>
        <v/>
      </c>
      <c r="G35" s="25">
        <f>VLOOKUP(D35,Assumptions!$B$50:$D$59,2,FALSE)*H35*INDEX(Assumptions!$C$36:$C$38,3)</f>
        <v/>
      </c>
      <c r="H35" s="26">
        <f>VLOOKUP(C35,Assumptions!$B$27:$C$31,2,FALSE)</f>
        <v/>
      </c>
    </row>
    <row r="36">
      <c r="B36" s="7" t="inlineStr">
        <is>
          <t>CONS-T1-D</t>
        </is>
      </c>
      <c r="C36" s="21" t="inlineStr">
        <is>
          <t>CONS-T1</t>
        </is>
      </c>
      <c r="D36" s="11" t="inlineStr">
        <is>
          <t>Partner</t>
        </is>
      </c>
      <c r="E36" s="25">
        <f>VLOOKUP(D36,Assumptions!$B$50:$D$59,2,FALSE)*H36*INDEX(Assumptions!$C$36:$C$38,1)</f>
        <v/>
      </c>
      <c r="F36" s="25">
        <f>VLOOKUP(D36,Assumptions!$B$50:$D$59,2,FALSE)*H36*INDEX(Assumptions!$C$36:$C$38,2)</f>
        <v/>
      </c>
      <c r="G36" s="25">
        <f>VLOOKUP(D36,Assumptions!$B$50:$D$59,2,FALSE)*H36*INDEX(Assumptions!$C$36:$C$38,3)</f>
        <v/>
      </c>
      <c r="H36" s="26">
        <f>VLOOKUP(C36,Assumptions!$B$27:$C$31,2,FALSE)</f>
        <v/>
      </c>
    </row>
    <row r="37">
      <c r="B37" s="7" t="inlineStr">
        <is>
          <t>CONS-T1-D</t>
        </is>
      </c>
      <c r="C37" s="21" t="inlineStr">
        <is>
          <t>CONS-T1</t>
        </is>
      </c>
      <c r="D37" s="11" t="inlineStr">
        <is>
          <t>Managing Director</t>
        </is>
      </c>
      <c r="E37" s="25">
        <f>VLOOKUP(D37,Assumptions!$B$50:$D$59,2,FALSE)*H37*INDEX(Assumptions!$C$36:$C$38,1)</f>
        <v/>
      </c>
      <c r="F37" s="25">
        <f>VLOOKUP(D37,Assumptions!$B$50:$D$59,2,FALSE)*H37*INDEX(Assumptions!$C$36:$C$38,2)</f>
        <v/>
      </c>
      <c r="G37" s="25">
        <f>VLOOKUP(D37,Assumptions!$B$50:$D$59,2,FALSE)*H37*INDEX(Assumptions!$C$36:$C$38,3)</f>
        <v/>
      </c>
      <c r="H37" s="26">
        <f>VLOOKUP(C37,Assumptions!$B$27:$C$31,2,FALSE)</f>
        <v/>
      </c>
    </row>
    <row r="38">
      <c r="B38" s="7" t="inlineStr">
        <is>
          <t>CONS-T1-D</t>
        </is>
      </c>
      <c r="C38" s="21" t="inlineStr">
        <is>
          <t>CONS-T1</t>
        </is>
      </c>
      <c r="D38" s="11" t="inlineStr">
        <is>
          <t>Principal</t>
        </is>
      </c>
      <c r="E38" s="25">
        <f>VLOOKUP(D38,Assumptions!$B$50:$D$59,2,FALSE)*H38*INDEX(Assumptions!$C$36:$C$38,1)</f>
        <v/>
      </c>
      <c r="F38" s="25">
        <f>VLOOKUP(D38,Assumptions!$B$50:$D$59,2,FALSE)*H38*INDEX(Assumptions!$C$36:$C$38,2)</f>
        <v/>
      </c>
      <c r="G38" s="25">
        <f>VLOOKUP(D38,Assumptions!$B$50:$D$59,2,FALSE)*H38*INDEX(Assumptions!$C$36:$C$38,3)</f>
        <v/>
      </c>
      <c r="H38" s="26">
        <f>VLOOKUP(C38,Assumptions!$B$27:$C$31,2,FALSE)</f>
        <v/>
      </c>
    </row>
    <row r="39">
      <c r="B39" s="7" t="inlineStr">
        <is>
          <t>CONS-T1-D</t>
        </is>
      </c>
      <c r="C39" s="21" t="inlineStr">
        <is>
          <t>CONS-T1</t>
        </is>
      </c>
      <c r="D39" s="11" t="inlineStr">
        <is>
          <t>Director</t>
        </is>
      </c>
      <c r="E39" s="25">
        <f>VLOOKUP(D39,Assumptions!$B$50:$D$59,2,FALSE)*H39*INDEX(Assumptions!$C$36:$C$38,1)</f>
        <v/>
      </c>
      <c r="F39" s="25">
        <f>VLOOKUP(D39,Assumptions!$B$50:$D$59,2,FALSE)*H39*INDEX(Assumptions!$C$36:$C$38,2)</f>
        <v/>
      </c>
      <c r="G39" s="25">
        <f>VLOOKUP(D39,Assumptions!$B$50:$D$59,2,FALSE)*H39*INDEX(Assumptions!$C$36:$C$38,3)</f>
        <v/>
      </c>
      <c r="H39" s="26">
        <f>VLOOKUP(C39,Assumptions!$B$27:$C$31,2,FALSE)</f>
        <v/>
      </c>
    </row>
    <row r="40">
      <c r="B40" s="7" t="inlineStr">
        <is>
          <t>CONS-T1-D</t>
        </is>
      </c>
      <c r="C40" s="21" t="inlineStr">
        <is>
          <t>CONS-T1</t>
        </is>
      </c>
      <c r="D40" s="11" t="inlineStr">
        <is>
          <t>Senior Manager</t>
        </is>
      </c>
      <c r="E40" s="25">
        <f>VLOOKUP(D40,Assumptions!$B$50:$D$59,2,FALSE)*H40*INDEX(Assumptions!$C$36:$C$38,1)</f>
        <v/>
      </c>
      <c r="F40" s="25">
        <f>VLOOKUP(D40,Assumptions!$B$50:$D$59,2,FALSE)*H40*INDEX(Assumptions!$C$36:$C$38,2)</f>
        <v/>
      </c>
      <c r="G40" s="25">
        <f>VLOOKUP(D40,Assumptions!$B$50:$D$59,2,FALSE)*H40*INDEX(Assumptions!$C$36:$C$38,3)</f>
        <v/>
      </c>
      <c r="H40" s="26">
        <f>VLOOKUP(C40,Assumptions!$B$27:$C$31,2,FALSE)</f>
        <v/>
      </c>
    </row>
    <row r="41">
      <c r="B41" s="7" t="inlineStr">
        <is>
          <t>CONS-T1-D</t>
        </is>
      </c>
      <c r="C41" s="21" t="inlineStr">
        <is>
          <t>CONS-T1</t>
        </is>
      </c>
      <c r="D41" s="11" t="inlineStr">
        <is>
          <t>Manager</t>
        </is>
      </c>
      <c r="E41" s="25">
        <f>VLOOKUP(D41,Assumptions!$B$50:$D$59,2,FALSE)*H41*INDEX(Assumptions!$C$36:$C$38,1)</f>
        <v/>
      </c>
      <c r="F41" s="25">
        <f>VLOOKUP(D41,Assumptions!$B$50:$D$59,2,FALSE)*H41*INDEX(Assumptions!$C$36:$C$38,2)</f>
        <v/>
      </c>
      <c r="G41" s="25">
        <f>VLOOKUP(D41,Assumptions!$B$50:$D$59,2,FALSE)*H41*INDEX(Assumptions!$C$36:$C$38,3)</f>
        <v/>
      </c>
      <c r="H41" s="26">
        <f>VLOOKUP(C41,Assumptions!$B$27:$C$31,2,FALSE)</f>
        <v/>
      </c>
    </row>
    <row r="42">
      <c r="B42" s="7" t="inlineStr">
        <is>
          <t>CONS-T1-D</t>
        </is>
      </c>
      <c r="C42" s="21" t="inlineStr">
        <is>
          <t>CONS-T1</t>
        </is>
      </c>
      <c r="D42" s="11" t="inlineStr">
        <is>
          <t>Lead</t>
        </is>
      </c>
      <c r="E42" s="25">
        <f>VLOOKUP(D42,Assumptions!$B$50:$D$59,2,FALSE)*H42*INDEX(Assumptions!$C$36:$C$38,1)</f>
        <v/>
      </c>
      <c r="F42" s="25">
        <f>VLOOKUP(D42,Assumptions!$B$50:$D$59,2,FALSE)*H42*INDEX(Assumptions!$C$36:$C$38,2)</f>
        <v/>
      </c>
      <c r="G42" s="25">
        <f>VLOOKUP(D42,Assumptions!$B$50:$D$59,2,FALSE)*H42*INDEX(Assumptions!$C$36:$C$38,3)</f>
        <v/>
      </c>
      <c r="H42" s="26">
        <f>VLOOKUP(C42,Assumptions!$B$27:$C$31,2,FALSE)</f>
        <v/>
      </c>
    </row>
    <row r="43">
      <c r="B43" s="7" t="inlineStr">
        <is>
          <t>CONS-T1-D</t>
        </is>
      </c>
      <c r="C43" s="21" t="inlineStr">
        <is>
          <t>CONS-T1</t>
        </is>
      </c>
      <c r="D43" s="11" t="inlineStr">
        <is>
          <t>Senior</t>
        </is>
      </c>
      <c r="E43" s="25">
        <f>VLOOKUP(D43,Assumptions!$B$50:$D$59,2,FALSE)*H43*INDEX(Assumptions!$C$36:$C$38,1)</f>
        <v/>
      </c>
      <c r="F43" s="25">
        <f>VLOOKUP(D43,Assumptions!$B$50:$D$59,2,FALSE)*H43*INDEX(Assumptions!$C$36:$C$38,2)</f>
        <v/>
      </c>
      <c r="G43" s="25">
        <f>VLOOKUP(D43,Assumptions!$B$50:$D$59,2,FALSE)*H43*INDEX(Assumptions!$C$36:$C$38,3)</f>
        <v/>
      </c>
      <c r="H43" s="26">
        <f>VLOOKUP(C43,Assumptions!$B$27:$C$31,2,FALSE)</f>
        <v/>
      </c>
    </row>
    <row r="44">
      <c r="B44" s="7" t="inlineStr">
        <is>
          <t>CONS-T1-D</t>
        </is>
      </c>
      <c r="C44" s="21" t="inlineStr">
        <is>
          <t>CONS-T1</t>
        </is>
      </c>
      <c r="D44" s="11" t="inlineStr">
        <is>
          <t>Intermediate</t>
        </is>
      </c>
      <c r="E44" s="25">
        <f>VLOOKUP(D44,Assumptions!$B$50:$D$59,2,FALSE)*H44*INDEX(Assumptions!$C$36:$C$38,1)</f>
        <v/>
      </c>
      <c r="F44" s="25">
        <f>VLOOKUP(D44,Assumptions!$B$50:$D$59,2,FALSE)*H44*INDEX(Assumptions!$C$36:$C$38,2)</f>
        <v/>
      </c>
      <c r="G44" s="25">
        <f>VLOOKUP(D44,Assumptions!$B$50:$D$59,2,FALSE)*H44*INDEX(Assumptions!$C$36:$C$38,3)</f>
        <v/>
      </c>
      <c r="H44" s="26">
        <f>VLOOKUP(C44,Assumptions!$B$27:$C$31,2,FALSE)</f>
        <v/>
      </c>
    </row>
    <row r="45">
      <c r="B45" s="7" t="inlineStr">
        <is>
          <t>CONS-T1-D</t>
        </is>
      </c>
      <c r="C45" s="21" t="inlineStr">
        <is>
          <t>CONS-T1</t>
        </is>
      </c>
      <c r="D45" s="11" t="inlineStr">
        <is>
          <t>Junior</t>
        </is>
      </c>
      <c r="E45" s="25">
        <f>VLOOKUP(D45,Assumptions!$B$50:$D$59,2,FALSE)*H45*INDEX(Assumptions!$C$36:$C$38,1)</f>
        <v/>
      </c>
      <c r="F45" s="25">
        <f>VLOOKUP(D45,Assumptions!$B$50:$D$59,2,FALSE)*H45*INDEX(Assumptions!$C$36:$C$38,2)</f>
        <v/>
      </c>
      <c r="G45" s="25">
        <f>VLOOKUP(D45,Assumptions!$B$50:$D$59,2,FALSE)*H45*INDEX(Assumptions!$C$36:$C$38,3)</f>
        <v/>
      </c>
      <c r="H45" s="26">
        <f>VLOOKUP(C45,Assumptions!$B$27:$C$31,2,FALSE)</f>
        <v/>
      </c>
    </row>
    <row r="46">
      <c r="B46" s="7" t="inlineStr">
        <is>
          <t>SI-T1-A</t>
        </is>
      </c>
      <c r="C46" s="21" t="inlineStr">
        <is>
          <t>SI-T1</t>
        </is>
      </c>
      <c r="D46" s="11" t="inlineStr">
        <is>
          <t>Partner</t>
        </is>
      </c>
      <c r="E46" s="25">
        <f>VLOOKUP(D46,Assumptions!$B$50:$D$59,2,FALSE)*H46*INDEX(Assumptions!$C$36:$C$38,1)</f>
        <v/>
      </c>
      <c r="F46" s="25">
        <f>VLOOKUP(D46,Assumptions!$B$50:$D$59,2,FALSE)*H46*INDEX(Assumptions!$C$36:$C$38,2)</f>
        <v/>
      </c>
      <c r="G46" s="25">
        <f>VLOOKUP(D46,Assumptions!$B$50:$D$59,2,FALSE)*H46*INDEX(Assumptions!$C$36:$C$38,3)</f>
        <v/>
      </c>
      <c r="H46" s="26">
        <f>VLOOKUP(C46,Assumptions!$B$27:$C$31,2,FALSE)</f>
        <v/>
      </c>
    </row>
    <row r="47">
      <c r="B47" s="7" t="inlineStr">
        <is>
          <t>SI-T1-A</t>
        </is>
      </c>
      <c r="C47" s="21" t="inlineStr">
        <is>
          <t>SI-T1</t>
        </is>
      </c>
      <c r="D47" s="11" t="inlineStr">
        <is>
          <t>Managing Director</t>
        </is>
      </c>
      <c r="E47" s="25">
        <f>VLOOKUP(D47,Assumptions!$B$50:$D$59,2,FALSE)*H47*INDEX(Assumptions!$C$36:$C$38,1)</f>
        <v/>
      </c>
      <c r="F47" s="25">
        <f>VLOOKUP(D47,Assumptions!$B$50:$D$59,2,FALSE)*H47*INDEX(Assumptions!$C$36:$C$38,2)</f>
        <v/>
      </c>
      <c r="G47" s="25">
        <f>VLOOKUP(D47,Assumptions!$B$50:$D$59,2,FALSE)*H47*INDEX(Assumptions!$C$36:$C$38,3)</f>
        <v/>
      </c>
      <c r="H47" s="26">
        <f>VLOOKUP(C47,Assumptions!$B$27:$C$31,2,FALSE)</f>
        <v/>
      </c>
    </row>
    <row r="48">
      <c r="B48" s="7" t="inlineStr">
        <is>
          <t>SI-T1-A</t>
        </is>
      </c>
      <c r="C48" s="21" t="inlineStr">
        <is>
          <t>SI-T1</t>
        </is>
      </c>
      <c r="D48" s="11" t="inlineStr">
        <is>
          <t>Principal</t>
        </is>
      </c>
      <c r="E48" s="25">
        <f>VLOOKUP(D48,Assumptions!$B$50:$D$59,2,FALSE)*H48*INDEX(Assumptions!$C$36:$C$38,1)</f>
        <v/>
      </c>
      <c r="F48" s="25">
        <f>VLOOKUP(D48,Assumptions!$B$50:$D$59,2,FALSE)*H48*INDEX(Assumptions!$C$36:$C$38,2)</f>
        <v/>
      </c>
      <c r="G48" s="25">
        <f>VLOOKUP(D48,Assumptions!$B$50:$D$59,2,FALSE)*H48*INDEX(Assumptions!$C$36:$C$38,3)</f>
        <v/>
      </c>
      <c r="H48" s="26">
        <f>VLOOKUP(C48,Assumptions!$B$27:$C$31,2,FALSE)</f>
        <v/>
      </c>
    </row>
    <row r="49">
      <c r="B49" s="7" t="inlineStr">
        <is>
          <t>SI-T1-A</t>
        </is>
      </c>
      <c r="C49" s="21" t="inlineStr">
        <is>
          <t>SI-T1</t>
        </is>
      </c>
      <c r="D49" s="11" t="inlineStr">
        <is>
          <t>Director</t>
        </is>
      </c>
      <c r="E49" s="25">
        <f>VLOOKUP(D49,Assumptions!$B$50:$D$59,2,FALSE)*H49*INDEX(Assumptions!$C$36:$C$38,1)</f>
        <v/>
      </c>
      <c r="F49" s="25">
        <f>VLOOKUP(D49,Assumptions!$B$50:$D$59,2,FALSE)*H49*INDEX(Assumptions!$C$36:$C$38,2)</f>
        <v/>
      </c>
      <c r="G49" s="25">
        <f>VLOOKUP(D49,Assumptions!$B$50:$D$59,2,FALSE)*H49*INDEX(Assumptions!$C$36:$C$38,3)</f>
        <v/>
      </c>
      <c r="H49" s="26">
        <f>VLOOKUP(C49,Assumptions!$B$27:$C$31,2,FALSE)</f>
        <v/>
      </c>
    </row>
    <row r="50">
      <c r="B50" s="7" t="inlineStr">
        <is>
          <t>SI-T1-A</t>
        </is>
      </c>
      <c r="C50" s="21" t="inlineStr">
        <is>
          <t>SI-T1</t>
        </is>
      </c>
      <c r="D50" s="11" t="inlineStr">
        <is>
          <t>Senior Manager</t>
        </is>
      </c>
      <c r="E50" s="25">
        <f>VLOOKUP(D50,Assumptions!$B$50:$D$59,2,FALSE)*H50*INDEX(Assumptions!$C$36:$C$38,1)</f>
        <v/>
      </c>
      <c r="F50" s="25">
        <f>VLOOKUP(D50,Assumptions!$B$50:$D$59,2,FALSE)*H50*INDEX(Assumptions!$C$36:$C$38,2)</f>
        <v/>
      </c>
      <c r="G50" s="25">
        <f>VLOOKUP(D50,Assumptions!$B$50:$D$59,2,FALSE)*H50*INDEX(Assumptions!$C$36:$C$38,3)</f>
        <v/>
      </c>
      <c r="H50" s="26">
        <f>VLOOKUP(C50,Assumptions!$B$27:$C$31,2,FALSE)</f>
        <v/>
      </c>
    </row>
    <row r="51">
      <c r="B51" s="7" t="inlineStr">
        <is>
          <t>SI-T1-A</t>
        </is>
      </c>
      <c r="C51" s="21" t="inlineStr">
        <is>
          <t>SI-T1</t>
        </is>
      </c>
      <c r="D51" s="11" t="inlineStr">
        <is>
          <t>Manager</t>
        </is>
      </c>
      <c r="E51" s="25">
        <f>VLOOKUP(D51,Assumptions!$B$50:$D$59,2,FALSE)*H51*INDEX(Assumptions!$C$36:$C$38,1)</f>
        <v/>
      </c>
      <c r="F51" s="25">
        <f>VLOOKUP(D51,Assumptions!$B$50:$D$59,2,FALSE)*H51*INDEX(Assumptions!$C$36:$C$38,2)</f>
        <v/>
      </c>
      <c r="G51" s="25">
        <f>VLOOKUP(D51,Assumptions!$B$50:$D$59,2,FALSE)*H51*INDEX(Assumptions!$C$36:$C$38,3)</f>
        <v/>
      </c>
      <c r="H51" s="26">
        <f>VLOOKUP(C51,Assumptions!$B$27:$C$31,2,FALSE)</f>
        <v/>
      </c>
    </row>
    <row r="52">
      <c r="B52" s="7" t="inlineStr">
        <is>
          <t>SI-T1-A</t>
        </is>
      </c>
      <c r="C52" s="21" t="inlineStr">
        <is>
          <t>SI-T1</t>
        </is>
      </c>
      <c r="D52" s="11" t="inlineStr">
        <is>
          <t>Lead</t>
        </is>
      </c>
      <c r="E52" s="25">
        <f>VLOOKUP(D52,Assumptions!$B$50:$D$59,2,FALSE)*H52*INDEX(Assumptions!$C$36:$C$38,1)</f>
        <v/>
      </c>
      <c r="F52" s="25">
        <f>VLOOKUP(D52,Assumptions!$B$50:$D$59,2,FALSE)*H52*INDEX(Assumptions!$C$36:$C$38,2)</f>
        <v/>
      </c>
      <c r="G52" s="25">
        <f>VLOOKUP(D52,Assumptions!$B$50:$D$59,2,FALSE)*H52*INDEX(Assumptions!$C$36:$C$38,3)</f>
        <v/>
      </c>
      <c r="H52" s="26">
        <f>VLOOKUP(C52,Assumptions!$B$27:$C$31,2,FALSE)</f>
        <v/>
      </c>
    </row>
    <row r="53">
      <c r="B53" s="7" t="inlineStr">
        <is>
          <t>SI-T1-A</t>
        </is>
      </c>
      <c r="C53" s="21" t="inlineStr">
        <is>
          <t>SI-T1</t>
        </is>
      </c>
      <c r="D53" s="11" t="inlineStr">
        <is>
          <t>Senior</t>
        </is>
      </c>
      <c r="E53" s="25">
        <f>VLOOKUP(D53,Assumptions!$B$50:$D$59,2,FALSE)*H53*INDEX(Assumptions!$C$36:$C$38,1)</f>
        <v/>
      </c>
      <c r="F53" s="25">
        <f>VLOOKUP(D53,Assumptions!$B$50:$D$59,2,FALSE)*H53*INDEX(Assumptions!$C$36:$C$38,2)</f>
        <v/>
      </c>
      <c r="G53" s="25">
        <f>VLOOKUP(D53,Assumptions!$B$50:$D$59,2,FALSE)*H53*INDEX(Assumptions!$C$36:$C$38,3)</f>
        <v/>
      </c>
      <c r="H53" s="26">
        <f>VLOOKUP(C53,Assumptions!$B$27:$C$31,2,FALSE)</f>
        <v/>
      </c>
    </row>
    <row r="54">
      <c r="B54" s="7" t="inlineStr">
        <is>
          <t>SI-T1-A</t>
        </is>
      </c>
      <c r="C54" s="21" t="inlineStr">
        <is>
          <t>SI-T1</t>
        </is>
      </c>
      <c r="D54" s="11" t="inlineStr">
        <is>
          <t>Intermediate</t>
        </is>
      </c>
      <c r="E54" s="25">
        <f>VLOOKUP(D54,Assumptions!$B$50:$D$59,2,FALSE)*H54*INDEX(Assumptions!$C$36:$C$38,1)</f>
        <v/>
      </c>
      <c r="F54" s="25">
        <f>VLOOKUP(D54,Assumptions!$B$50:$D$59,2,FALSE)*H54*INDEX(Assumptions!$C$36:$C$38,2)</f>
        <v/>
      </c>
      <c r="G54" s="25">
        <f>VLOOKUP(D54,Assumptions!$B$50:$D$59,2,FALSE)*H54*INDEX(Assumptions!$C$36:$C$38,3)</f>
        <v/>
      </c>
      <c r="H54" s="26">
        <f>VLOOKUP(C54,Assumptions!$B$27:$C$31,2,FALSE)</f>
        <v/>
      </c>
    </row>
    <row r="55">
      <c r="B55" s="7" t="inlineStr">
        <is>
          <t>SI-T1-A</t>
        </is>
      </c>
      <c r="C55" s="21" t="inlineStr">
        <is>
          <t>SI-T1</t>
        </is>
      </c>
      <c r="D55" s="11" t="inlineStr">
        <is>
          <t>Junior</t>
        </is>
      </c>
      <c r="E55" s="25">
        <f>VLOOKUP(D55,Assumptions!$B$50:$D$59,2,FALSE)*H55*INDEX(Assumptions!$C$36:$C$38,1)</f>
        <v/>
      </c>
      <c r="F55" s="25">
        <f>VLOOKUP(D55,Assumptions!$B$50:$D$59,2,FALSE)*H55*INDEX(Assumptions!$C$36:$C$38,2)</f>
        <v/>
      </c>
      <c r="G55" s="25">
        <f>VLOOKUP(D55,Assumptions!$B$50:$D$59,2,FALSE)*H55*INDEX(Assumptions!$C$36:$C$38,3)</f>
        <v/>
      </c>
      <c r="H55" s="26">
        <f>VLOOKUP(C55,Assumptions!$B$27:$C$31,2,FALSE)</f>
        <v/>
      </c>
    </row>
    <row r="56">
      <c r="B56" s="7" t="inlineStr">
        <is>
          <t>SI-T1-B</t>
        </is>
      </c>
      <c r="C56" s="21" t="inlineStr">
        <is>
          <t>SI-T1</t>
        </is>
      </c>
      <c r="D56" s="11" t="inlineStr">
        <is>
          <t>Partner</t>
        </is>
      </c>
      <c r="E56" s="25">
        <f>VLOOKUP(D56,Assumptions!$B$50:$D$59,2,FALSE)*H56*INDEX(Assumptions!$C$36:$C$38,1)</f>
        <v/>
      </c>
      <c r="F56" s="25">
        <f>VLOOKUP(D56,Assumptions!$B$50:$D$59,2,FALSE)*H56*INDEX(Assumptions!$C$36:$C$38,2)</f>
        <v/>
      </c>
      <c r="G56" s="25">
        <f>VLOOKUP(D56,Assumptions!$B$50:$D$59,2,FALSE)*H56*INDEX(Assumptions!$C$36:$C$38,3)</f>
        <v/>
      </c>
      <c r="H56" s="26">
        <f>VLOOKUP(C56,Assumptions!$B$27:$C$31,2,FALSE)</f>
        <v/>
      </c>
    </row>
    <row r="57">
      <c r="B57" s="7" t="inlineStr">
        <is>
          <t>SI-T1-B</t>
        </is>
      </c>
      <c r="C57" s="21" t="inlineStr">
        <is>
          <t>SI-T1</t>
        </is>
      </c>
      <c r="D57" s="11" t="inlineStr">
        <is>
          <t>Managing Director</t>
        </is>
      </c>
      <c r="E57" s="25">
        <f>VLOOKUP(D57,Assumptions!$B$50:$D$59,2,FALSE)*H57*INDEX(Assumptions!$C$36:$C$38,1)</f>
        <v/>
      </c>
      <c r="F57" s="25">
        <f>VLOOKUP(D57,Assumptions!$B$50:$D$59,2,FALSE)*H57*INDEX(Assumptions!$C$36:$C$38,2)</f>
        <v/>
      </c>
      <c r="G57" s="25">
        <f>VLOOKUP(D57,Assumptions!$B$50:$D$59,2,FALSE)*H57*INDEX(Assumptions!$C$36:$C$38,3)</f>
        <v/>
      </c>
      <c r="H57" s="26">
        <f>VLOOKUP(C57,Assumptions!$B$27:$C$31,2,FALSE)</f>
        <v/>
      </c>
    </row>
    <row r="58">
      <c r="B58" s="7" t="inlineStr">
        <is>
          <t>SI-T1-B</t>
        </is>
      </c>
      <c r="C58" s="21" t="inlineStr">
        <is>
          <t>SI-T1</t>
        </is>
      </c>
      <c r="D58" s="11" t="inlineStr">
        <is>
          <t>Principal</t>
        </is>
      </c>
      <c r="E58" s="25">
        <f>VLOOKUP(D58,Assumptions!$B$50:$D$59,2,FALSE)*H58*INDEX(Assumptions!$C$36:$C$38,1)</f>
        <v/>
      </c>
      <c r="F58" s="25">
        <f>VLOOKUP(D58,Assumptions!$B$50:$D$59,2,FALSE)*H58*INDEX(Assumptions!$C$36:$C$38,2)</f>
        <v/>
      </c>
      <c r="G58" s="25">
        <f>VLOOKUP(D58,Assumptions!$B$50:$D$59,2,FALSE)*H58*INDEX(Assumptions!$C$36:$C$38,3)</f>
        <v/>
      </c>
      <c r="H58" s="26">
        <f>VLOOKUP(C58,Assumptions!$B$27:$C$31,2,FALSE)</f>
        <v/>
      </c>
    </row>
    <row r="59">
      <c r="B59" s="7" t="inlineStr">
        <is>
          <t>SI-T1-B</t>
        </is>
      </c>
      <c r="C59" s="21" t="inlineStr">
        <is>
          <t>SI-T1</t>
        </is>
      </c>
      <c r="D59" s="11" t="inlineStr">
        <is>
          <t>Director</t>
        </is>
      </c>
      <c r="E59" s="25">
        <f>VLOOKUP(D59,Assumptions!$B$50:$D$59,2,FALSE)*H59*INDEX(Assumptions!$C$36:$C$38,1)</f>
        <v/>
      </c>
      <c r="F59" s="25">
        <f>VLOOKUP(D59,Assumptions!$B$50:$D$59,2,FALSE)*H59*INDEX(Assumptions!$C$36:$C$38,2)</f>
        <v/>
      </c>
      <c r="G59" s="25">
        <f>VLOOKUP(D59,Assumptions!$B$50:$D$59,2,FALSE)*H59*INDEX(Assumptions!$C$36:$C$38,3)</f>
        <v/>
      </c>
      <c r="H59" s="26">
        <f>VLOOKUP(C59,Assumptions!$B$27:$C$31,2,FALSE)</f>
        <v/>
      </c>
    </row>
    <row r="60">
      <c r="B60" s="7" t="inlineStr">
        <is>
          <t>SI-T1-B</t>
        </is>
      </c>
      <c r="C60" s="21" t="inlineStr">
        <is>
          <t>SI-T1</t>
        </is>
      </c>
      <c r="D60" s="11" t="inlineStr">
        <is>
          <t>Senior Manager</t>
        </is>
      </c>
      <c r="E60" s="25">
        <f>VLOOKUP(D60,Assumptions!$B$50:$D$59,2,FALSE)*H60*INDEX(Assumptions!$C$36:$C$38,1)</f>
        <v/>
      </c>
      <c r="F60" s="25">
        <f>VLOOKUP(D60,Assumptions!$B$50:$D$59,2,FALSE)*H60*INDEX(Assumptions!$C$36:$C$38,2)</f>
        <v/>
      </c>
      <c r="G60" s="25">
        <f>VLOOKUP(D60,Assumptions!$B$50:$D$59,2,FALSE)*H60*INDEX(Assumptions!$C$36:$C$38,3)</f>
        <v/>
      </c>
      <c r="H60" s="26">
        <f>VLOOKUP(C60,Assumptions!$B$27:$C$31,2,FALSE)</f>
        <v/>
      </c>
    </row>
    <row r="61">
      <c r="B61" s="7" t="inlineStr">
        <is>
          <t>SI-T1-B</t>
        </is>
      </c>
      <c r="C61" s="21" t="inlineStr">
        <is>
          <t>SI-T1</t>
        </is>
      </c>
      <c r="D61" s="11" t="inlineStr">
        <is>
          <t>Manager</t>
        </is>
      </c>
      <c r="E61" s="25">
        <f>VLOOKUP(D61,Assumptions!$B$50:$D$59,2,FALSE)*H61*INDEX(Assumptions!$C$36:$C$38,1)</f>
        <v/>
      </c>
      <c r="F61" s="25">
        <f>VLOOKUP(D61,Assumptions!$B$50:$D$59,2,FALSE)*H61*INDEX(Assumptions!$C$36:$C$38,2)</f>
        <v/>
      </c>
      <c r="G61" s="25">
        <f>VLOOKUP(D61,Assumptions!$B$50:$D$59,2,FALSE)*H61*INDEX(Assumptions!$C$36:$C$38,3)</f>
        <v/>
      </c>
      <c r="H61" s="26">
        <f>VLOOKUP(C61,Assumptions!$B$27:$C$31,2,FALSE)</f>
        <v/>
      </c>
    </row>
    <row r="62">
      <c r="B62" s="7" t="inlineStr">
        <is>
          <t>SI-T1-B</t>
        </is>
      </c>
      <c r="C62" s="21" t="inlineStr">
        <is>
          <t>SI-T1</t>
        </is>
      </c>
      <c r="D62" s="11" t="inlineStr">
        <is>
          <t>Lead</t>
        </is>
      </c>
      <c r="E62" s="25">
        <f>VLOOKUP(D62,Assumptions!$B$50:$D$59,2,FALSE)*H62*INDEX(Assumptions!$C$36:$C$38,1)</f>
        <v/>
      </c>
      <c r="F62" s="25">
        <f>VLOOKUP(D62,Assumptions!$B$50:$D$59,2,FALSE)*H62*INDEX(Assumptions!$C$36:$C$38,2)</f>
        <v/>
      </c>
      <c r="G62" s="25">
        <f>VLOOKUP(D62,Assumptions!$B$50:$D$59,2,FALSE)*H62*INDEX(Assumptions!$C$36:$C$38,3)</f>
        <v/>
      </c>
      <c r="H62" s="26">
        <f>VLOOKUP(C62,Assumptions!$B$27:$C$31,2,FALSE)</f>
        <v/>
      </c>
    </row>
    <row r="63">
      <c r="B63" s="7" t="inlineStr">
        <is>
          <t>SI-T1-B</t>
        </is>
      </c>
      <c r="C63" s="21" t="inlineStr">
        <is>
          <t>SI-T1</t>
        </is>
      </c>
      <c r="D63" s="11" t="inlineStr">
        <is>
          <t>Senior</t>
        </is>
      </c>
      <c r="E63" s="25">
        <f>VLOOKUP(D63,Assumptions!$B$50:$D$59,2,FALSE)*H63*INDEX(Assumptions!$C$36:$C$38,1)</f>
        <v/>
      </c>
      <c r="F63" s="25">
        <f>VLOOKUP(D63,Assumptions!$B$50:$D$59,2,FALSE)*H63*INDEX(Assumptions!$C$36:$C$38,2)</f>
        <v/>
      </c>
      <c r="G63" s="25">
        <f>VLOOKUP(D63,Assumptions!$B$50:$D$59,2,FALSE)*H63*INDEX(Assumptions!$C$36:$C$38,3)</f>
        <v/>
      </c>
      <c r="H63" s="26">
        <f>VLOOKUP(C63,Assumptions!$B$27:$C$31,2,FALSE)</f>
        <v/>
      </c>
    </row>
    <row r="64">
      <c r="B64" s="7" t="inlineStr">
        <is>
          <t>SI-T1-B</t>
        </is>
      </c>
      <c r="C64" s="21" t="inlineStr">
        <is>
          <t>SI-T1</t>
        </is>
      </c>
      <c r="D64" s="11" t="inlineStr">
        <is>
          <t>Intermediate</t>
        </is>
      </c>
      <c r="E64" s="25">
        <f>VLOOKUP(D64,Assumptions!$B$50:$D$59,2,FALSE)*H64*INDEX(Assumptions!$C$36:$C$38,1)</f>
        <v/>
      </c>
      <c r="F64" s="25">
        <f>VLOOKUP(D64,Assumptions!$B$50:$D$59,2,FALSE)*H64*INDEX(Assumptions!$C$36:$C$38,2)</f>
        <v/>
      </c>
      <c r="G64" s="25">
        <f>VLOOKUP(D64,Assumptions!$B$50:$D$59,2,FALSE)*H64*INDEX(Assumptions!$C$36:$C$38,3)</f>
        <v/>
      </c>
      <c r="H64" s="26">
        <f>VLOOKUP(C64,Assumptions!$B$27:$C$31,2,FALSE)</f>
        <v/>
      </c>
    </row>
    <row r="65">
      <c r="B65" s="7" t="inlineStr">
        <is>
          <t>SI-T1-B</t>
        </is>
      </c>
      <c r="C65" s="21" t="inlineStr">
        <is>
          <t>SI-T1</t>
        </is>
      </c>
      <c r="D65" s="11" t="inlineStr">
        <is>
          <t>Junior</t>
        </is>
      </c>
      <c r="E65" s="25">
        <f>VLOOKUP(D65,Assumptions!$B$50:$D$59,2,FALSE)*H65*INDEX(Assumptions!$C$36:$C$38,1)</f>
        <v/>
      </c>
      <c r="F65" s="25">
        <f>VLOOKUP(D65,Assumptions!$B$50:$D$59,2,FALSE)*H65*INDEX(Assumptions!$C$36:$C$38,2)</f>
        <v/>
      </c>
      <c r="G65" s="25">
        <f>VLOOKUP(D65,Assumptions!$B$50:$D$59,2,FALSE)*H65*INDEX(Assumptions!$C$36:$C$38,3)</f>
        <v/>
      </c>
      <c r="H65" s="26">
        <f>VLOOKUP(C65,Assumptions!$B$27:$C$31,2,FALSE)</f>
        <v/>
      </c>
    </row>
    <row r="66">
      <c r="B66" s="7" t="inlineStr">
        <is>
          <t>SI-T1-C</t>
        </is>
      </c>
      <c r="C66" s="21" t="inlineStr">
        <is>
          <t>SI-T1</t>
        </is>
      </c>
      <c r="D66" s="11" t="inlineStr">
        <is>
          <t>Partner</t>
        </is>
      </c>
      <c r="E66" s="25">
        <f>VLOOKUP(D66,Assumptions!$B$50:$D$59,2,FALSE)*H66*INDEX(Assumptions!$C$36:$C$38,1)</f>
        <v/>
      </c>
      <c r="F66" s="25">
        <f>VLOOKUP(D66,Assumptions!$B$50:$D$59,2,FALSE)*H66*INDEX(Assumptions!$C$36:$C$38,2)</f>
        <v/>
      </c>
      <c r="G66" s="25">
        <f>VLOOKUP(D66,Assumptions!$B$50:$D$59,2,FALSE)*H66*INDEX(Assumptions!$C$36:$C$38,3)</f>
        <v/>
      </c>
      <c r="H66" s="26">
        <f>VLOOKUP(C66,Assumptions!$B$27:$C$31,2,FALSE)</f>
        <v/>
      </c>
    </row>
    <row r="67">
      <c r="B67" s="7" t="inlineStr">
        <is>
          <t>SI-T1-C</t>
        </is>
      </c>
      <c r="C67" s="21" t="inlineStr">
        <is>
          <t>SI-T1</t>
        </is>
      </c>
      <c r="D67" s="11" t="inlineStr">
        <is>
          <t>Managing Director</t>
        </is>
      </c>
      <c r="E67" s="25">
        <f>VLOOKUP(D67,Assumptions!$B$50:$D$59,2,FALSE)*H67*INDEX(Assumptions!$C$36:$C$38,1)</f>
        <v/>
      </c>
      <c r="F67" s="25">
        <f>VLOOKUP(D67,Assumptions!$B$50:$D$59,2,FALSE)*H67*INDEX(Assumptions!$C$36:$C$38,2)</f>
        <v/>
      </c>
      <c r="G67" s="25">
        <f>VLOOKUP(D67,Assumptions!$B$50:$D$59,2,FALSE)*H67*INDEX(Assumptions!$C$36:$C$38,3)</f>
        <v/>
      </c>
      <c r="H67" s="26">
        <f>VLOOKUP(C67,Assumptions!$B$27:$C$31,2,FALSE)</f>
        <v/>
      </c>
    </row>
    <row r="68">
      <c r="B68" s="7" t="inlineStr">
        <is>
          <t>SI-T1-C</t>
        </is>
      </c>
      <c r="C68" s="21" t="inlineStr">
        <is>
          <t>SI-T1</t>
        </is>
      </c>
      <c r="D68" s="11" t="inlineStr">
        <is>
          <t>Principal</t>
        </is>
      </c>
      <c r="E68" s="25">
        <f>VLOOKUP(D68,Assumptions!$B$50:$D$59,2,FALSE)*H68*INDEX(Assumptions!$C$36:$C$38,1)</f>
        <v/>
      </c>
      <c r="F68" s="25">
        <f>VLOOKUP(D68,Assumptions!$B$50:$D$59,2,FALSE)*H68*INDEX(Assumptions!$C$36:$C$38,2)</f>
        <v/>
      </c>
      <c r="G68" s="25">
        <f>VLOOKUP(D68,Assumptions!$B$50:$D$59,2,FALSE)*H68*INDEX(Assumptions!$C$36:$C$38,3)</f>
        <v/>
      </c>
      <c r="H68" s="26">
        <f>VLOOKUP(C68,Assumptions!$B$27:$C$31,2,FALSE)</f>
        <v/>
      </c>
    </row>
    <row r="69">
      <c r="B69" s="7" t="inlineStr">
        <is>
          <t>SI-T1-C</t>
        </is>
      </c>
      <c r="C69" s="21" t="inlineStr">
        <is>
          <t>SI-T1</t>
        </is>
      </c>
      <c r="D69" s="11" t="inlineStr">
        <is>
          <t>Director</t>
        </is>
      </c>
      <c r="E69" s="25">
        <f>VLOOKUP(D69,Assumptions!$B$50:$D$59,2,FALSE)*H69*INDEX(Assumptions!$C$36:$C$38,1)</f>
        <v/>
      </c>
      <c r="F69" s="25">
        <f>VLOOKUP(D69,Assumptions!$B$50:$D$59,2,FALSE)*H69*INDEX(Assumptions!$C$36:$C$38,2)</f>
        <v/>
      </c>
      <c r="G69" s="25">
        <f>VLOOKUP(D69,Assumptions!$B$50:$D$59,2,FALSE)*H69*INDEX(Assumptions!$C$36:$C$38,3)</f>
        <v/>
      </c>
      <c r="H69" s="26">
        <f>VLOOKUP(C69,Assumptions!$B$27:$C$31,2,FALSE)</f>
        <v/>
      </c>
    </row>
    <row r="70">
      <c r="B70" s="7" t="inlineStr">
        <is>
          <t>SI-T1-C</t>
        </is>
      </c>
      <c r="C70" s="21" t="inlineStr">
        <is>
          <t>SI-T1</t>
        </is>
      </c>
      <c r="D70" s="11" t="inlineStr">
        <is>
          <t>Senior Manager</t>
        </is>
      </c>
      <c r="E70" s="25">
        <f>VLOOKUP(D70,Assumptions!$B$50:$D$59,2,FALSE)*H70*INDEX(Assumptions!$C$36:$C$38,1)</f>
        <v/>
      </c>
      <c r="F70" s="25">
        <f>VLOOKUP(D70,Assumptions!$B$50:$D$59,2,FALSE)*H70*INDEX(Assumptions!$C$36:$C$38,2)</f>
        <v/>
      </c>
      <c r="G70" s="25">
        <f>VLOOKUP(D70,Assumptions!$B$50:$D$59,2,FALSE)*H70*INDEX(Assumptions!$C$36:$C$38,3)</f>
        <v/>
      </c>
      <c r="H70" s="26">
        <f>VLOOKUP(C70,Assumptions!$B$27:$C$31,2,FALSE)</f>
        <v/>
      </c>
    </row>
    <row r="71">
      <c r="B71" s="7" t="inlineStr">
        <is>
          <t>SI-T1-C</t>
        </is>
      </c>
      <c r="C71" s="21" t="inlineStr">
        <is>
          <t>SI-T1</t>
        </is>
      </c>
      <c r="D71" s="11" t="inlineStr">
        <is>
          <t>Manager</t>
        </is>
      </c>
      <c r="E71" s="25">
        <f>VLOOKUP(D71,Assumptions!$B$50:$D$59,2,FALSE)*H71*INDEX(Assumptions!$C$36:$C$38,1)</f>
        <v/>
      </c>
      <c r="F71" s="25">
        <f>VLOOKUP(D71,Assumptions!$B$50:$D$59,2,FALSE)*H71*INDEX(Assumptions!$C$36:$C$38,2)</f>
        <v/>
      </c>
      <c r="G71" s="25">
        <f>VLOOKUP(D71,Assumptions!$B$50:$D$59,2,FALSE)*H71*INDEX(Assumptions!$C$36:$C$38,3)</f>
        <v/>
      </c>
      <c r="H71" s="26">
        <f>VLOOKUP(C71,Assumptions!$B$27:$C$31,2,FALSE)</f>
        <v/>
      </c>
    </row>
    <row r="72">
      <c r="B72" s="7" t="inlineStr">
        <is>
          <t>SI-T1-C</t>
        </is>
      </c>
      <c r="C72" s="21" t="inlineStr">
        <is>
          <t>SI-T1</t>
        </is>
      </c>
      <c r="D72" s="11" t="inlineStr">
        <is>
          <t>Lead</t>
        </is>
      </c>
      <c r="E72" s="25">
        <f>VLOOKUP(D72,Assumptions!$B$50:$D$59,2,FALSE)*H72*INDEX(Assumptions!$C$36:$C$38,1)</f>
        <v/>
      </c>
      <c r="F72" s="25">
        <f>VLOOKUP(D72,Assumptions!$B$50:$D$59,2,FALSE)*H72*INDEX(Assumptions!$C$36:$C$38,2)</f>
        <v/>
      </c>
      <c r="G72" s="25">
        <f>VLOOKUP(D72,Assumptions!$B$50:$D$59,2,FALSE)*H72*INDEX(Assumptions!$C$36:$C$38,3)</f>
        <v/>
      </c>
      <c r="H72" s="26">
        <f>VLOOKUP(C72,Assumptions!$B$27:$C$31,2,FALSE)</f>
        <v/>
      </c>
    </row>
    <row r="73">
      <c r="B73" s="7" t="inlineStr">
        <is>
          <t>SI-T1-C</t>
        </is>
      </c>
      <c r="C73" s="21" t="inlineStr">
        <is>
          <t>SI-T1</t>
        </is>
      </c>
      <c r="D73" s="11" t="inlineStr">
        <is>
          <t>Senior</t>
        </is>
      </c>
      <c r="E73" s="25">
        <f>VLOOKUP(D73,Assumptions!$B$50:$D$59,2,FALSE)*H73*INDEX(Assumptions!$C$36:$C$38,1)</f>
        <v/>
      </c>
      <c r="F73" s="25">
        <f>VLOOKUP(D73,Assumptions!$B$50:$D$59,2,FALSE)*H73*INDEX(Assumptions!$C$36:$C$38,2)</f>
        <v/>
      </c>
      <c r="G73" s="25">
        <f>VLOOKUP(D73,Assumptions!$B$50:$D$59,2,FALSE)*H73*INDEX(Assumptions!$C$36:$C$38,3)</f>
        <v/>
      </c>
      <c r="H73" s="26">
        <f>VLOOKUP(C73,Assumptions!$B$27:$C$31,2,FALSE)</f>
        <v/>
      </c>
    </row>
    <row r="74">
      <c r="B74" s="7" t="inlineStr">
        <is>
          <t>SI-T1-C</t>
        </is>
      </c>
      <c r="C74" s="21" t="inlineStr">
        <is>
          <t>SI-T1</t>
        </is>
      </c>
      <c r="D74" s="11" t="inlineStr">
        <is>
          <t>Intermediate</t>
        </is>
      </c>
      <c r="E74" s="25">
        <f>VLOOKUP(D74,Assumptions!$B$50:$D$59,2,FALSE)*H74*INDEX(Assumptions!$C$36:$C$38,1)</f>
        <v/>
      </c>
      <c r="F74" s="25">
        <f>VLOOKUP(D74,Assumptions!$B$50:$D$59,2,FALSE)*H74*INDEX(Assumptions!$C$36:$C$38,2)</f>
        <v/>
      </c>
      <c r="G74" s="25">
        <f>VLOOKUP(D74,Assumptions!$B$50:$D$59,2,FALSE)*H74*INDEX(Assumptions!$C$36:$C$38,3)</f>
        <v/>
      </c>
      <c r="H74" s="26">
        <f>VLOOKUP(C74,Assumptions!$B$27:$C$31,2,FALSE)</f>
        <v/>
      </c>
    </row>
    <row r="75">
      <c r="B75" s="7" t="inlineStr">
        <is>
          <t>SI-T1-C</t>
        </is>
      </c>
      <c r="C75" s="21" t="inlineStr">
        <is>
          <t>SI-T1</t>
        </is>
      </c>
      <c r="D75" s="11" t="inlineStr">
        <is>
          <t>Junior</t>
        </is>
      </c>
      <c r="E75" s="25">
        <f>VLOOKUP(D75,Assumptions!$B$50:$D$59,2,FALSE)*H75*INDEX(Assumptions!$C$36:$C$38,1)</f>
        <v/>
      </c>
      <c r="F75" s="25">
        <f>VLOOKUP(D75,Assumptions!$B$50:$D$59,2,FALSE)*H75*INDEX(Assumptions!$C$36:$C$38,2)</f>
        <v/>
      </c>
      <c r="G75" s="25">
        <f>VLOOKUP(D75,Assumptions!$B$50:$D$59,2,FALSE)*H75*INDEX(Assumptions!$C$36:$C$38,3)</f>
        <v/>
      </c>
      <c r="H75" s="26">
        <f>VLOOKUP(C75,Assumptions!$B$27:$C$31,2,FALSE)</f>
        <v/>
      </c>
    </row>
    <row r="76">
      <c r="B76" s="7" t="inlineStr">
        <is>
          <t>SI-T1-D</t>
        </is>
      </c>
      <c r="C76" s="21" t="inlineStr">
        <is>
          <t>SI-T1</t>
        </is>
      </c>
      <c r="D76" s="11" t="inlineStr">
        <is>
          <t>Partner</t>
        </is>
      </c>
      <c r="E76" s="25">
        <f>VLOOKUP(D76,Assumptions!$B$50:$D$59,2,FALSE)*H76*INDEX(Assumptions!$C$36:$C$38,1)</f>
        <v/>
      </c>
      <c r="F76" s="25">
        <f>VLOOKUP(D76,Assumptions!$B$50:$D$59,2,FALSE)*H76*INDEX(Assumptions!$C$36:$C$38,2)</f>
        <v/>
      </c>
      <c r="G76" s="25">
        <f>VLOOKUP(D76,Assumptions!$B$50:$D$59,2,FALSE)*H76*INDEX(Assumptions!$C$36:$C$38,3)</f>
        <v/>
      </c>
      <c r="H76" s="26">
        <f>VLOOKUP(C76,Assumptions!$B$27:$C$31,2,FALSE)</f>
        <v/>
      </c>
    </row>
    <row r="77">
      <c r="B77" s="7" t="inlineStr">
        <is>
          <t>SI-T1-D</t>
        </is>
      </c>
      <c r="C77" s="21" t="inlineStr">
        <is>
          <t>SI-T1</t>
        </is>
      </c>
      <c r="D77" s="11" t="inlineStr">
        <is>
          <t>Managing Director</t>
        </is>
      </c>
      <c r="E77" s="25">
        <f>VLOOKUP(D77,Assumptions!$B$50:$D$59,2,FALSE)*H77*INDEX(Assumptions!$C$36:$C$38,1)</f>
        <v/>
      </c>
      <c r="F77" s="25">
        <f>VLOOKUP(D77,Assumptions!$B$50:$D$59,2,FALSE)*H77*INDEX(Assumptions!$C$36:$C$38,2)</f>
        <v/>
      </c>
      <c r="G77" s="25">
        <f>VLOOKUP(D77,Assumptions!$B$50:$D$59,2,FALSE)*H77*INDEX(Assumptions!$C$36:$C$38,3)</f>
        <v/>
      </c>
      <c r="H77" s="26">
        <f>VLOOKUP(C77,Assumptions!$B$27:$C$31,2,FALSE)</f>
        <v/>
      </c>
    </row>
    <row r="78">
      <c r="B78" s="7" t="inlineStr">
        <is>
          <t>SI-T1-D</t>
        </is>
      </c>
      <c r="C78" s="21" t="inlineStr">
        <is>
          <t>SI-T1</t>
        </is>
      </c>
      <c r="D78" s="11" t="inlineStr">
        <is>
          <t>Principal</t>
        </is>
      </c>
      <c r="E78" s="25">
        <f>VLOOKUP(D78,Assumptions!$B$50:$D$59,2,FALSE)*H78*INDEX(Assumptions!$C$36:$C$38,1)</f>
        <v/>
      </c>
      <c r="F78" s="25">
        <f>VLOOKUP(D78,Assumptions!$B$50:$D$59,2,FALSE)*H78*INDEX(Assumptions!$C$36:$C$38,2)</f>
        <v/>
      </c>
      <c r="G78" s="25">
        <f>VLOOKUP(D78,Assumptions!$B$50:$D$59,2,FALSE)*H78*INDEX(Assumptions!$C$36:$C$38,3)</f>
        <v/>
      </c>
      <c r="H78" s="26">
        <f>VLOOKUP(C78,Assumptions!$B$27:$C$31,2,FALSE)</f>
        <v/>
      </c>
    </row>
    <row r="79">
      <c r="B79" s="7" t="inlineStr">
        <is>
          <t>SI-T1-D</t>
        </is>
      </c>
      <c r="C79" s="21" t="inlineStr">
        <is>
          <t>SI-T1</t>
        </is>
      </c>
      <c r="D79" s="11" t="inlineStr">
        <is>
          <t>Director</t>
        </is>
      </c>
      <c r="E79" s="25">
        <f>VLOOKUP(D79,Assumptions!$B$50:$D$59,2,FALSE)*H79*INDEX(Assumptions!$C$36:$C$38,1)</f>
        <v/>
      </c>
      <c r="F79" s="25">
        <f>VLOOKUP(D79,Assumptions!$B$50:$D$59,2,FALSE)*H79*INDEX(Assumptions!$C$36:$C$38,2)</f>
        <v/>
      </c>
      <c r="G79" s="25">
        <f>VLOOKUP(D79,Assumptions!$B$50:$D$59,2,FALSE)*H79*INDEX(Assumptions!$C$36:$C$38,3)</f>
        <v/>
      </c>
      <c r="H79" s="26">
        <f>VLOOKUP(C79,Assumptions!$B$27:$C$31,2,FALSE)</f>
        <v/>
      </c>
    </row>
    <row r="80">
      <c r="B80" s="7" t="inlineStr">
        <is>
          <t>SI-T1-D</t>
        </is>
      </c>
      <c r="C80" s="21" t="inlineStr">
        <is>
          <t>SI-T1</t>
        </is>
      </c>
      <c r="D80" s="11" t="inlineStr">
        <is>
          <t>Senior Manager</t>
        </is>
      </c>
      <c r="E80" s="25">
        <f>VLOOKUP(D80,Assumptions!$B$50:$D$59,2,FALSE)*H80*INDEX(Assumptions!$C$36:$C$38,1)</f>
        <v/>
      </c>
      <c r="F80" s="25">
        <f>VLOOKUP(D80,Assumptions!$B$50:$D$59,2,FALSE)*H80*INDEX(Assumptions!$C$36:$C$38,2)</f>
        <v/>
      </c>
      <c r="G80" s="25">
        <f>VLOOKUP(D80,Assumptions!$B$50:$D$59,2,FALSE)*H80*INDEX(Assumptions!$C$36:$C$38,3)</f>
        <v/>
      </c>
      <c r="H80" s="26">
        <f>VLOOKUP(C80,Assumptions!$B$27:$C$31,2,FALSE)</f>
        <v/>
      </c>
    </row>
    <row r="81">
      <c r="B81" s="7" t="inlineStr">
        <is>
          <t>SI-T1-D</t>
        </is>
      </c>
      <c r="C81" s="21" t="inlineStr">
        <is>
          <t>SI-T1</t>
        </is>
      </c>
      <c r="D81" s="11" t="inlineStr">
        <is>
          <t>Manager</t>
        </is>
      </c>
      <c r="E81" s="25">
        <f>VLOOKUP(D81,Assumptions!$B$50:$D$59,2,FALSE)*H81*INDEX(Assumptions!$C$36:$C$38,1)</f>
        <v/>
      </c>
      <c r="F81" s="25">
        <f>VLOOKUP(D81,Assumptions!$B$50:$D$59,2,FALSE)*H81*INDEX(Assumptions!$C$36:$C$38,2)</f>
        <v/>
      </c>
      <c r="G81" s="25">
        <f>VLOOKUP(D81,Assumptions!$B$50:$D$59,2,FALSE)*H81*INDEX(Assumptions!$C$36:$C$38,3)</f>
        <v/>
      </c>
      <c r="H81" s="26">
        <f>VLOOKUP(C81,Assumptions!$B$27:$C$31,2,FALSE)</f>
        <v/>
      </c>
    </row>
    <row r="82">
      <c r="B82" s="7" t="inlineStr">
        <is>
          <t>SI-T1-D</t>
        </is>
      </c>
      <c r="C82" s="21" t="inlineStr">
        <is>
          <t>SI-T1</t>
        </is>
      </c>
      <c r="D82" s="11" t="inlineStr">
        <is>
          <t>Lead</t>
        </is>
      </c>
      <c r="E82" s="25">
        <f>VLOOKUP(D82,Assumptions!$B$50:$D$59,2,FALSE)*H82*INDEX(Assumptions!$C$36:$C$38,1)</f>
        <v/>
      </c>
      <c r="F82" s="25">
        <f>VLOOKUP(D82,Assumptions!$B$50:$D$59,2,FALSE)*H82*INDEX(Assumptions!$C$36:$C$38,2)</f>
        <v/>
      </c>
      <c r="G82" s="25">
        <f>VLOOKUP(D82,Assumptions!$B$50:$D$59,2,FALSE)*H82*INDEX(Assumptions!$C$36:$C$38,3)</f>
        <v/>
      </c>
      <c r="H82" s="26">
        <f>VLOOKUP(C82,Assumptions!$B$27:$C$31,2,FALSE)</f>
        <v/>
      </c>
    </row>
    <row r="83">
      <c r="B83" s="7" t="inlineStr">
        <is>
          <t>SI-T1-D</t>
        </is>
      </c>
      <c r="C83" s="21" t="inlineStr">
        <is>
          <t>SI-T1</t>
        </is>
      </c>
      <c r="D83" s="11" t="inlineStr">
        <is>
          <t>Senior</t>
        </is>
      </c>
      <c r="E83" s="25">
        <f>VLOOKUP(D83,Assumptions!$B$50:$D$59,2,FALSE)*H83*INDEX(Assumptions!$C$36:$C$38,1)</f>
        <v/>
      </c>
      <c r="F83" s="25">
        <f>VLOOKUP(D83,Assumptions!$B$50:$D$59,2,FALSE)*H83*INDEX(Assumptions!$C$36:$C$38,2)</f>
        <v/>
      </c>
      <c r="G83" s="25">
        <f>VLOOKUP(D83,Assumptions!$B$50:$D$59,2,FALSE)*H83*INDEX(Assumptions!$C$36:$C$38,3)</f>
        <v/>
      </c>
      <c r="H83" s="26">
        <f>VLOOKUP(C83,Assumptions!$B$27:$C$31,2,FALSE)</f>
        <v/>
      </c>
    </row>
    <row r="84">
      <c r="B84" s="7" t="inlineStr">
        <is>
          <t>SI-T1-D</t>
        </is>
      </c>
      <c r="C84" s="21" t="inlineStr">
        <is>
          <t>SI-T1</t>
        </is>
      </c>
      <c r="D84" s="11" t="inlineStr">
        <is>
          <t>Intermediate</t>
        </is>
      </c>
      <c r="E84" s="25">
        <f>VLOOKUP(D84,Assumptions!$B$50:$D$59,2,FALSE)*H84*INDEX(Assumptions!$C$36:$C$38,1)</f>
        <v/>
      </c>
      <c r="F84" s="25">
        <f>VLOOKUP(D84,Assumptions!$B$50:$D$59,2,FALSE)*H84*INDEX(Assumptions!$C$36:$C$38,2)</f>
        <v/>
      </c>
      <c r="G84" s="25">
        <f>VLOOKUP(D84,Assumptions!$B$50:$D$59,2,FALSE)*H84*INDEX(Assumptions!$C$36:$C$38,3)</f>
        <v/>
      </c>
      <c r="H84" s="26">
        <f>VLOOKUP(C84,Assumptions!$B$27:$C$31,2,FALSE)</f>
        <v/>
      </c>
    </row>
    <row r="85">
      <c r="B85" s="7" t="inlineStr">
        <is>
          <t>SI-T1-D</t>
        </is>
      </c>
      <c r="C85" s="21" t="inlineStr">
        <is>
          <t>SI-T1</t>
        </is>
      </c>
      <c r="D85" s="11" t="inlineStr">
        <is>
          <t>Junior</t>
        </is>
      </c>
      <c r="E85" s="25">
        <f>VLOOKUP(D85,Assumptions!$B$50:$D$59,2,FALSE)*H85*INDEX(Assumptions!$C$36:$C$38,1)</f>
        <v/>
      </c>
      <c r="F85" s="25">
        <f>VLOOKUP(D85,Assumptions!$B$50:$D$59,2,FALSE)*H85*INDEX(Assumptions!$C$36:$C$38,2)</f>
        <v/>
      </c>
      <c r="G85" s="25">
        <f>VLOOKUP(D85,Assumptions!$B$50:$D$59,2,FALSE)*H85*INDEX(Assumptions!$C$36:$C$38,3)</f>
        <v/>
      </c>
      <c r="H85" s="26">
        <f>VLOOKUP(C85,Assumptions!$B$27:$C$31,2,FALSE)</f>
        <v/>
      </c>
    </row>
    <row r="86">
      <c r="B86" s="7" t="inlineStr">
        <is>
          <t>SI-T1-E</t>
        </is>
      </c>
      <c r="C86" s="21" t="inlineStr">
        <is>
          <t>SI-T1</t>
        </is>
      </c>
      <c r="D86" s="11" t="inlineStr">
        <is>
          <t>Partner</t>
        </is>
      </c>
      <c r="E86" s="25">
        <f>VLOOKUP(D86,Assumptions!$B$50:$D$59,2,FALSE)*H86*INDEX(Assumptions!$C$36:$C$38,1)</f>
        <v/>
      </c>
      <c r="F86" s="25">
        <f>VLOOKUP(D86,Assumptions!$B$50:$D$59,2,FALSE)*H86*INDEX(Assumptions!$C$36:$C$38,2)</f>
        <v/>
      </c>
      <c r="G86" s="25">
        <f>VLOOKUP(D86,Assumptions!$B$50:$D$59,2,FALSE)*H86*INDEX(Assumptions!$C$36:$C$38,3)</f>
        <v/>
      </c>
      <c r="H86" s="26">
        <f>VLOOKUP(C86,Assumptions!$B$27:$C$31,2,FALSE)</f>
        <v/>
      </c>
    </row>
    <row r="87">
      <c r="B87" s="7" t="inlineStr">
        <is>
          <t>SI-T1-E</t>
        </is>
      </c>
      <c r="C87" s="21" t="inlineStr">
        <is>
          <t>SI-T1</t>
        </is>
      </c>
      <c r="D87" s="11" t="inlineStr">
        <is>
          <t>Managing Director</t>
        </is>
      </c>
      <c r="E87" s="25">
        <f>VLOOKUP(D87,Assumptions!$B$50:$D$59,2,FALSE)*H87*INDEX(Assumptions!$C$36:$C$38,1)</f>
        <v/>
      </c>
      <c r="F87" s="25">
        <f>VLOOKUP(D87,Assumptions!$B$50:$D$59,2,FALSE)*H87*INDEX(Assumptions!$C$36:$C$38,2)</f>
        <v/>
      </c>
      <c r="G87" s="25">
        <f>VLOOKUP(D87,Assumptions!$B$50:$D$59,2,FALSE)*H87*INDEX(Assumptions!$C$36:$C$38,3)</f>
        <v/>
      </c>
      <c r="H87" s="26">
        <f>VLOOKUP(C87,Assumptions!$B$27:$C$31,2,FALSE)</f>
        <v/>
      </c>
    </row>
    <row r="88">
      <c r="B88" s="7" t="inlineStr">
        <is>
          <t>SI-T1-E</t>
        </is>
      </c>
      <c r="C88" s="21" t="inlineStr">
        <is>
          <t>SI-T1</t>
        </is>
      </c>
      <c r="D88" s="11" t="inlineStr">
        <is>
          <t>Principal</t>
        </is>
      </c>
      <c r="E88" s="25">
        <f>VLOOKUP(D88,Assumptions!$B$50:$D$59,2,FALSE)*H88*INDEX(Assumptions!$C$36:$C$38,1)</f>
        <v/>
      </c>
      <c r="F88" s="25">
        <f>VLOOKUP(D88,Assumptions!$B$50:$D$59,2,FALSE)*H88*INDEX(Assumptions!$C$36:$C$38,2)</f>
        <v/>
      </c>
      <c r="G88" s="25">
        <f>VLOOKUP(D88,Assumptions!$B$50:$D$59,2,FALSE)*H88*INDEX(Assumptions!$C$36:$C$38,3)</f>
        <v/>
      </c>
      <c r="H88" s="26">
        <f>VLOOKUP(C88,Assumptions!$B$27:$C$31,2,FALSE)</f>
        <v/>
      </c>
    </row>
    <row r="89">
      <c r="B89" s="7" t="inlineStr">
        <is>
          <t>SI-T1-E</t>
        </is>
      </c>
      <c r="C89" s="21" t="inlineStr">
        <is>
          <t>SI-T1</t>
        </is>
      </c>
      <c r="D89" s="11" t="inlineStr">
        <is>
          <t>Director</t>
        </is>
      </c>
      <c r="E89" s="25">
        <f>VLOOKUP(D89,Assumptions!$B$50:$D$59,2,FALSE)*H89*INDEX(Assumptions!$C$36:$C$38,1)</f>
        <v/>
      </c>
      <c r="F89" s="25">
        <f>VLOOKUP(D89,Assumptions!$B$50:$D$59,2,FALSE)*H89*INDEX(Assumptions!$C$36:$C$38,2)</f>
        <v/>
      </c>
      <c r="G89" s="25">
        <f>VLOOKUP(D89,Assumptions!$B$50:$D$59,2,FALSE)*H89*INDEX(Assumptions!$C$36:$C$38,3)</f>
        <v/>
      </c>
      <c r="H89" s="26">
        <f>VLOOKUP(C89,Assumptions!$B$27:$C$31,2,FALSE)</f>
        <v/>
      </c>
    </row>
    <row r="90">
      <c r="B90" s="7" t="inlineStr">
        <is>
          <t>SI-T1-E</t>
        </is>
      </c>
      <c r="C90" s="21" t="inlineStr">
        <is>
          <t>SI-T1</t>
        </is>
      </c>
      <c r="D90" s="11" t="inlineStr">
        <is>
          <t>Senior Manager</t>
        </is>
      </c>
      <c r="E90" s="25">
        <f>VLOOKUP(D90,Assumptions!$B$50:$D$59,2,FALSE)*H90*INDEX(Assumptions!$C$36:$C$38,1)</f>
        <v/>
      </c>
      <c r="F90" s="25">
        <f>VLOOKUP(D90,Assumptions!$B$50:$D$59,2,FALSE)*H90*INDEX(Assumptions!$C$36:$C$38,2)</f>
        <v/>
      </c>
      <c r="G90" s="25">
        <f>VLOOKUP(D90,Assumptions!$B$50:$D$59,2,FALSE)*H90*INDEX(Assumptions!$C$36:$C$38,3)</f>
        <v/>
      </c>
      <c r="H90" s="26">
        <f>VLOOKUP(C90,Assumptions!$B$27:$C$31,2,FALSE)</f>
        <v/>
      </c>
    </row>
    <row r="91">
      <c r="B91" s="7" t="inlineStr">
        <is>
          <t>SI-T1-E</t>
        </is>
      </c>
      <c r="C91" s="21" t="inlineStr">
        <is>
          <t>SI-T1</t>
        </is>
      </c>
      <c r="D91" s="11" t="inlineStr">
        <is>
          <t>Manager</t>
        </is>
      </c>
      <c r="E91" s="25">
        <f>VLOOKUP(D91,Assumptions!$B$50:$D$59,2,FALSE)*H91*INDEX(Assumptions!$C$36:$C$38,1)</f>
        <v/>
      </c>
      <c r="F91" s="25">
        <f>VLOOKUP(D91,Assumptions!$B$50:$D$59,2,FALSE)*H91*INDEX(Assumptions!$C$36:$C$38,2)</f>
        <v/>
      </c>
      <c r="G91" s="25">
        <f>VLOOKUP(D91,Assumptions!$B$50:$D$59,2,FALSE)*H91*INDEX(Assumptions!$C$36:$C$38,3)</f>
        <v/>
      </c>
      <c r="H91" s="26">
        <f>VLOOKUP(C91,Assumptions!$B$27:$C$31,2,FALSE)</f>
        <v/>
      </c>
    </row>
    <row r="92">
      <c r="B92" s="7" t="inlineStr">
        <is>
          <t>SI-T1-E</t>
        </is>
      </c>
      <c r="C92" s="21" t="inlineStr">
        <is>
          <t>SI-T1</t>
        </is>
      </c>
      <c r="D92" s="11" t="inlineStr">
        <is>
          <t>Lead</t>
        </is>
      </c>
      <c r="E92" s="25">
        <f>VLOOKUP(D92,Assumptions!$B$50:$D$59,2,FALSE)*H92*INDEX(Assumptions!$C$36:$C$38,1)</f>
        <v/>
      </c>
      <c r="F92" s="25">
        <f>VLOOKUP(D92,Assumptions!$B$50:$D$59,2,FALSE)*H92*INDEX(Assumptions!$C$36:$C$38,2)</f>
        <v/>
      </c>
      <c r="G92" s="25">
        <f>VLOOKUP(D92,Assumptions!$B$50:$D$59,2,FALSE)*H92*INDEX(Assumptions!$C$36:$C$38,3)</f>
        <v/>
      </c>
      <c r="H92" s="26">
        <f>VLOOKUP(C92,Assumptions!$B$27:$C$31,2,FALSE)</f>
        <v/>
      </c>
    </row>
    <row r="93">
      <c r="B93" s="7" t="inlineStr">
        <is>
          <t>SI-T1-E</t>
        </is>
      </c>
      <c r="C93" s="21" t="inlineStr">
        <is>
          <t>SI-T1</t>
        </is>
      </c>
      <c r="D93" s="11" t="inlineStr">
        <is>
          <t>Senior</t>
        </is>
      </c>
      <c r="E93" s="25">
        <f>VLOOKUP(D93,Assumptions!$B$50:$D$59,2,FALSE)*H93*INDEX(Assumptions!$C$36:$C$38,1)</f>
        <v/>
      </c>
      <c r="F93" s="25">
        <f>VLOOKUP(D93,Assumptions!$B$50:$D$59,2,FALSE)*H93*INDEX(Assumptions!$C$36:$C$38,2)</f>
        <v/>
      </c>
      <c r="G93" s="25">
        <f>VLOOKUP(D93,Assumptions!$B$50:$D$59,2,FALSE)*H93*INDEX(Assumptions!$C$36:$C$38,3)</f>
        <v/>
      </c>
      <c r="H93" s="26">
        <f>VLOOKUP(C93,Assumptions!$B$27:$C$31,2,FALSE)</f>
        <v/>
      </c>
    </row>
    <row r="94">
      <c r="B94" s="7" t="inlineStr">
        <is>
          <t>SI-T1-E</t>
        </is>
      </c>
      <c r="C94" s="21" t="inlineStr">
        <is>
          <t>SI-T1</t>
        </is>
      </c>
      <c r="D94" s="11" t="inlineStr">
        <is>
          <t>Intermediate</t>
        </is>
      </c>
      <c r="E94" s="25">
        <f>VLOOKUP(D94,Assumptions!$B$50:$D$59,2,FALSE)*H94*INDEX(Assumptions!$C$36:$C$38,1)</f>
        <v/>
      </c>
      <c r="F94" s="25">
        <f>VLOOKUP(D94,Assumptions!$B$50:$D$59,2,FALSE)*H94*INDEX(Assumptions!$C$36:$C$38,2)</f>
        <v/>
      </c>
      <c r="G94" s="25">
        <f>VLOOKUP(D94,Assumptions!$B$50:$D$59,2,FALSE)*H94*INDEX(Assumptions!$C$36:$C$38,3)</f>
        <v/>
      </c>
      <c r="H94" s="26">
        <f>VLOOKUP(C94,Assumptions!$B$27:$C$31,2,FALSE)</f>
        <v/>
      </c>
    </row>
    <row r="95">
      <c r="B95" s="7" t="inlineStr">
        <is>
          <t>SI-T1-E</t>
        </is>
      </c>
      <c r="C95" s="21" t="inlineStr">
        <is>
          <t>SI-T1</t>
        </is>
      </c>
      <c r="D95" s="11" t="inlineStr">
        <is>
          <t>Junior</t>
        </is>
      </c>
      <c r="E95" s="25">
        <f>VLOOKUP(D95,Assumptions!$B$50:$D$59,2,FALSE)*H95*INDEX(Assumptions!$C$36:$C$38,1)</f>
        <v/>
      </c>
      <c r="F95" s="25">
        <f>VLOOKUP(D95,Assumptions!$B$50:$D$59,2,FALSE)*H95*INDEX(Assumptions!$C$36:$C$38,2)</f>
        <v/>
      </c>
      <c r="G95" s="25">
        <f>VLOOKUP(D95,Assumptions!$B$50:$D$59,2,FALSE)*H95*INDEX(Assumptions!$C$36:$C$38,3)</f>
        <v/>
      </c>
      <c r="H95" s="26">
        <f>VLOOKUP(C95,Assumptions!$B$27:$C$31,2,FALSE)</f>
        <v/>
      </c>
    </row>
    <row r="96">
      <c r="B96" s="7" t="inlineStr">
        <is>
          <t>SI-T2-A</t>
        </is>
      </c>
      <c r="C96" s="21" t="inlineStr">
        <is>
          <t>SI-T2</t>
        </is>
      </c>
      <c r="D96" s="11" t="inlineStr">
        <is>
          <t>Partner</t>
        </is>
      </c>
      <c r="E96" s="25">
        <f>VLOOKUP(D96,Assumptions!$B$50:$D$59,2,FALSE)*H96*INDEX(Assumptions!$C$36:$C$38,1)</f>
        <v/>
      </c>
      <c r="F96" s="25">
        <f>VLOOKUP(D96,Assumptions!$B$50:$D$59,2,FALSE)*H96*INDEX(Assumptions!$C$36:$C$38,2)</f>
        <v/>
      </c>
      <c r="G96" s="25">
        <f>VLOOKUP(D96,Assumptions!$B$50:$D$59,2,FALSE)*H96*INDEX(Assumptions!$C$36:$C$38,3)</f>
        <v/>
      </c>
      <c r="H96" s="26">
        <f>VLOOKUP(C96,Assumptions!$B$27:$C$31,2,FALSE)</f>
        <v/>
      </c>
    </row>
    <row r="97">
      <c r="B97" s="7" t="inlineStr">
        <is>
          <t>SI-T2-A</t>
        </is>
      </c>
      <c r="C97" s="21" t="inlineStr">
        <is>
          <t>SI-T2</t>
        </is>
      </c>
      <c r="D97" s="11" t="inlineStr">
        <is>
          <t>Managing Director</t>
        </is>
      </c>
      <c r="E97" s="25">
        <f>VLOOKUP(D97,Assumptions!$B$50:$D$59,2,FALSE)*H97*INDEX(Assumptions!$C$36:$C$38,1)</f>
        <v/>
      </c>
      <c r="F97" s="25">
        <f>VLOOKUP(D97,Assumptions!$B$50:$D$59,2,FALSE)*H97*INDEX(Assumptions!$C$36:$C$38,2)</f>
        <v/>
      </c>
      <c r="G97" s="25">
        <f>VLOOKUP(D97,Assumptions!$B$50:$D$59,2,FALSE)*H97*INDEX(Assumptions!$C$36:$C$38,3)</f>
        <v/>
      </c>
      <c r="H97" s="26">
        <f>VLOOKUP(C97,Assumptions!$B$27:$C$31,2,FALSE)</f>
        <v/>
      </c>
    </row>
    <row r="98">
      <c r="B98" s="7" t="inlineStr">
        <is>
          <t>SI-T2-A</t>
        </is>
      </c>
      <c r="C98" s="21" t="inlineStr">
        <is>
          <t>SI-T2</t>
        </is>
      </c>
      <c r="D98" s="11" t="inlineStr">
        <is>
          <t>Principal</t>
        </is>
      </c>
      <c r="E98" s="25">
        <f>VLOOKUP(D98,Assumptions!$B$50:$D$59,2,FALSE)*H98*INDEX(Assumptions!$C$36:$C$38,1)</f>
        <v/>
      </c>
      <c r="F98" s="25">
        <f>VLOOKUP(D98,Assumptions!$B$50:$D$59,2,FALSE)*H98*INDEX(Assumptions!$C$36:$C$38,2)</f>
        <v/>
      </c>
      <c r="G98" s="25">
        <f>VLOOKUP(D98,Assumptions!$B$50:$D$59,2,FALSE)*H98*INDEX(Assumptions!$C$36:$C$38,3)</f>
        <v/>
      </c>
      <c r="H98" s="26">
        <f>VLOOKUP(C98,Assumptions!$B$27:$C$31,2,FALSE)</f>
        <v/>
      </c>
    </row>
    <row r="99">
      <c r="B99" s="7" t="inlineStr">
        <is>
          <t>SI-T2-A</t>
        </is>
      </c>
      <c r="C99" s="21" t="inlineStr">
        <is>
          <t>SI-T2</t>
        </is>
      </c>
      <c r="D99" s="11" t="inlineStr">
        <is>
          <t>Director</t>
        </is>
      </c>
      <c r="E99" s="25">
        <f>VLOOKUP(D99,Assumptions!$B$50:$D$59,2,FALSE)*H99*INDEX(Assumptions!$C$36:$C$38,1)</f>
        <v/>
      </c>
      <c r="F99" s="25">
        <f>VLOOKUP(D99,Assumptions!$B$50:$D$59,2,FALSE)*H99*INDEX(Assumptions!$C$36:$C$38,2)</f>
        <v/>
      </c>
      <c r="G99" s="25">
        <f>VLOOKUP(D99,Assumptions!$B$50:$D$59,2,FALSE)*H99*INDEX(Assumptions!$C$36:$C$38,3)</f>
        <v/>
      </c>
      <c r="H99" s="26">
        <f>VLOOKUP(C99,Assumptions!$B$27:$C$31,2,FALSE)</f>
        <v/>
      </c>
    </row>
    <row r="100">
      <c r="B100" s="7" t="inlineStr">
        <is>
          <t>SI-T2-A</t>
        </is>
      </c>
      <c r="C100" s="21" t="inlineStr">
        <is>
          <t>SI-T2</t>
        </is>
      </c>
      <c r="D100" s="11" t="inlineStr">
        <is>
          <t>Senior Manager</t>
        </is>
      </c>
      <c r="E100" s="25">
        <f>VLOOKUP(D100,Assumptions!$B$50:$D$59,2,FALSE)*H100*INDEX(Assumptions!$C$36:$C$38,1)</f>
        <v/>
      </c>
      <c r="F100" s="25">
        <f>VLOOKUP(D100,Assumptions!$B$50:$D$59,2,FALSE)*H100*INDEX(Assumptions!$C$36:$C$38,2)</f>
        <v/>
      </c>
      <c r="G100" s="25">
        <f>VLOOKUP(D100,Assumptions!$B$50:$D$59,2,FALSE)*H100*INDEX(Assumptions!$C$36:$C$38,3)</f>
        <v/>
      </c>
      <c r="H100" s="26">
        <f>VLOOKUP(C100,Assumptions!$B$27:$C$31,2,FALSE)</f>
        <v/>
      </c>
    </row>
    <row r="101">
      <c r="B101" s="7" t="inlineStr">
        <is>
          <t>SI-T2-A</t>
        </is>
      </c>
      <c r="C101" s="21" t="inlineStr">
        <is>
          <t>SI-T2</t>
        </is>
      </c>
      <c r="D101" s="11" t="inlineStr">
        <is>
          <t>Manager</t>
        </is>
      </c>
      <c r="E101" s="25">
        <f>VLOOKUP(D101,Assumptions!$B$50:$D$59,2,FALSE)*H101*INDEX(Assumptions!$C$36:$C$38,1)</f>
        <v/>
      </c>
      <c r="F101" s="25">
        <f>VLOOKUP(D101,Assumptions!$B$50:$D$59,2,FALSE)*H101*INDEX(Assumptions!$C$36:$C$38,2)</f>
        <v/>
      </c>
      <c r="G101" s="25">
        <f>VLOOKUP(D101,Assumptions!$B$50:$D$59,2,FALSE)*H101*INDEX(Assumptions!$C$36:$C$38,3)</f>
        <v/>
      </c>
      <c r="H101" s="26">
        <f>VLOOKUP(C101,Assumptions!$B$27:$C$31,2,FALSE)</f>
        <v/>
      </c>
    </row>
    <row r="102">
      <c r="B102" s="7" t="inlineStr">
        <is>
          <t>SI-T2-A</t>
        </is>
      </c>
      <c r="C102" s="21" t="inlineStr">
        <is>
          <t>SI-T2</t>
        </is>
      </c>
      <c r="D102" s="11" t="inlineStr">
        <is>
          <t>Lead</t>
        </is>
      </c>
      <c r="E102" s="25">
        <f>VLOOKUP(D102,Assumptions!$B$50:$D$59,2,FALSE)*H102*INDEX(Assumptions!$C$36:$C$38,1)</f>
        <v/>
      </c>
      <c r="F102" s="25">
        <f>VLOOKUP(D102,Assumptions!$B$50:$D$59,2,FALSE)*H102*INDEX(Assumptions!$C$36:$C$38,2)</f>
        <v/>
      </c>
      <c r="G102" s="25">
        <f>VLOOKUP(D102,Assumptions!$B$50:$D$59,2,FALSE)*H102*INDEX(Assumptions!$C$36:$C$38,3)</f>
        <v/>
      </c>
      <c r="H102" s="26">
        <f>VLOOKUP(C102,Assumptions!$B$27:$C$31,2,FALSE)</f>
        <v/>
      </c>
    </row>
    <row r="103">
      <c r="B103" s="7" t="inlineStr">
        <is>
          <t>SI-T2-A</t>
        </is>
      </c>
      <c r="C103" s="21" t="inlineStr">
        <is>
          <t>SI-T2</t>
        </is>
      </c>
      <c r="D103" s="11" t="inlineStr">
        <is>
          <t>Senior</t>
        </is>
      </c>
      <c r="E103" s="25">
        <f>VLOOKUP(D103,Assumptions!$B$50:$D$59,2,FALSE)*H103*INDEX(Assumptions!$C$36:$C$38,1)</f>
        <v/>
      </c>
      <c r="F103" s="25">
        <f>VLOOKUP(D103,Assumptions!$B$50:$D$59,2,FALSE)*H103*INDEX(Assumptions!$C$36:$C$38,2)</f>
        <v/>
      </c>
      <c r="G103" s="25">
        <f>VLOOKUP(D103,Assumptions!$B$50:$D$59,2,FALSE)*H103*INDEX(Assumptions!$C$36:$C$38,3)</f>
        <v/>
      </c>
      <c r="H103" s="26">
        <f>VLOOKUP(C103,Assumptions!$B$27:$C$31,2,FALSE)</f>
        <v/>
      </c>
    </row>
    <row r="104">
      <c r="B104" s="7" t="inlineStr">
        <is>
          <t>SI-T2-A</t>
        </is>
      </c>
      <c r="C104" s="21" t="inlineStr">
        <is>
          <t>SI-T2</t>
        </is>
      </c>
      <c r="D104" s="11" t="inlineStr">
        <is>
          <t>Intermediate</t>
        </is>
      </c>
      <c r="E104" s="25">
        <f>VLOOKUP(D104,Assumptions!$B$50:$D$59,2,FALSE)*H104*INDEX(Assumptions!$C$36:$C$38,1)</f>
        <v/>
      </c>
      <c r="F104" s="25">
        <f>VLOOKUP(D104,Assumptions!$B$50:$D$59,2,FALSE)*H104*INDEX(Assumptions!$C$36:$C$38,2)</f>
        <v/>
      </c>
      <c r="G104" s="25">
        <f>VLOOKUP(D104,Assumptions!$B$50:$D$59,2,FALSE)*H104*INDEX(Assumptions!$C$36:$C$38,3)</f>
        <v/>
      </c>
      <c r="H104" s="26">
        <f>VLOOKUP(C104,Assumptions!$B$27:$C$31,2,FALSE)</f>
        <v/>
      </c>
    </row>
    <row r="105">
      <c r="B105" s="7" t="inlineStr">
        <is>
          <t>SI-T2-A</t>
        </is>
      </c>
      <c r="C105" s="21" t="inlineStr">
        <is>
          <t>SI-T2</t>
        </is>
      </c>
      <c r="D105" s="11" t="inlineStr">
        <is>
          <t>Junior</t>
        </is>
      </c>
      <c r="E105" s="25">
        <f>VLOOKUP(D105,Assumptions!$B$50:$D$59,2,FALSE)*H105*INDEX(Assumptions!$C$36:$C$38,1)</f>
        <v/>
      </c>
      <c r="F105" s="25">
        <f>VLOOKUP(D105,Assumptions!$B$50:$D$59,2,FALSE)*H105*INDEX(Assumptions!$C$36:$C$38,2)</f>
        <v/>
      </c>
      <c r="G105" s="25">
        <f>VLOOKUP(D105,Assumptions!$B$50:$D$59,2,FALSE)*H105*INDEX(Assumptions!$C$36:$C$38,3)</f>
        <v/>
      </c>
      <c r="H105" s="26">
        <f>VLOOKUP(C105,Assumptions!$B$27:$C$31,2,FALSE)</f>
        <v/>
      </c>
    </row>
    <row r="106">
      <c r="B106" s="7" t="inlineStr">
        <is>
          <t>SI-T2-B</t>
        </is>
      </c>
      <c r="C106" s="21" t="inlineStr">
        <is>
          <t>SI-T2</t>
        </is>
      </c>
      <c r="D106" s="11" t="inlineStr">
        <is>
          <t>Partner</t>
        </is>
      </c>
      <c r="E106" s="25">
        <f>VLOOKUP(D106,Assumptions!$B$50:$D$59,2,FALSE)*H106*INDEX(Assumptions!$C$36:$C$38,1)</f>
        <v/>
      </c>
      <c r="F106" s="25">
        <f>VLOOKUP(D106,Assumptions!$B$50:$D$59,2,FALSE)*H106*INDEX(Assumptions!$C$36:$C$38,2)</f>
        <v/>
      </c>
      <c r="G106" s="25">
        <f>VLOOKUP(D106,Assumptions!$B$50:$D$59,2,FALSE)*H106*INDEX(Assumptions!$C$36:$C$38,3)</f>
        <v/>
      </c>
      <c r="H106" s="26">
        <f>VLOOKUP(C106,Assumptions!$B$27:$C$31,2,FALSE)</f>
        <v/>
      </c>
    </row>
    <row r="107">
      <c r="B107" s="7" t="inlineStr">
        <is>
          <t>SI-T2-B</t>
        </is>
      </c>
      <c r="C107" s="21" t="inlineStr">
        <is>
          <t>SI-T2</t>
        </is>
      </c>
      <c r="D107" s="11" t="inlineStr">
        <is>
          <t>Managing Director</t>
        </is>
      </c>
      <c r="E107" s="25">
        <f>VLOOKUP(D107,Assumptions!$B$50:$D$59,2,FALSE)*H107*INDEX(Assumptions!$C$36:$C$38,1)</f>
        <v/>
      </c>
      <c r="F107" s="25">
        <f>VLOOKUP(D107,Assumptions!$B$50:$D$59,2,FALSE)*H107*INDEX(Assumptions!$C$36:$C$38,2)</f>
        <v/>
      </c>
      <c r="G107" s="25">
        <f>VLOOKUP(D107,Assumptions!$B$50:$D$59,2,FALSE)*H107*INDEX(Assumptions!$C$36:$C$38,3)</f>
        <v/>
      </c>
      <c r="H107" s="26">
        <f>VLOOKUP(C107,Assumptions!$B$27:$C$31,2,FALSE)</f>
        <v/>
      </c>
    </row>
    <row r="108">
      <c r="B108" s="7" t="inlineStr">
        <is>
          <t>SI-T2-B</t>
        </is>
      </c>
      <c r="C108" s="21" t="inlineStr">
        <is>
          <t>SI-T2</t>
        </is>
      </c>
      <c r="D108" s="11" t="inlineStr">
        <is>
          <t>Principal</t>
        </is>
      </c>
      <c r="E108" s="25">
        <f>VLOOKUP(D108,Assumptions!$B$50:$D$59,2,FALSE)*H108*INDEX(Assumptions!$C$36:$C$38,1)</f>
        <v/>
      </c>
      <c r="F108" s="25">
        <f>VLOOKUP(D108,Assumptions!$B$50:$D$59,2,FALSE)*H108*INDEX(Assumptions!$C$36:$C$38,2)</f>
        <v/>
      </c>
      <c r="G108" s="25">
        <f>VLOOKUP(D108,Assumptions!$B$50:$D$59,2,FALSE)*H108*INDEX(Assumptions!$C$36:$C$38,3)</f>
        <v/>
      </c>
      <c r="H108" s="26">
        <f>VLOOKUP(C108,Assumptions!$B$27:$C$31,2,FALSE)</f>
        <v/>
      </c>
    </row>
    <row r="109">
      <c r="B109" s="7" t="inlineStr">
        <is>
          <t>SI-T2-B</t>
        </is>
      </c>
      <c r="C109" s="21" t="inlineStr">
        <is>
          <t>SI-T2</t>
        </is>
      </c>
      <c r="D109" s="11" t="inlineStr">
        <is>
          <t>Director</t>
        </is>
      </c>
      <c r="E109" s="25">
        <f>VLOOKUP(D109,Assumptions!$B$50:$D$59,2,FALSE)*H109*INDEX(Assumptions!$C$36:$C$38,1)</f>
        <v/>
      </c>
      <c r="F109" s="25">
        <f>VLOOKUP(D109,Assumptions!$B$50:$D$59,2,FALSE)*H109*INDEX(Assumptions!$C$36:$C$38,2)</f>
        <v/>
      </c>
      <c r="G109" s="25">
        <f>VLOOKUP(D109,Assumptions!$B$50:$D$59,2,FALSE)*H109*INDEX(Assumptions!$C$36:$C$38,3)</f>
        <v/>
      </c>
      <c r="H109" s="26">
        <f>VLOOKUP(C109,Assumptions!$B$27:$C$31,2,FALSE)</f>
        <v/>
      </c>
    </row>
    <row r="110">
      <c r="B110" s="7" t="inlineStr">
        <is>
          <t>SI-T2-B</t>
        </is>
      </c>
      <c r="C110" s="21" t="inlineStr">
        <is>
          <t>SI-T2</t>
        </is>
      </c>
      <c r="D110" s="11" t="inlineStr">
        <is>
          <t>Senior Manager</t>
        </is>
      </c>
      <c r="E110" s="25">
        <f>VLOOKUP(D110,Assumptions!$B$50:$D$59,2,FALSE)*H110*INDEX(Assumptions!$C$36:$C$38,1)</f>
        <v/>
      </c>
      <c r="F110" s="25">
        <f>VLOOKUP(D110,Assumptions!$B$50:$D$59,2,FALSE)*H110*INDEX(Assumptions!$C$36:$C$38,2)</f>
        <v/>
      </c>
      <c r="G110" s="25">
        <f>VLOOKUP(D110,Assumptions!$B$50:$D$59,2,FALSE)*H110*INDEX(Assumptions!$C$36:$C$38,3)</f>
        <v/>
      </c>
      <c r="H110" s="26">
        <f>VLOOKUP(C110,Assumptions!$B$27:$C$31,2,FALSE)</f>
        <v/>
      </c>
    </row>
    <row r="111">
      <c r="B111" s="7" t="inlineStr">
        <is>
          <t>SI-T2-B</t>
        </is>
      </c>
      <c r="C111" s="21" t="inlineStr">
        <is>
          <t>SI-T2</t>
        </is>
      </c>
      <c r="D111" s="11" t="inlineStr">
        <is>
          <t>Manager</t>
        </is>
      </c>
      <c r="E111" s="25">
        <f>VLOOKUP(D111,Assumptions!$B$50:$D$59,2,FALSE)*H111*INDEX(Assumptions!$C$36:$C$38,1)</f>
        <v/>
      </c>
      <c r="F111" s="25">
        <f>VLOOKUP(D111,Assumptions!$B$50:$D$59,2,FALSE)*H111*INDEX(Assumptions!$C$36:$C$38,2)</f>
        <v/>
      </c>
      <c r="G111" s="25">
        <f>VLOOKUP(D111,Assumptions!$B$50:$D$59,2,FALSE)*H111*INDEX(Assumptions!$C$36:$C$38,3)</f>
        <v/>
      </c>
      <c r="H111" s="26">
        <f>VLOOKUP(C111,Assumptions!$B$27:$C$31,2,FALSE)</f>
        <v/>
      </c>
    </row>
    <row r="112">
      <c r="B112" s="7" t="inlineStr">
        <is>
          <t>SI-T2-B</t>
        </is>
      </c>
      <c r="C112" s="21" t="inlineStr">
        <is>
          <t>SI-T2</t>
        </is>
      </c>
      <c r="D112" s="11" t="inlineStr">
        <is>
          <t>Lead</t>
        </is>
      </c>
      <c r="E112" s="25">
        <f>VLOOKUP(D112,Assumptions!$B$50:$D$59,2,FALSE)*H112*INDEX(Assumptions!$C$36:$C$38,1)</f>
        <v/>
      </c>
      <c r="F112" s="25">
        <f>VLOOKUP(D112,Assumptions!$B$50:$D$59,2,FALSE)*H112*INDEX(Assumptions!$C$36:$C$38,2)</f>
        <v/>
      </c>
      <c r="G112" s="25">
        <f>VLOOKUP(D112,Assumptions!$B$50:$D$59,2,FALSE)*H112*INDEX(Assumptions!$C$36:$C$38,3)</f>
        <v/>
      </c>
      <c r="H112" s="26">
        <f>VLOOKUP(C112,Assumptions!$B$27:$C$31,2,FALSE)</f>
        <v/>
      </c>
    </row>
    <row r="113">
      <c r="B113" s="7" t="inlineStr">
        <is>
          <t>SI-T2-B</t>
        </is>
      </c>
      <c r="C113" s="21" t="inlineStr">
        <is>
          <t>SI-T2</t>
        </is>
      </c>
      <c r="D113" s="11" t="inlineStr">
        <is>
          <t>Senior</t>
        </is>
      </c>
      <c r="E113" s="25">
        <f>VLOOKUP(D113,Assumptions!$B$50:$D$59,2,FALSE)*H113*INDEX(Assumptions!$C$36:$C$38,1)</f>
        <v/>
      </c>
      <c r="F113" s="25">
        <f>VLOOKUP(D113,Assumptions!$B$50:$D$59,2,FALSE)*H113*INDEX(Assumptions!$C$36:$C$38,2)</f>
        <v/>
      </c>
      <c r="G113" s="25">
        <f>VLOOKUP(D113,Assumptions!$B$50:$D$59,2,FALSE)*H113*INDEX(Assumptions!$C$36:$C$38,3)</f>
        <v/>
      </c>
      <c r="H113" s="26">
        <f>VLOOKUP(C113,Assumptions!$B$27:$C$31,2,FALSE)</f>
        <v/>
      </c>
    </row>
    <row r="114">
      <c r="B114" s="7" t="inlineStr">
        <is>
          <t>SI-T2-B</t>
        </is>
      </c>
      <c r="C114" s="21" t="inlineStr">
        <is>
          <t>SI-T2</t>
        </is>
      </c>
      <c r="D114" s="11" t="inlineStr">
        <is>
          <t>Intermediate</t>
        </is>
      </c>
      <c r="E114" s="25">
        <f>VLOOKUP(D114,Assumptions!$B$50:$D$59,2,FALSE)*H114*INDEX(Assumptions!$C$36:$C$38,1)</f>
        <v/>
      </c>
      <c r="F114" s="25">
        <f>VLOOKUP(D114,Assumptions!$B$50:$D$59,2,FALSE)*H114*INDEX(Assumptions!$C$36:$C$38,2)</f>
        <v/>
      </c>
      <c r="G114" s="25">
        <f>VLOOKUP(D114,Assumptions!$B$50:$D$59,2,FALSE)*H114*INDEX(Assumptions!$C$36:$C$38,3)</f>
        <v/>
      </c>
      <c r="H114" s="26">
        <f>VLOOKUP(C114,Assumptions!$B$27:$C$31,2,FALSE)</f>
        <v/>
      </c>
    </row>
    <row r="115">
      <c r="B115" s="7" t="inlineStr">
        <is>
          <t>SI-T2-B</t>
        </is>
      </c>
      <c r="C115" s="21" t="inlineStr">
        <is>
          <t>SI-T2</t>
        </is>
      </c>
      <c r="D115" s="11" t="inlineStr">
        <is>
          <t>Junior</t>
        </is>
      </c>
      <c r="E115" s="25">
        <f>VLOOKUP(D115,Assumptions!$B$50:$D$59,2,FALSE)*H115*INDEX(Assumptions!$C$36:$C$38,1)</f>
        <v/>
      </c>
      <c r="F115" s="25">
        <f>VLOOKUP(D115,Assumptions!$B$50:$D$59,2,FALSE)*H115*INDEX(Assumptions!$C$36:$C$38,2)</f>
        <v/>
      </c>
      <c r="G115" s="25">
        <f>VLOOKUP(D115,Assumptions!$B$50:$D$59,2,FALSE)*H115*INDEX(Assumptions!$C$36:$C$38,3)</f>
        <v/>
      </c>
      <c r="H115" s="26">
        <f>VLOOKUP(C115,Assumptions!$B$27:$C$31,2,FALSE)</f>
        <v/>
      </c>
    </row>
    <row r="116">
      <c r="B116" s="7" t="inlineStr">
        <is>
          <t>SI-T2-C</t>
        </is>
      </c>
      <c r="C116" s="21" t="inlineStr">
        <is>
          <t>SI-T2</t>
        </is>
      </c>
      <c r="D116" s="11" t="inlineStr">
        <is>
          <t>Partner</t>
        </is>
      </c>
      <c r="E116" s="25">
        <f>VLOOKUP(D116,Assumptions!$B$50:$D$59,2,FALSE)*H116*INDEX(Assumptions!$C$36:$C$38,1)</f>
        <v/>
      </c>
      <c r="F116" s="25">
        <f>VLOOKUP(D116,Assumptions!$B$50:$D$59,2,FALSE)*H116*INDEX(Assumptions!$C$36:$C$38,2)</f>
        <v/>
      </c>
      <c r="G116" s="25">
        <f>VLOOKUP(D116,Assumptions!$B$50:$D$59,2,FALSE)*H116*INDEX(Assumptions!$C$36:$C$38,3)</f>
        <v/>
      </c>
      <c r="H116" s="26">
        <f>VLOOKUP(C116,Assumptions!$B$27:$C$31,2,FALSE)</f>
        <v/>
      </c>
    </row>
    <row r="117">
      <c r="B117" s="7" t="inlineStr">
        <is>
          <t>SI-T2-C</t>
        </is>
      </c>
      <c r="C117" s="21" t="inlineStr">
        <is>
          <t>SI-T2</t>
        </is>
      </c>
      <c r="D117" s="11" t="inlineStr">
        <is>
          <t>Managing Director</t>
        </is>
      </c>
      <c r="E117" s="25">
        <f>VLOOKUP(D117,Assumptions!$B$50:$D$59,2,FALSE)*H117*INDEX(Assumptions!$C$36:$C$38,1)</f>
        <v/>
      </c>
      <c r="F117" s="25">
        <f>VLOOKUP(D117,Assumptions!$B$50:$D$59,2,FALSE)*H117*INDEX(Assumptions!$C$36:$C$38,2)</f>
        <v/>
      </c>
      <c r="G117" s="25">
        <f>VLOOKUP(D117,Assumptions!$B$50:$D$59,2,FALSE)*H117*INDEX(Assumptions!$C$36:$C$38,3)</f>
        <v/>
      </c>
      <c r="H117" s="26">
        <f>VLOOKUP(C117,Assumptions!$B$27:$C$31,2,FALSE)</f>
        <v/>
      </c>
    </row>
    <row r="118">
      <c r="B118" s="7" t="inlineStr">
        <is>
          <t>SI-T2-C</t>
        </is>
      </c>
      <c r="C118" s="21" t="inlineStr">
        <is>
          <t>SI-T2</t>
        </is>
      </c>
      <c r="D118" s="11" t="inlineStr">
        <is>
          <t>Principal</t>
        </is>
      </c>
      <c r="E118" s="25">
        <f>VLOOKUP(D118,Assumptions!$B$50:$D$59,2,FALSE)*H118*INDEX(Assumptions!$C$36:$C$38,1)</f>
        <v/>
      </c>
      <c r="F118" s="25">
        <f>VLOOKUP(D118,Assumptions!$B$50:$D$59,2,FALSE)*H118*INDEX(Assumptions!$C$36:$C$38,2)</f>
        <v/>
      </c>
      <c r="G118" s="25">
        <f>VLOOKUP(D118,Assumptions!$B$50:$D$59,2,FALSE)*H118*INDEX(Assumptions!$C$36:$C$38,3)</f>
        <v/>
      </c>
      <c r="H118" s="26">
        <f>VLOOKUP(C118,Assumptions!$B$27:$C$31,2,FALSE)</f>
        <v/>
      </c>
    </row>
    <row r="119">
      <c r="B119" s="7" t="inlineStr">
        <is>
          <t>SI-T2-C</t>
        </is>
      </c>
      <c r="C119" s="21" t="inlineStr">
        <is>
          <t>SI-T2</t>
        </is>
      </c>
      <c r="D119" s="11" t="inlineStr">
        <is>
          <t>Director</t>
        </is>
      </c>
      <c r="E119" s="25">
        <f>VLOOKUP(D119,Assumptions!$B$50:$D$59,2,FALSE)*H119*INDEX(Assumptions!$C$36:$C$38,1)</f>
        <v/>
      </c>
      <c r="F119" s="25">
        <f>VLOOKUP(D119,Assumptions!$B$50:$D$59,2,FALSE)*H119*INDEX(Assumptions!$C$36:$C$38,2)</f>
        <v/>
      </c>
      <c r="G119" s="25">
        <f>VLOOKUP(D119,Assumptions!$B$50:$D$59,2,FALSE)*H119*INDEX(Assumptions!$C$36:$C$38,3)</f>
        <v/>
      </c>
      <c r="H119" s="26">
        <f>VLOOKUP(C119,Assumptions!$B$27:$C$31,2,FALSE)</f>
        <v/>
      </c>
    </row>
    <row r="120">
      <c r="B120" s="7" t="inlineStr">
        <is>
          <t>SI-T2-C</t>
        </is>
      </c>
      <c r="C120" s="21" t="inlineStr">
        <is>
          <t>SI-T2</t>
        </is>
      </c>
      <c r="D120" s="11" t="inlineStr">
        <is>
          <t>Senior Manager</t>
        </is>
      </c>
      <c r="E120" s="25">
        <f>VLOOKUP(D120,Assumptions!$B$50:$D$59,2,FALSE)*H120*INDEX(Assumptions!$C$36:$C$38,1)</f>
        <v/>
      </c>
      <c r="F120" s="25">
        <f>VLOOKUP(D120,Assumptions!$B$50:$D$59,2,FALSE)*H120*INDEX(Assumptions!$C$36:$C$38,2)</f>
        <v/>
      </c>
      <c r="G120" s="25">
        <f>VLOOKUP(D120,Assumptions!$B$50:$D$59,2,FALSE)*H120*INDEX(Assumptions!$C$36:$C$38,3)</f>
        <v/>
      </c>
      <c r="H120" s="26">
        <f>VLOOKUP(C120,Assumptions!$B$27:$C$31,2,FALSE)</f>
        <v/>
      </c>
    </row>
    <row r="121">
      <c r="B121" s="7" t="inlineStr">
        <is>
          <t>SI-T2-C</t>
        </is>
      </c>
      <c r="C121" s="21" t="inlineStr">
        <is>
          <t>SI-T2</t>
        </is>
      </c>
      <c r="D121" s="11" t="inlineStr">
        <is>
          <t>Manager</t>
        </is>
      </c>
      <c r="E121" s="25">
        <f>VLOOKUP(D121,Assumptions!$B$50:$D$59,2,FALSE)*H121*INDEX(Assumptions!$C$36:$C$38,1)</f>
        <v/>
      </c>
      <c r="F121" s="25">
        <f>VLOOKUP(D121,Assumptions!$B$50:$D$59,2,FALSE)*H121*INDEX(Assumptions!$C$36:$C$38,2)</f>
        <v/>
      </c>
      <c r="G121" s="25">
        <f>VLOOKUP(D121,Assumptions!$B$50:$D$59,2,FALSE)*H121*INDEX(Assumptions!$C$36:$C$38,3)</f>
        <v/>
      </c>
      <c r="H121" s="26">
        <f>VLOOKUP(C121,Assumptions!$B$27:$C$31,2,FALSE)</f>
        <v/>
      </c>
    </row>
    <row r="122">
      <c r="B122" s="7" t="inlineStr">
        <is>
          <t>SI-T2-C</t>
        </is>
      </c>
      <c r="C122" s="21" t="inlineStr">
        <is>
          <t>SI-T2</t>
        </is>
      </c>
      <c r="D122" s="11" t="inlineStr">
        <is>
          <t>Lead</t>
        </is>
      </c>
      <c r="E122" s="25">
        <f>VLOOKUP(D122,Assumptions!$B$50:$D$59,2,FALSE)*H122*INDEX(Assumptions!$C$36:$C$38,1)</f>
        <v/>
      </c>
      <c r="F122" s="25">
        <f>VLOOKUP(D122,Assumptions!$B$50:$D$59,2,FALSE)*H122*INDEX(Assumptions!$C$36:$C$38,2)</f>
        <v/>
      </c>
      <c r="G122" s="25">
        <f>VLOOKUP(D122,Assumptions!$B$50:$D$59,2,FALSE)*H122*INDEX(Assumptions!$C$36:$C$38,3)</f>
        <v/>
      </c>
      <c r="H122" s="26">
        <f>VLOOKUP(C122,Assumptions!$B$27:$C$31,2,FALSE)</f>
        <v/>
      </c>
    </row>
    <row r="123">
      <c r="B123" s="7" t="inlineStr">
        <is>
          <t>SI-T2-C</t>
        </is>
      </c>
      <c r="C123" s="21" t="inlineStr">
        <is>
          <t>SI-T2</t>
        </is>
      </c>
      <c r="D123" s="11" t="inlineStr">
        <is>
          <t>Senior</t>
        </is>
      </c>
      <c r="E123" s="25">
        <f>VLOOKUP(D123,Assumptions!$B$50:$D$59,2,FALSE)*H123*INDEX(Assumptions!$C$36:$C$38,1)</f>
        <v/>
      </c>
      <c r="F123" s="25">
        <f>VLOOKUP(D123,Assumptions!$B$50:$D$59,2,FALSE)*H123*INDEX(Assumptions!$C$36:$C$38,2)</f>
        <v/>
      </c>
      <c r="G123" s="25">
        <f>VLOOKUP(D123,Assumptions!$B$50:$D$59,2,FALSE)*H123*INDEX(Assumptions!$C$36:$C$38,3)</f>
        <v/>
      </c>
      <c r="H123" s="26">
        <f>VLOOKUP(C123,Assumptions!$B$27:$C$31,2,FALSE)</f>
        <v/>
      </c>
    </row>
    <row r="124">
      <c r="B124" s="7" t="inlineStr">
        <is>
          <t>SI-T2-C</t>
        </is>
      </c>
      <c r="C124" s="21" t="inlineStr">
        <is>
          <t>SI-T2</t>
        </is>
      </c>
      <c r="D124" s="11" t="inlineStr">
        <is>
          <t>Intermediate</t>
        </is>
      </c>
      <c r="E124" s="25">
        <f>VLOOKUP(D124,Assumptions!$B$50:$D$59,2,FALSE)*H124*INDEX(Assumptions!$C$36:$C$38,1)</f>
        <v/>
      </c>
      <c r="F124" s="25">
        <f>VLOOKUP(D124,Assumptions!$B$50:$D$59,2,FALSE)*H124*INDEX(Assumptions!$C$36:$C$38,2)</f>
        <v/>
      </c>
      <c r="G124" s="25">
        <f>VLOOKUP(D124,Assumptions!$B$50:$D$59,2,FALSE)*H124*INDEX(Assumptions!$C$36:$C$38,3)</f>
        <v/>
      </c>
      <c r="H124" s="26">
        <f>VLOOKUP(C124,Assumptions!$B$27:$C$31,2,FALSE)</f>
        <v/>
      </c>
    </row>
    <row r="125">
      <c r="B125" s="7" t="inlineStr">
        <is>
          <t>SI-T2-C</t>
        </is>
      </c>
      <c r="C125" s="21" t="inlineStr">
        <is>
          <t>SI-T2</t>
        </is>
      </c>
      <c r="D125" s="11" t="inlineStr">
        <is>
          <t>Junior</t>
        </is>
      </c>
      <c r="E125" s="25">
        <f>VLOOKUP(D125,Assumptions!$B$50:$D$59,2,FALSE)*H125*INDEX(Assumptions!$C$36:$C$38,1)</f>
        <v/>
      </c>
      <c r="F125" s="25">
        <f>VLOOKUP(D125,Assumptions!$B$50:$D$59,2,FALSE)*H125*INDEX(Assumptions!$C$36:$C$38,2)</f>
        <v/>
      </c>
      <c r="G125" s="25">
        <f>VLOOKUP(D125,Assumptions!$B$50:$D$59,2,FALSE)*H125*INDEX(Assumptions!$C$36:$C$38,3)</f>
        <v/>
      </c>
      <c r="H125" s="26">
        <f>VLOOKUP(C125,Assumptions!$B$27:$C$31,2,FALSE)</f>
        <v/>
      </c>
    </row>
    <row r="126">
      <c r="B126" s="7" t="inlineStr">
        <is>
          <t>SI-T2-D</t>
        </is>
      </c>
      <c r="C126" s="21" t="inlineStr">
        <is>
          <t>SI-T2</t>
        </is>
      </c>
      <c r="D126" s="11" t="inlineStr">
        <is>
          <t>Partner</t>
        </is>
      </c>
      <c r="E126" s="25">
        <f>VLOOKUP(D126,Assumptions!$B$50:$D$59,2,FALSE)*H126*INDEX(Assumptions!$C$36:$C$38,1)</f>
        <v/>
      </c>
      <c r="F126" s="25">
        <f>VLOOKUP(D126,Assumptions!$B$50:$D$59,2,FALSE)*H126*INDEX(Assumptions!$C$36:$C$38,2)</f>
        <v/>
      </c>
      <c r="G126" s="25">
        <f>VLOOKUP(D126,Assumptions!$B$50:$D$59,2,FALSE)*H126*INDEX(Assumptions!$C$36:$C$38,3)</f>
        <v/>
      </c>
      <c r="H126" s="26">
        <f>VLOOKUP(C126,Assumptions!$B$27:$C$31,2,FALSE)</f>
        <v/>
      </c>
    </row>
    <row r="127">
      <c r="B127" s="7" t="inlineStr">
        <is>
          <t>SI-T2-D</t>
        </is>
      </c>
      <c r="C127" s="21" t="inlineStr">
        <is>
          <t>SI-T2</t>
        </is>
      </c>
      <c r="D127" s="11" t="inlineStr">
        <is>
          <t>Managing Director</t>
        </is>
      </c>
      <c r="E127" s="25">
        <f>VLOOKUP(D127,Assumptions!$B$50:$D$59,2,FALSE)*H127*INDEX(Assumptions!$C$36:$C$38,1)</f>
        <v/>
      </c>
      <c r="F127" s="25">
        <f>VLOOKUP(D127,Assumptions!$B$50:$D$59,2,FALSE)*H127*INDEX(Assumptions!$C$36:$C$38,2)</f>
        <v/>
      </c>
      <c r="G127" s="25">
        <f>VLOOKUP(D127,Assumptions!$B$50:$D$59,2,FALSE)*H127*INDEX(Assumptions!$C$36:$C$38,3)</f>
        <v/>
      </c>
      <c r="H127" s="26">
        <f>VLOOKUP(C127,Assumptions!$B$27:$C$31,2,FALSE)</f>
        <v/>
      </c>
    </row>
    <row r="128">
      <c r="B128" s="7" t="inlineStr">
        <is>
          <t>SI-T2-D</t>
        </is>
      </c>
      <c r="C128" s="21" t="inlineStr">
        <is>
          <t>SI-T2</t>
        </is>
      </c>
      <c r="D128" s="11" t="inlineStr">
        <is>
          <t>Principal</t>
        </is>
      </c>
      <c r="E128" s="25">
        <f>VLOOKUP(D128,Assumptions!$B$50:$D$59,2,FALSE)*H128*INDEX(Assumptions!$C$36:$C$38,1)</f>
        <v/>
      </c>
      <c r="F128" s="25">
        <f>VLOOKUP(D128,Assumptions!$B$50:$D$59,2,FALSE)*H128*INDEX(Assumptions!$C$36:$C$38,2)</f>
        <v/>
      </c>
      <c r="G128" s="25">
        <f>VLOOKUP(D128,Assumptions!$B$50:$D$59,2,FALSE)*H128*INDEX(Assumptions!$C$36:$C$38,3)</f>
        <v/>
      </c>
      <c r="H128" s="26">
        <f>VLOOKUP(C128,Assumptions!$B$27:$C$31,2,FALSE)</f>
        <v/>
      </c>
    </row>
    <row r="129">
      <c r="B129" s="7" t="inlineStr">
        <is>
          <t>SI-T2-D</t>
        </is>
      </c>
      <c r="C129" s="21" t="inlineStr">
        <is>
          <t>SI-T2</t>
        </is>
      </c>
      <c r="D129" s="11" t="inlineStr">
        <is>
          <t>Director</t>
        </is>
      </c>
      <c r="E129" s="25">
        <f>VLOOKUP(D129,Assumptions!$B$50:$D$59,2,FALSE)*H129*INDEX(Assumptions!$C$36:$C$38,1)</f>
        <v/>
      </c>
      <c r="F129" s="25">
        <f>VLOOKUP(D129,Assumptions!$B$50:$D$59,2,FALSE)*H129*INDEX(Assumptions!$C$36:$C$38,2)</f>
        <v/>
      </c>
      <c r="G129" s="25">
        <f>VLOOKUP(D129,Assumptions!$B$50:$D$59,2,FALSE)*H129*INDEX(Assumptions!$C$36:$C$38,3)</f>
        <v/>
      </c>
      <c r="H129" s="26">
        <f>VLOOKUP(C129,Assumptions!$B$27:$C$31,2,FALSE)</f>
        <v/>
      </c>
    </row>
    <row r="130">
      <c r="B130" s="7" t="inlineStr">
        <is>
          <t>SI-T2-D</t>
        </is>
      </c>
      <c r="C130" s="21" t="inlineStr">
        <is>
          <t>SI-T2</t>
        </is>
      </c>
      <c r="D130" s="11" t="inlineStr">
        <is>
          <t>Senior Manager</t>
        </is>
      </c>
      <c r="E130" s="25">
        <f>VLOOKUP(D130,Assumptions!$B$50:$D$59,2,FALSE)*H130*INDEX(Assumptions!$C$36:$C$38,1)</f>
        <v/>
      </c>
      <c r="F130" s="25">
        <f>VLOOKUP(D130,Assumptions!$B$50:$D$59,2,FALSE)*H130*INDEX(Assumptions!$C$36:$C$38,2)</f>
        <v/>
      </c>
      <c r="G130" s="25">
        <f>VLOOKUP(D130,Assumptions!$B$50:$D$59,2,FALSE)*H130*INDEX(Assumptions!$C$36:$C$38,3)</f>
        <v/>
      </c>
      <c r="H130" s="26">
        <f>VLOOKUP(C130,Assumptions!$B$27:$C$31,2,FALSE)</f>
        <v/>
      </c>
    </row>
    <row r="131">
      <c r="B131" s="7" t="inlineStr">
        <is>
          <t>SI-T2-D</t>
        </is>
      </c>
      <c r="C131" s="21" t="inlineStr">
        <is>
          <t>SI-T2</t>
        </is>
      </c>
      <c r="D131" s="11" t="inlineStr">
        <is>
          <t>Manager</t>
        </is>
      </c>
      <c r="E131" s="25">
        <f>VLOOKUP(D131,Assumptions!$B$50:$D$59,2,FALSE)*H131*INDEX(Assumptions!$C$36:$C$38,1)</f>
        <v/>
      </c>
      <c r="F131" s="25">
        <f>VLOOKUP(D131,Assumptions!$B$50:$D$59,2,FALSE)*H131*INDEX(Assumptions!$C$36:$C$38,2)</f>
        <v/>
      </c>
      <c r="G131" s="25">
        <f>VLOOKUP(D131,Assumptions!$B$50:$D$59,2,FALSE)*H131*INDEX(Assumptions!$C$36:$C$38,3)</f>
        <v/>
      </c>
      <c r="H131" s="26">
        <f>VLOOKUP(C131,Assumptions!$B$27:$C$31,2,FALSE)</f>
        <v/>
      </c>
    </row>
    <row r="132">
      <c r="B132" s="7" t="inlineStr">
        <is>
          <t>SI-T2-D</t>
        </is>
      </c>
      <c r="C132" s="21" t="inlineStr">
        <is>
          <t>SI-T2</t>
        </is>
      </c>
      <c r="D132" s="11" t="inlineStr">
        <is>
          <t>Lead</t>
        </is>
      </c>
      <c r="E132" s="25">
        <f>VLOOKUP(D132,Assumptions!$B$50:$D$59,2,FALSE)*H132*INDEX(Assumptions!$C$36:$C$38,1)</f>
        <v/>
      </c>
      <c r="F132" s="25">
        <f>VLOOKUP(D132,Assumptions!$B$50:$D$59,2,FALSE)*H132*INDEX(Assumptions!$C$36:$C$38,2)</f>
        <v/>
      </c>
      <c r="G132" s="25">
        <f>VLOOKUP(D132,Assumptions!$B$50:$D$59,2,FALSE)*H132*INDEX(Assumptions!$C$36:$C$38,3)</f>
        <v/>
      </c>
      <c r="H132" s="26">
        <f>VLOOKUP(C132,Assumptions!$B$27:$C$31,2,FALSE)</f>
        <v/>
      </c>
    </row>
    <row r="133">
      <c r="B133" s="7" t="inlineStr">
        <is>
          <t>SI-T2-D</t>
        </is>
      </c>
      <c r="C133" s="21" t="inlineStr">
        <is>
          <t>SI-T2</t>
        </is>
      </c>
      <c r="D133" s="11" t="inlineStr">
        <is>
          <t>Senior</t>
        </is>
      </c>
      <c r="E133" s="25">
        <f>VLOOKUP(D133,Assumptions!$B$50:$D$59,2,FALSE)*H133*INDEX(Assumptions!$C$36:$C$38,1)</f>
        <v/>
      </c>
      <c r="F133" s="25">
        <f>VLOOKUP(D133,Assumptions!$B$50:$D$59,2,FALSE)*H133*INDEX(Assumptions!$C$36:$C$38,2)</f>
        <v/>
      </c>
      <c r="G133" s="25">
        <f>VLOOKUP(D133,Assumptions!$B$50:$D$59,2,FALSE)*H133*INDEX(Assumptions!$C$36:$C$38,3)</f>
        <v/>
      </c>
      <c r="H133" s="26">
        <f>VLOOKUP(C133,Assumptions!$B$27:$C$31,2,FALSE)</f>
        <v/>
      </c>
    </row>
    <row r="134">
      <c r="B134" s="7" t="inlineStr">
        <is>
          <t>SI-T2-D</t>
        </is>
      </c>
      <c r="C134" s="21" t="inlineStr">
        <is>
          <t>SI-T2</t>
        </is>
      </c>
      <c r="D134" s="11" t="inlineStr">
        <is>
          <t>Intermediate</t>
        </is>
      </c>
      <c r="E134" s="25">
        <f>VLOOKUP(D134,Assumptions!$B$50:$D$59,2,FALSE)*H134*INDEX(Assumptions!$C$36:$C$38,1)</f>
        <v/>
      </c>
      <c r="F134" s="25">
        <f>VLOOKUP(D134,Assumptions!$B$50:$D$59,2,FALSE)*H134*INDEX(Assumptions!$C$36:$C$38,2)</f>
        <v/>
      </c>
      <c r="G134" s="25">
        <f>VLOOKUP(D134,Assumptions!$B$50:$D$59,2,FALSE)*H134*INDEX(Assumptions!$C$36:$C$38,3)</f>
        <v/>
      </c>
      <c r="H134" s="26">
        <f>VLOOKUP(C134,Assumptions!$B$27:$C$31,2,FALSE)</f>
        <v/>
      </c>
    </row>
    <row r="135">
      <c r="B135" s="7" t="inlineStr">
        <is>
          <t>SI-T2-D</t>
        </is>
      </c>
      <c r="C135" s="21" t="inlineStr">
        <is>
          <t>SI-T2</t>
        </is>
      </c>
      <c r="D135" s="11" t="inlineStr">
        <is>
          <t>Junior</t>
        </is>
      </c>
      <c r="E135" s="25">
        <f>VLOOKUP(D135,Assumptions!$B$50:$D$59,2,FALSE)*H135*INDEX(Assumptions!$C$36:$C$38,1)</f>
        <v/>
      </c>
      <c r="F135" s="25">
        <f>VLOOKUP(D135,Assumptions!$B$50:$D$59,2,FALSE)*H135*INDEX(Assumptions!$C$36:$C$38,2)</f>
        <v/>
      </c>
      <c r="G135" s="25">
        <f>VLOOKUP(D135,Assumptions!$B$50:$D$59,2,FALSE)*H135*INDEX(Assumptions!$C$36:$C$38,3)</f>
        <v/>
      </c>
      <c r="H135" s="26">
        <f>VLOOKUP(C135,Assumptions!$B$27:$C$31,2,FALSE)</f>
        <v/>
      </c>
    </row>
    <row r="136">
      <c r="B136" s="7" t="inlineStr">
        <is>
          <t>SI-T2-E</t>
        </is>
      </c>
      <c r="C136" s="21" t="inlineStr">
        <is>
          <t>SI-T2</t>
        </is>
      </c>
      <c r="D136" s="11" t="inlineStr">
        <is>
          <t>Partner</t>
        </is>
      </c>
      <c r="E136" s="25">
        <f>VLOOKUP(D136,Assumptions!$B$50:$D$59,2,FALSE)*H136*INDEX(Assumptions!$C$36:$C$38,1)</f>
        <v/>
      </c>
      <c r="F136" s="25">
        <f>VLOOKUP(D136,Assumptions!$B$50:$D$59,2,FALSE)*H136*INDEX(Assumptions!$C$36:$C$38,2)</f>
        <v/>
      </c>
      <c r="G136" s="25">
        <f>VLOOKUP(D136,Assumptions!$B$50:$D$59,2,FALSE)*H136*INDEX(Assumptions!$C$36:$C$38,3)</f>
        <v/>
      </c>
      <c r="H136" s="26">
        <f>VLOOKUP(C136,Assumptions!$B$27:$C$31,2,FALSE)</f>
        <v/>
      </c>
    </row>
    <row r="137">
      <c r="B137" s="7" t="inlineStr">
        <is>
          <t>SI-T2-E</t>
        </is>
      </c>
      <c r="C137" s="21" t="inlineStr">
        <is>
          <t>SI-T2</t>
        </is>
      </c>
      <c r="D137" s="11" t="inlineStr">
        <is>
          <t>Managing Director</t>
        </is>
      </c>
      <c r="E137" s="25">
        <f>VLOOKUP(D137,Assumptions!$B$50:$D$59,2,FALSE)*H137*INDEX(Assumptions!$C$36:$C$38,1)</f>
        <v/>
      </c>
      <c r="F137" s="25">
        <f>VLOOKUP(D137,Assumptions!$B$50:$D$59,2,FALSE)*H137*INDEX(Assumptions!$C$36:$C$38,2)</f>
        <v/>
      </c>
      <c r="G137" s="25">
        <f>VLOOKUP(D137,Assumptions!$B$50:$D$59,2,FALSE)*H137*INDEX(Assumptions!$C$36:$C$38,3)</f>
        <v/>
      </c>
      <c r="H137" s="26">
        <f>VLOOKUP(C137,Assumptions!$B$27:$C$31,2,FALSE)</f>
        <v/>
      </c>
    </row>
    <row r="138">
      <c r="B138" s="7" t="inlineStr">
        <is>
          <t>SI-T2-E</t>
        </is>
      </c>
      <c r="C138" s="21" t="inlineStr">
        <is>
          <t>SI-T2</t>
        </is>
      </c>
      <c r="D138" s="11" t="inlineStr">
        <is>
          <t>Principal</t>
        </is>
      </c>
      <c r="E138" s="25">
        <f>VLOOKUP(D138,Assumptions!$B$50:$D$59,2,FALSE)*H138*INDEX(Assumptions!$C$36:$C$38,1)</f>
        <v/>
      </c>
      <c r="F138" s="25">
        <f>VLOOKUP(D138,Assumptions!$B$50:$D$59,2,FALSE)*H138*INDEX(Assumptions!$C$36:$C$38,2)</f>
        <v/>
      </c>
      <c r="G138" s="25">
        <f>VLOOKUP(D138,Assumptions!$B$50:$D$59,2,FALSE)*H138*INDEX(Assumptions!$C$36:$C$38,3)</f>
        <v/>
      </c>
      <c r="H138" s="26">
        <f>VLOOKUP(C138,Assumptions!$B$27:$C$31,2,FALSE)</f>
        <v/>
      </c>
    </row>
    <row r="139">
      <c r="B139" s="7" t="inlineStr">
        <is>
          <t>SI-T2-E</t>
        </is>
      </c>
      <c r="C139" s="21" t="inlineStr">
        <is>
          <t>SI-T2</t>
        </is>
      </c>
      <c r="D139" s="11" t="inlineStr">
        <is>
          <t>Director</t>
        </is>
      </c>
      <c r="E139" s="25">
        <f>VLOOKUP(D139,Assumptions!$B$50:$D$59,2,FALSE)*H139*INDEX(Assumptions!$C$36:$C$38,1)</f>
        <v/>
      </c>
      <c r="F139" s="25">
        <f>VLOOKUP(D139,Assumptions!$B$50:$D$59,2,FALSE)*H139*INDEX(Assumptions!$C$36:$C$38,2)</f>
        <v/>
      </c>
      <c r="G139" s="25">
        <f>VLOOKUP(D139,Assumptions!$B$50:$D$59,2,FALSE)*H139*INDEX(Assumptions!$C$36:$C$38,3)</f>
        <v/>
      </c>
      <c r="H139" s="26">
        <f>VLOOKUP(C139,Assumptions!$B$27:$C$31,2,FALSE)</f>
        <v/>
      </c>
    </row>
    <row r="140">
      <c r="B140" s="7" t="inlineStr">
        <is>
          <t>SI-T2-E</t>
        </is>
      </c>
      <c r="C140" s="21" t="inlineStr">
        <is>
          <t>SI-T2</t>
        </is>
      </c>
      <c r="D140" s="11" t="inlineStr">
        <is>
          <t>Senior Manager</t>
        </is>
      </c>
      <c r="E140" s="25">
        <f>VLOOKUP(D140,Assumptions!$B$50:$D$59,2,FALSE)*H140*INDEX(Assumptions!$C$36:$C$38,1)</f>
        <v/>
      </c>
      <c r="F140" s="25">
        <f>VLOOKUP(D140,Assumptions!$B$50:$D$59,2,FALSE)*H140*INDEX(Assumptions!$C$36:$C$38,2)</f>
        <v/>
      </c>
      <c r="G140" s="25">
        <f>VLOOKUP(D140,Assumptions!$B$50:$D$59,2,FALSE)*H140*INDEX(Assumptions!$C$36:$C$38,3)</f>
        <v/>
      </c>
      <c r="H140" s="26">
        <f>VLOOKUP(C140,Assumptions!$B$27:$C$31,2,FALSE)</f>
        <v/>
      </c>
    </row>
    <row r="141">
      <c r="B141" s="7" t="inlineStr">
        <is>
          <t>SI-T2-E</t>
        </is>
      </c>
      <c r="C141" s="21" t="inlineStr">
        <is>
          <t>SI-T2</t>
        </is>
      </c>
      <c r="D141" s="11" t="inlineStr">
        <is>
          <t>Manager</t>
        </is>
      </c>
      <c r="E141" s="25">
        <f>VLOOKUP(D141,Assumptions!$B$50:$D$59,2,FALSE)*H141*INDEX(Assumptions!$C$36:$C$38,1)</f>
        <v/>
      </c>
      <c r="F141" s="25">
        <f>VLOOKUP(D141,Assumptions!$B$50:$D$59,2,FALSE)*H141*INDEX(Assumptions!$C$36:$C$38,2)</f>
        <v/>
      </c>
      <c r="G141" s="25">
        <f>VLOOKUP(D141,Assumptions!$B$50:$D$59,2,FALSE)*H141*INDEX(Assumptions!$C$36:$C$38,3)</f>
        <v/>
      </c>
      <c r="H141" s="26">
        <f>VLOOKUP(C141,Assumptions!$B$27:$C$31,2,FALSE)</f>
        <v/>
      </c>
    </row>
    <row r="142">
      <c r="B142" s="7" t="inlineStr">
        <is>
          <t>SI-T2-E</t>
        </is>
      </c>
      <c r="C142" s="21" t="inlineStr">
        <is>
          <t>SI-T2</t>
        </is>
      </c>
      <c r="D142" s="11" t="inlineStr">
        <is>
          <t>Lead</t>
        </is>
      </c>
      <c r="E142" s="25">
        <f>VLOOKUP(D142,Assumptions!$B$50:$D$59,2,FALSE)*H142*INDEX(Assumptions!$C$36:$C$38,1)</f>
        <v/>
      </c>
      <c r="F142" s="25">
        <f>VLOOKUP(D142,Assumptions!$B$50:$D$59,2,FALSE)*H142*INDEX(Assumptions!$C$36:$C$38,2)</f>
        <v/>
      </c>
      <c r="G142" s="25">
        <f>VLOOKUP(D142,Assumptions!$B$50:$D$59,2,FALSE)*H142*INDEX(Assumptions!$C$36:$C$38,3)</f>
        <v/>
      </c>
      <c r="H142" s="26">
        <f>VLOOKUP(C142,Assumptions!$B$27:$C$31,2,FALSE)</f>
        <v/>
      </c>
    </row>
    <row r="143">
      <c r="B143" s="7" t="inlineStr">
        <is>
          <t>SI-T2-E</t>
        </is>
      </c>
      <c r="C143" s="21" t="inlineStr">
        <is>
          <t>SI-T2</t>
        </is>
      </c>
      <c r="D143" s="11" t="inlineStr">
        <is>
          <t>Senior</t>
        </is>
      </c>
      <c r="E143" s="25">
        <f>VLOOKUP(D143,Assumptions!$B$50:$D$59,2,FALSE)*H143*INDEX(Assumptions!$C$36:$C$38,1)</f>
        <v/>
      </c>
      <c r="F143" s="25">
        <f>VLOOKUP(D143,Assumptions!$B$50:$D$59,2,FALSE)*H143*INDEX(Assumptions!$C$36:$C$38,2)</f>
        <v/>
      </c>
      <c r="G143" s="25">
        <f>VLOOKUP(D143,Assumptions!$B$50:$D$59,2,FALSE)*H143*INDEX(Assumptions!$C$36:$C$38,3)</f>
        <v/>
      </c>
      <c r="H143" s="26">
        <f>VLOOKUP(C143,Assumptions!$B$27:$C$31,2,FALSE)</f>
        <v/>
      </c>
    </row>
    <row r="144">
      <c r="B144" s="7" t="inlineStr">
        <is>
          <t>SI-T2-E</t>
        </is>
      </c>
      <c r="C144" s="21" t="inlineStr">
        <is>
          <t>SI-T2</t>
        </is>
      </c>
      <c r="D144" s="11" t="inlineStr">
        <is>
          <t>Intermediate</t>
        </is>
      </c>
      <c r="E144" s="25">
        <f>VLOOKUP(D144,Assumptions!$B$50:$D$59,2,FALSE)*H144*INDEX(Assumptions!$C$36:$C$38,1)</f>
        <v/>
      </c>
      <c r="F144" s="25">
        <f>VLOOKUP(D144,Assumptions!$B$50:$D$59,2,FALSE)*H144*INDEX(Assumptions!$C$36:$C$38,2)</f>
        <v/>
      </c>
      <c r="G144" s="25">
        <f>VLOOKUP(D144,Assumptions!$B$50:$D$59,2,FALSE)*H144*INDEX(Assumptions!$C$36:$C$38,3)</f>
        <v/>
      </c>
      <c r="H144" s="26">
        <f>VLOOKUP(C144,Assumptions!$B$27:$C$31,2,FALSE)</f>
        <v/>
      </c>
    </row>
    <row r="145">
      <c r="B145" s="7" t="inlineStr">
        <is>
          <t>SI-T2-E</t>
        </is>
      </c>
      <c r="C145" s="21" t="inlineStr">
        <is>
          <t>SI-T2</t>
        </is>
      </c>
      <c r="D145" s="11" t="inlineStr">
        <is>
          <t>Junior</t>
        </is>
      </c>
      <c r="E145" s="25">
        <f>VLOOKUP(D145,Assumptions!$B$50:$D$59,2,FALSE)*H145*INDEX(Assumptions!$C$36:$C$38,1)</f>
        <v/>
      </c>
      <c r="F145" s="25">
        <f>VLOOKUP(D145,Assumptions!$B$50:$D$59,2,FALSE)*H145*INDEX(Assumptions!$C$36:$C$38,2)</f>
        <v/>
      </c>
      <c r="G145" s="25">
        <f>VLOOKUP(D145,Assumptions!$B$50:$D$59,2,FALSE)*H145*INDEX(Assumptions!$C$36:$C$38,3)</f>
        <v/>
      </c>
      <c r="H145" s="26">
        <f>VLOOKUP(C145,Assumptions!$B$27:$C$31,2,FALSE)</f>
        <v/>
      </c>
    </row>
    <row r="146">
      <c r="B146" s="7" t="inlineStr">
        <is>
          <t>SI-T2-F</t>
        </is>
      </c>
      <c r="C146" s="21" t="inlineStr">
        <is>
          <t>SI-T2</t>
        </is>
      </c>
      <c r="D146" s="11" t="inlineStr">
        <is>
          <t>Partner</t>
        </is>
      </c>
      <c r="E146" s="25">
        <f>VLOOKUP(D146,Assumptions!$B$50:$D$59,2,FALSE)*H146*INDEX(Assumptions!$C$36:$C$38,1)</f>
        <v/>
      </c>
      <c r="F146" s="25">
        <f>VLOOKUP(D146,Assumptions!$B$50:$D$59,2,FALSE)*H146*INDEX(Assumptions!$C$36:$C$38,2)</f>
        <v/>
      </c>
      <c r="G146" s="25">
        <f>VLOOKUP(D146,Assumptions!$B$50:$D$59,2,FALSE)*H146*INDEX(Assumptions!$C$36:$C$38,3)</f>
        <v/>
      </c>
      <c r="H146" s="26">
        <f>VLOOKUP(C146,Assumptions!$B$27:$C$31,2,FALSE)</f>
        <v/>
      </c>
    </row>
    <row r="147">
      <c r="B147" s="7" t="inlineStr">
        <is>
          <t>SI-T2-F</t>
        </is>
      </c>
      <c r="C147" s="21" t="inlineStr">
        <is>
          <t>SI-T2</t>
        </is>
      </c>
      <c r="D147" s="11" t="inlineStr">
        <is>
          <t>Managing Director</t>
        </is>
      </c>
      <c r="E147" s="25">
        <f>VLOOKUP(D147,Assumptions!$B$50:$D$59,2,FALSE)*H147*INDEX(Assumptions!$C$36:$C$38,1)</f>
        <v/>
      </c>
      <c r="F147" s="25">
        <f>VLOOKUP(D147,Assumptions!$B$50:$D$59,2,FALSE)*H147*INDEX(Assumptions!$C$36:$C$38,2)</f>
        <v/>
      </c>
      <c r="G147" s="25">
        <f>VLOOKUP(D147,Assumptions!$B$50:$D$59,2,FALSE)*H147*INDEX(Assumptions!$C$36:$C$38,3)</f>
        <v/>
      </c>
      <c r="H147" s="26">
        <f>VLOOKUP(C147,Assumptions!$B$27:$C$31,2,FALSE)</f>
        <v/>
      </c>
    </row>
    <row r="148">
      <c r="B148" s="7" t="inlineStr">
        <is>
          <t>SI-T2-F</t>
        </is>
      </c>
      <c r="C148" s="21" t="inlineStr">
        <is>
          <t>SI-T2</t>
        </is>
      </c>
      <c r="D148" s="11" t="inlineStr">
        <is>
          <t>Principal</t>
        </is>
      </c>
      <c r="E148" s="25">
        <f>VLOOKUP(D148,Assumptions!$B$50:$D$59,2,FALSE)*H148*INDEX(Assumptions!$C$36:$C$38,1)</f>
        <v/>
      </c>
      <c r="F148" s="25">
        <f>VLOOKUP(D148,Assumptions!$B$50:$D$59,2,FALSE)*H148*INDEX(Assumptions!$C$36:$C$38,2)</f>
        <v/>
      </c>
      <c r="G148" s="25">
        <f>VLOOKUP(D148,Assumptions!$B$50:$D$59,2,FALSE)*H148*INDEX(Assumptions!$C$36:$C$38,3)</f>
        <v/>
      </c>
      <c r="H148" s="26">
        <f>VLOOKUP(C148,Assumptions!$B$27:$C$31,2,FALSE)</f>
        <v/>
      </c>
    </row>
    <row r="149">
      <c r="B149" s="7" t="inlineStr">
        <is>
          <t>SI-T2-F</t>
        </is>
      </c>
      <c r="C149" s="21" t="inlineStr">
        <is>
          <t>SI-T2</t>
        </is>
      </c>
      <c r="D149" s="11" t="inlineStr">
        <is>
          <t>Director</t>
        </is>
      </c>
      <c r="E149" s="25">
        <f>VLOOKUP(D149,Assumptions!$B$50:$D$59,2,FALSE)*H149*INDEX(Assumptions!$C$36:$C$38,1)</f>
        <v/>
      </c>
      <c r="F149" s="25">
        <f>VLOOKUP(D149,Assumptions!$B$50:$D$59,2,FALSE)*H149*INDEX(Assumptions!$C$36:$C$38,2)</f>
        <v/>
      </c>
      <c r="G149" s="25">
        <f>VLOOKUP(D149,Assumptions!$B$50:$D$59,2,FALSE)*H149*INDEX(Assumptions!$C$36:$C$38,3)</f>
        <v/>
      </c>
      <c r="H149" s="26">
        <f>VLOOKUP(C149,Assumptions!$B$27:$C$31,2,FALSE)</f>
        <v/>
      </c>
    </row>
    <row r="150">
      <c r="B150" s="7" t="inlineStr">
        <is>
          <t>SI-T2-F</t>
        </is>
      </c>
      <c r="C150" s="21" t="inlineStr">
        <is>
          <t>SI-T2</t>
        </is>
      </c>
      <c r="D150" s="11" t="inlineStr">
        <is>
          <t>Senior Manager</t>
        </is>
      </c>
      <c r="E150" s="25">
        <f>VLOOKUP(D150,Assumptions!$B$50:$D$59,2,FALSE)*H150*INDEX(Assumptions!$C$36:$C$38,1)</f>
        <v/>
      </c>
      <c r="F150" s="25">
        <f>VLOOKUP(D150,Assumptions!$B$50:$D$59,2,FALSE)*H150*INDEX(Assumptions!$C$36:$C$38,2)</f>
        <v/>
      </c>
      <c r="G150" s="25">
        <f>VLOOKUP(D150,Assumptions!$B$50:$D$59,2,FALSE)*H150*INDEX(Assumptions!$C$36:$C$38,3)</f>
        <v/>
      </c>
      <c r="H150" s="26">
        <f>VLOOKUP(C150,Assumptions!$B$27:$C$31,2,FALSE)</f>
        <v/>
      </c>
    </row>
    <row r="151">
      <c r="B151" s="7" t="inlineStr">
        <is>
          <t>SI-T2-F</t>
        </is>
      </c>
      <c r="C151" s="21" t="inlineStr">
        <is>
          <t>SI-T2</t>
        </is>
      </c>
      <c r="D151" s="11" t="inlineStr">
        <is>
          <t>Manager</t>
        </is>
      </c>
      <c r="E151" s="25">
        <f>VLOOKUP(D151,Assumptions!$B$50:$D$59,2,FALSE)*H151*INDEX(Assumptions!$C$36:$C$38,1)</f>
        <v/>
      </c>
      <c r="F151" s="25">
        <f>VLOOKUP(D151,Assumptions!$B$50:$D$59,2,FALSE)*H151*INDEX(Assumptions!$C$36:$C$38,2)</f>
        <v/>
      </c>
      <c r="G151" s="25">
        <f>VLOOKUP(D151,Assumptions!$B$50:$D$59,2,FALSE)*H151*INDEX(Assumptions!$C$36:$C$38,3)</f>
        <v/>
      </c>
      <c r="H151" s="26">
        <f>VLOOKUP(C151,Assumptions!$B$27:$C$31,2,FALSE)</f>
        <v/>
      </c>
    </row>
    <row r="152">
      <c r="B152" s="7" t="inlineStr">
        <is>
          <t>SI-T2-F</t>
        </is>
      </c>
      <c r="C152" s="21" t="inlineStr">
        <is>
          <t>SI-T2</t>
        </is>
      </c>
      <c r="D152" s="11" t="inlineStr">
        <is>
          <t>Lead</t>
        </is>
      </c>
      <c r="E152" s="25">
        <f>VLOOKUP(D152,Assumptions!$B$50:$D$59,2,FALSE)*H152*INDEX(Assumptions!$C$36:$C$38,1)</f>
        <v/>
      </c>
      <c r="F152" s="25">
        <f>VLOOKUP(D152,Assumptions!$B$50:$D$59,2,FALSE)*H152*INDEX(Assumptions!$C$36:$C$38,2)</f>
        <v/>
      </c>
      <c r="G152" s="25">
        <f>VLOOKUP(D152,Assumptions!$B$50:$D$59,2,FALSE)*H152*INDEX(Assumptions!$C$36:$C$38,3)</f>
        <v/>
      </c>
      <c r="H152" s="26">
        <f>VLOOKUP(C152,Assumptions!$B$27:$C$31,2,FALSE)</f>
        <v/>
      </c>
    </row>
    <row r="153">
      <c r="B153" s="7" t="inlineStr">
        <is>
          <t>SI-T2-F</t>
        </is>
      </c>
      <c r="C153" s="21" t="inlineStr">
        <is>
          <t>SI-T2</t>
        </is>
      </c>
      <c r="D153" s="11" t="inlineStr">
        <is>
          <t>Senior</t>
        </is>
      </c>
      <c r="E153" s="25">
        <f>VLOOKUP(D153,Assumptions!$B$50:$D$59,2,FALSE)*H153*INDEX(Assumptions!$C$36:$C$38,1)</f>
        <v/>
      </c>
      <c r="F153" s="25">
        <f>VLOOKUP(D153,Assumptions!$B$50:$D$59,2,FALSE)*H153*INDEX(Assumptions!$C$36:$C$38,2)</f>
        <v/>
      </c>
      <c r="G153" s="25">
        <f>VLOOKUP(D153,Assumptions!$B$50:$D$59,2,FALSE)*H153*INDEX(Assumptions!$C$36:$C$38,3)</f>
        <v/>
      </c>
      <c r="H153" s="26">
        <f>VLOOKUP(C153,Assumptions!$B$27:$C$31,2,FALSE)</f>
        <v/>
      </c>
    </row>
    <row r="154">
      <c r="B154" s="7" t="inlineStr">
        <is>
          <t>SI-T2-F</t>
        </is>
      </c>
      <c r="C154" s="21" t="inlineStr">
        <is>
          <t>SI-T2</t>
        </is>
      </c>
      <c r="D154" s="11" t="inlineStr">
        <is>
          <t>Intermediate</t>
        </is>
      </c>
      <c r="E154" s="25">
        <f>VLOOKUP(D154,Assumptions!$B$50:$D$59,2,FALSE)*H154*INDEX(Assumptions!$C$36:$C$38,1)</f>
        <v/>
      </c>
      <c r="F154" s="25">
        <f>VLOOKUP(D154,Assumptions!$B$50:$D$59,2,FALSE)*H154*INDEX(Assumptions!$C$36:$C$38,2)</f>
        <v/>
      </c>
      <c r="G154" s="25">
        <f>VLOOKUP(D154,Assumptions!$B$50:$D$59,2,FALSE)*H154*INDEX(Assumptions!$C$36:$C$38,3)</f>
        <v/>
      </c>
      <c r="H154" s="26">
        <f>VLOOKUP(C154,Assumptions!$B$27:$C$31,2,FALSE)</f>
        <v/>
      </c>
    </row>
    <row r="155">
      <c r="B155" s="7" t="inlineStr">
        <is>
          <t>SI-T2-F</t>
        </is>
      </c>
      <c r="C155" s="21" t="inlineStr">
        <is>
          <t>SI-T2</t>
        </is>
      </c>
      <c r="D155" s="11" t="inlineStr">
        <is>
          <t>Junior</t>
        </is>
      </c>
      <c r="E155" s="25">
        <f>VLOOKUP(D155,Assumptions!$B$50:$D$59,2,FALSE)*H155*INDEX(Assumptions!$C$36:$C$38,1)</f>
        <v/>
      </c>
      <c r="F155" s="25">
        <f>VLOOKUP(D155,Assumptions!$B$50:$D$59,2,FALSE)*H155*INDEX(Assumptions!$C$36:$C$38,2)</f>
        <v/>
      </c>
      <c r="G155" s="25">
        <f>VLOOKUP(D155,Assumptions!$B$50:$D$59,2,FALSE)*H155*INDEX(Assumptions!$C$36:$C$38,3)</f>
        <v/>
      </c>
      <c r="H155" s="26">
        <f>VLOOKUP(C155,Assumptions!$B$27:$C$31,2,FALSE)</f>
        <v/>
      </c>
    </row>
    <row r="156">
      <c r="B156" s="7" t="inlineStr">
        <is>
          <t>ENG-B1</t>
        </is>
      </c>
      <c r="C156" s="21" t="inlineStr">
        <is>
          <t>ENG-B</t>
        </is>
      </c>
      <c r="D156" s="11" t="inlineStr">
        <is>
          <t>Partner</t>
        </is>
      </c>
      <c r="E156" s="25">
        <f>VLOOKUP(D156,Assumptions!$B$50:$D$59,2,FALSE)*H156*INDEX(Assumptions!$C$36:$C$38,1)</f>
        <v/>
      </c>
      <c r="F156" s="25">
        <f>VLOOKUP(D156,Assumptions!$B$50:$D$59,2,FALSE)*H156*INDEX(Assumptions!$C$36:$C$38,2)</f>
        <v/>
      </c>
      <c r="G156" s="25">
        <f>VLOOKUP(D156,Assumptions!$B$50:$D$59,2,FALSE)*H156*INDEX(Assumptions!$C$36:$C$38,3)</f>
        <v/>
      </c>
      <c r="H156" s="26">
        <f>VLOOKUP(C156,Assumptions!$B$27:$C$31,2,FALSE)</f>
        <v/>
      </c>
    </row>
    <row r="157">
      <c r="B157" s="7" t="inlineStr">
        <is>
          <t>ENG-B1</t>
        </is>
      </c>
      <c r="C157" s="21" t="inlineStr">
        <is>
          <t>ENG-B</t>
        </is>
      </c>
      <c r="D157" s="11" t="inlineStr">
        <is>
          <t>Managing Director</t>
        </is>
      </c>
      <c r="E157" s="25">
        <f>VLOOKUP(D157,Assumptions!$B$50:$D$59,2,FALSE)*H157*INDEX(Assumptions!$C$36:$C$38,1)</f>
        <v/>
      </c>
      <c r="F157" s="25">
        <f>VLOOKUP(D157,Assumptions!$B$50:$D$59,2,FALSE)*H157*INDEX(Assumptions!$C$36:$C$38,2)</f>
        <v/>
      </c>
      <c r="G157" s="25">
        <f>VLOOKUP(D157,Assumptions!$B$50:$D$59,2,FALSE)*H157*INDEX(Assumptions!$C$36:$C$38,3)</f>
        <v/>
      </c>
      <c r="H157" s="26">
        <f>VLOOKUP(C157,Assumptions!$B$27:$C$31,2,FALSE)</f>
        <v/>
      </c>
    </row>
    <row r="158">
      <c r="B158" s="7" t="inlineStr">
        <is>
          <t>ENG-B1</t>
        </is>
      </c>
      <c r="C158" s="21" t="inlineStr">
        <is>
          <t>ENG-B</t>
        </is>
      </c>
      <c r="D158" s="11" t="inlineStr">
        <is>
          <t>Principal</t>
        </is>
      </c>
      <c r="E158" s="25">
        <f>VLOOKUP(D158,Assumptions!$B$50:$D$59,2,FALSE)*H158*INDEX(Assumptions!$C$36:$C$38,1)</f>
        <v/>
      </c>
      <c r="F158" s="25">
        <f>VLOOKUP(D158,Assumptions!$B$50:$D$59,2,FALSE)*H158*INDEX(Assumptions!$C$36:$C$38,2)</f>
        <v/>
      </c>
      <c r="G158" s="25">
        <f>VLOOKUP(D158,Assumptions!$B$50:$D$59,2,FALSE)*H158*INDEX(Assumptions!$C$36:$C$38,3)</f>
        <v/>
      </c>
      <c r="H158" s="26">
        <f>VLOOKUP(C158,Assumptions!$B$27:$C$31,2,FALSE)</f>
        <v/>
      </c>
    </row>
    <row r="159">
      <c r="B159" s="7" t="inlineStr">
        <is>
          <t>ENG-B1</t>
        </is>
      </c>
      <c r="C159" s="21" t="inlineStr">
        <is>
          <t>ENG-B</t>
        </is>
      </c>
      <c r="D159" s="11" t="inlineStr">
        <is>
          <t>Director</t>
        </is>
      </c>
      <c r="E159" s="25">
        <f>VLOOKUP(D159,Assumptions!$B$50:$D$59,2,FALSE)*H159*INDEX(Assumptions!$C$36:$C$38,1)</f>
        <v/>
      </c>
      <c r="F159" s="25">
        <f>VLOOKUP(D159,Assumptions!$B$50:$D$59,2,FALSE)*H159*INDEX(Assumptions!$C$36:$C$38,2)</f>
        <v/>
      </c>
      <c r="G159" s="25">
        <f>VLOOKUP(D159,Assumptions!$B$50:$D$59,2,FALSE)*H159*INDEX(Assumptions!$C$36:$C$38,3)</f>
        <v/>
      </c>
      <c r="H159" s="26">
        <f>VLOOKUP(C159,Assumptions!$B$27:$C$31,2,FALSE)</f>
        <v/>
      </c>
    </row>
    <row r="160">
      <c r="B160" s="7" t="inlineStr">
        <is>
          <t>ENG-B1</t>
        </is>
      </c>
      <c r="C160" s="21" t="inlineStr">
        <is>
          <t>ENG-B</t>
        </is>
      </c>
      <c r="D160" s="11" t="inlineStr">
        <is>
          <t>Senior Manager</t>
        </is>
      </c>
      <c r="E160" s="25">
        <f>VLOOKUP(D160,Assumptions!$B$50:$D$59,2,FALSE)*H160*INDEX(Assumptions!$C$36:$C$38,1)</f>
        <v/>
      </c>
      <c r="F160" s="25">
        <f>VLOOKUP(D160,Assumptions!$B$50:$D$59,2,FALSE)*H160*INDEX(Assumptions!$C$36:$C$38,2)</f>
        <v/>
      </c>
      <c r="G160" s="25">
        <f>VLOOKUP(D160,Assumptions!$B$50:$D$59,2,FALSE)*H160*INDEX(Assumptions!$C$36:$C$38,3)</f>
        <v/>
      </c>
      <c r="H160" s="26">
        <f>VLOOKUP(C160,Assumptions!$B$27:$C$31,2,FALSE)</f>
        <v/>
      </c>
    </row>
    <row r="161">
      <c r="B161" s="7" t="inlineStr">
        <is>
          <t>ENG-B1</t>
        </is>
      </c>
      <c r="C161" s="21" t="inlineStr">
        <is>
          <t>ENG-B</t>
        </is>
      </c>
      <c r="D161" s="11" t="inlineStr">
        <is>
          <t>Manager</t>
        </is>
      </c>
      <c r="E161" s="25">
        <f>VLOOKUP(D161,Assumptions!$B$50:$D$59,2,FALSE)*H161*INDEX(Assumptions!$C$36:$C$38,1)</f>
        <v/>
      </c>
      <c r="F161" s="25">
        <f>VLOOKUP(D161,Assumptions!$B$50:$D$59,2,FALSE)*H161*INDEX(Assumptions!$C$36:$C$38,2)</f>
        <v/>
      </c>
      <c r="G161" s="25">
        <f>VLOOKUP(D161,Assumptions!$B$50:$D$59,2,FALSE)*H161*INDEX(Assumptions!$C$36:$C$38,3)</f>
        <v/>
      </c>
      <c r="H161" s="26">
        <f>VLOOKUP(C161,Assumptions!$B$27:$C$31,2,FALSE)</f>
        <v/>
      </c>
    </row>
    <row r="162">
      <c r="B162" s="7" t="inlineStr">
        <is>
          <t>ENG-B1</t>
        </is>
      </c>
      <c r="C162" s="21" t="inlineStr">
        <is>
          <t>ENG-B</t>
        </is>
      </c>
      <c r="D162" s="11" t="inlineStr">
        <is>
          <t>Lead</t>
        </is>
      </c>
      <c r="E162" s="25">
        <f>VLOOKUP(D162,Assumptions!$B$50:$D$59,2,FALSE)*H162*INDEX(Assumptions!$C$36:$C$38,1)</f>
        <v/>
      </c>
      <c r="F162" s="25">
        <f>VLOOKUP(D162,Assumptions!$B$50:$D$59,2,FALSE)*H162*INDEX(Assumptions!$C$36:$C$38,2)</f>
        <v/>
      </c>
      <c r="G162" s="25">
        <f>VLOOKUP(D162,Assumptions!$B$50:$D$59,2,FALSE)*H162*INDEX(Assumptions!$C$36:$C$38,3)</f>
        <v/>
      </c>
      <c r="H162" s="26">
        <f>VLOOKUP(C162,Assumptions!$B$27:$C$31,2,FALSE)</f>
        <v/>
      </c>
    </row>
    <row r="163">
      <c r="B163" s="7" t="inlineStr">
        <is>
          <t>ENG-B1</t>
        </is>
      </c>
      <c r="C163" s="21" t="inlineStr">
        <is>
          <t>ENG-B</t>
        </is>
      </c>
      <c r="D163" s="11" t="inlineStr">
        <is>
          <t>Senior</t>
        </is>
      </c>
      <c r="E163" s="25">
        <f>VLOOKUP(D163,Assumptions!$B$50:$D$59,2,FALSE)*H163*INDEX(Assumptions!$C$36:$C$38,1)</f>
        <v/>
      </c>
      <c r="F163" s="25">
        <f>VLOOKUP(D163,Assumptions!$B$50:$D$59,2,FALSE)*H163*INDEX(Assumptions!$C$36:$C$38,2)</f>
        <v/>
      </c>
      <c r="G163" s="25">
        <f>VLOOKUP(D163,Assumptions!$B$50:$D$59,2,FALSE)*H163*INDEX(Assumptions!$C$36:$C$38,3)</f>
        <v/>
      </c>
      <c r="H163" s="26">
        <f>VLOOKUP(C163,Assumptions!$B$27:$C$31,2,FALSE)</f>
        <v/>
      </c>
    </row>
    <row r="164">
      <c r="B164" s="7" t="inlineStr">
        <is>
          <t>ENG-B1</t>
        </is>
      </c>
      <c r="C164" s="21" t="inlineStr">
        <is>
          <t>ENG-B</t>
        </is>
      </c>
      <c r="D164" s="11" t="inlineStr">
        <is>
          <t>Intermediate</t>
        </is>
      </c>
      <c r="E164" s="25">
        <f>VLOOKUP(D164,Assumptions!$B$50:$D$59,2,FALSE)*H164*INDEX(Assumptions!$C$36:$C$38,1)</f>
        <v/>
      </c>
      <c r="F164" s="25">
        <f>VLOOKUP(D164,Assumptions!$B$50:$D$59,2,FALSE)*H164*INDEX(Assumptions!$C$36:$C$38,2)</f>
        <v/>
      </c>
      <c r="G164" s="25">
        <f>VLOOKUP(D164,Assumptions!$B$50:$D$59,2,FALSE)*H164*INDEX(Assumptions!$C$36:$C$38,3)</f>
        <v/>
      </c>
      <c r="H164" s="26">
        <f>VLOOKUP(C164,Assumptions!$B$27:$C$31,2,FALSE)</f>
        <v/>
      </c>
    </row>
    <row r="165">
      <c r="B165" s="7" t="inlineStr">
        <is>
          <t>ENG-B1</t>
        </is>
      </c>
      <c r="C165" s="21" t="inlineStr">
        <is>
          <t>ENG-B</t>
        </is>
      </c>
      <c r="D165" s="11" t="inlineStr">
        <is>
          <t>Junior</t>
        </is>
      </c>
      <c r="E165" s="25">
        <f>VLOOKUP(D165,Assumptions!$B$50:$D$59,2,FALSE)*H165*INDEX(Assumptions!$C$36:$C$38,1)</f>
        <v/>
      </c>
      <c r="F165" s="25">
        <f>VLOOKUP(D165,Assumptions!$B$50:$D$59,2,FALSE)*H165*INDEX(Assumptions!$C$36:$C$38,2)</f>
        <v/>
      </c>
      <c r="G165" s="25">
        <f>VLOOKUP(D165,Assumptions!$B$50:$D$59,2,FALSE)*H165*INDEX(Assumptions!$C$36:$C$38,3)</f>
        <v/>
      </c>
      <c r="H165" s="26">
        <f>VLOOKUP(C165,Assumptions!$B$27:$C$31,2,FALSE)</f>
        <v/>
      </c>
    </row>
    <row r="166">
      <c r="B166" s="7" t="inlineStr">
        <is>
          <t>ENG-B2</t>
        </is>
      </c>
      <c r="C166" s="21" t="inlineStr">
        <is>
          <t>ENG-B</t>
        </is>
      </c>
      <c r="D166" s="11" t="inlineStr">
        <is>
          <t>Partner</t>
        </is>
      </c>
      <c r="E166" s="25">
        <f>VLOOKUP(D166,Assumptions!$B$50:$D$59,2,FALSE)*H166*INDEX(Assumptions!$C$36:$C$38,1)</f>
        <v/>
      </c>
      <c r="F166" s="25">
        <f>VLOOKUP(D166,Assumptions!$B$50:$D$59,2,FALSE)*H166*INDEX(Assumptions!$C$36:$C$38,2)</f>
        <v/>
      </c>
      <c r="G166" s="25">
        <f>VLOOKUP(D166,Assumptions!$B$50:$D$59,2,FALSE)*H166*INDEX(Assumptions!$C$36:$C$38,3)</f>
        <v/>
      </c>
      <c r="H166" s="26">
        <f>VLOOKUP(C166,Assumptions!$B$27:$C$31,2,FALSE)</f>
        <v/>
      </c>
    </row>
    <row r="167">
      <c r="B167" s="7" t="inlineStr">
        <is>
          <t>ENG-B2</t>
        </is>
      </c>
      <c r="C167" s="21" t="inlineStr">
        <is>
          <t>ENG-B</t>
        </is>
      </c>
      <c r="D167" s="11" t="inlineStr">
        <is>
          <t>Managing Director</t>
        </is>
      </c>
      <c r="E167" s="25">
        <f>VLOOKUP(D167,Assumptions!$B$50:$D$59,2,FALSE)*H167*INDEX(Assumptions!$C$36:$C$38,1)</f>
        <v/>
      </c>
      <c r="F167" s="25">
        <f>VLOOKUP(D167,Assumptions!$B$50:$D$59,2,FALSE)*H167*INDEX(Assumptions!$C$36:$C$38,2)</f>
        <v/>
      </c>
      <c r="G167" s="25">
        <f>VLOOKUP(D167,Assumptions!$B$50:$D$59,2,FALSE)*H167*INDEX(Assumptions!$C$36:$C$38,3)</f>
        <v/>
      </c>
      <c r="H167" s="26">
        <f>VLOOKUP(C167,Assumptions!$B$27:$C$31,2,FALSE)</f>
        <v/>
      </c>
    </row>
    <row r="168">
      <c r="B168" s="7" t="inlineStr">
        <is>
          <t>ENG-B2</t>
        </is>
      </c>
      <c r="C168" s="21" t="inlineStr">
        <is>
          <t>ENG-B</t>
        </is>
      </c>
      <c r="D168" s="11" t="inlineStr">
        <is>
          <t>Principal</t>
        </is>
      </c>
      <c r="E168" s="25">
        <f>VLOOKUP(D168,Assumptions!$B$50:$D$59,2,FALSE)*H168*INDEX(Assumptions!$C$36:$C$38,1)</f>
        <v/>
      </c>
      <c r="F168" s="25">
        <f>VLOOKUP(D168,Assumptions!$B$50:$D$59,2,FALSE)*H168*INDEX(Assumptions!$C$36:$C$38,2)</f>
        <v/>
      </c>
      <c r="G168" s="25">
        <f>VLOOKUP(D168,Assumptions!$B$50:$D$59,2,FALSE)*H168*INDEX(Assumptions!$C$36:$C$38,3)</f>
        <v/>
      </c>
      <c r="H168" s="26">
        <f>VLOOKUP(C168,Assumptions!$B$27:$C$31,2,FALSE)</f>
        <v/>
      </c>
    </row>
    <row r="169">
      <c r="B169" s="7" t="inlineStr">
        <is>
          <t>ENG-B2</t>
        </is>
      </c>
      <c r="C169" s="21" t="inlineStr">
        <is>
          <t>ENG-B</t>
        </is>
      </c>
      <c r="D169" s="11" t="inlineStr">
        <is>
          <t>Director</t>
        </is>
      </c>
      <c r="E169" s="25">
        <f>VLOOKUP(D169,Assumptions!$B$50:$D$59,2,FALSE)*H169*INDEX(Assumptions!$C$36:$C$38,1)</f>
        <v/>
      </c>
      <c r="F169" s="25">
        <f>VLOOKUP(D169,Assumptions!$B$50:$D$59,2,FALSE)*H169*INDEX(Assumptions!$C$36:$C$38,2)</f>
        <v/>
      </c>
      <c r="G169" s="25">
        <f>VLOOKUP(D169,Assumptions!$B$50:$D$59,2,FALSE)*H169*INDEX(Assumptions!$C$36:$C$38,3)</f>
        <v/>
      </c>
      <c r="H169" s="26">
        <f>VLOOKUP(C169,Assumptions!$B$27:$C$31,2,FALSE)</f>
        <v/>
      </c>
    </row>
    <row r="170">
      <c r="B170" s="7" t="inlineStr">
        <is>
          <t>ENG-B2</t>
        </is>
      </c>
      <c r="C170" s="21" t="inlineStr">
        <is>
          <t>ENG-B</t>
        </is>
      </c>
      <c r="D170" s="11" t="inlineStr">
        <is>
          <t>Senior Manager</t>
        </is>
      </c>
      <c r="E170" s="25">
        <f>VLOOKUP(D170,Assumptions!$B$50:$D$59,2,FALSE)*H170*INDEX(Assumptions!$C$36:$C$38,1)</f>
        <v/>
      </c>
      <c r="F170" s="25">
        <f>VLOOKUP(D170,Assumptions!$B$50:$D$59,2,FALSE)*H170*INDEX(Assumptions!$C$36:$C$38,2)</f>
        <v/>
      </c>
      <c r="G170" s="25">
        <f>VLOOKUP(D170,Assumptions!$B$50:$D$59,2,FALSE)*H170*INDEX(Assumptions!$C$36:$C$38,3)</f>
        <v/>
      </c>
      <c r="H170" s="26">
        <f>VLOOKUP(C170,Assumptions!$B$27:$C$31,2,FALSE)</f>
        <v/>
      </c>
    </row>
    <row r="171">
      <c r="B171" s="7" t="inlineStr">
        <is>
          <t>ENG-B2</t>
        </is>
      </c>
      <c r="C171" s="21" t="inlineStr">
        <is>
          <t>ENG-B</t>
        </is>
      </c>
      <c r="D171" s="11" t="inlineStr">
        <is>
          <t>Manager</t>
        </is>
      </c>
      <c r="E171" s="25">
        <f>VLOOKUP(D171,Assumptions!$B$50:$D$59,2,FALSE)*H171*INDEX(Assumptions!$C$36:$C$38,1)</f>
        <v/>
      </c>
      <c r="F171" s="25">
        <f>VLOOKUP(D171,Assumptions!$B$50:$D$59,2,FALSE)*H171*INDEX(Assumptions!$C$36:$C$38,2)</f>
        <v/>
      </c>
      <c r="G171" s="25">
        <f>VLOOKUP(D171,Assumptions!$B$50:$D$59,2,FALSE)*H171*INDEX(Assumptions!$C$36:$C$38,3)</f>
        <v/>
      </c>
      <c r="H171" s="26">
        <f>VLOOKUP(C171,Assumptions!$B$27:$C$31,2,FALSE)</f>
        <v/>
      </c>
    </row>
    <row r="172">
      <c r="B172" s="7" t="inlineStr">
        <is>
          <t>ENG-B2</t>
        </is>
      </c>
      <c r="C172" s="21" t="inlineStr">
        <is>
          <t>ENG-B</t>
        </is>
      </c>
      <c r="D172" s="11" t="inlineStr">
        <is>
          <t>Lead</t>
        </is>
      </c>
      <c r="E172" s="25">
        <f>VLOOKUP(D172,Assumptions!$B$50:$D$59,2,FALSE)*H172*INDEX(Assumptions!$C$36:$C$38,1)</f>
        <v/>
      </c>
      <c r="F172" s="25">
        <f>VLOOKUP(D172,Assumptions!$B$50:$D$59,2,FALSE)*H172*INDEX(Assumptions!$C$36:$C$38,2)</f>
        <v/>
      </c>
      <c r="G172" s="25">
        <f>VLOOKUP(D172,Assumptions!$B$50:$D$59,2,FALSE)*H172*INDEX(Assumptions!$C$36:$C$38,3)</f>
        <v/>
      </c>
      <c r="H172" s="26">
        <f>VLOOKUP(C172,Assumptions!$B$27:$C$31,2,FALSE)</f>
        <v/>
      </c>
    </row>
    <row r="173">
      <c r="B173" s="7" t="inlineStr">
        <is>
          <t>ENG-B2</t>
        </is>
      </c>
      <c r="C173" s="21" t="inlineStr">
        <is>
          <t>ENG-B</t>
        </is>
      </c>
      <c r="D173" s="11" t="inlineStr">
        <is>
          <t>Senior</t>
        </is>
      </c>
      <c r="E173" s="25">
        <f>VLOOKUP(D173,Assumptions!$B$50:$D$59,2,FALSE)*H173*INDEX(Assumptions!$C$36:$C$38,1)</f>
        <v/>
      </c>
      <c r="F173" s="25">
        <f>VLOOKUP(D173,Assumptions!$B$50:$D$59,2,FALSE)*H173*INDEX(Assumptions!$C$36:$C$38,2)</f>
        <v/>
      </c>
      <c r="G173" s="25">
        <f>VLOOKUP(D173,Assumptions!$B$50:$D$59,2,FALSE)*H173*INDEX(Assumptions!$C$36:$C$38,3)</f>
        <v/>
      </c>
      <c r="H173" s="26">
        <f>VLOOKUP(C173,Assumptions!$B$27:$C$31,2,FALSE)</f>
        <v/>
      </c>
    </row>
    <row r="174">
      <c r="B174" s="7" t="inlineStr">
        <is>
          <t>ENG-B2</t>
        </is>
      </c>
      <c r="C174" s="21" t="inlineStr">
        <is>
          <t>ENG-B</t>
        </is>
      </c>
      <c r="D174" s="11" t="inlineStr">
        <is>
          <t>Intermediate</t>
        </is>
      </c>
      <c r="E174" s="25">
        <f>VLOOKUP(D174,Assumptions!$B$50:$D$59,2,FALSE)*H174*INDEX(Assumptions!$C$36:$C$38,1)</f>
        <v/>
      </c>
      <c r="F174" s="25">
        <f>VLOOKUP(D174,Assumptions!$B$50:$D$59,2,FALSE)*H174*INDEX(Assumptions!$C$36:$C$38,2)</f>
        <v/>
      </c>
      <c r="G174" s="25">
        <f>VLOOKUP(D174,Assumptions!$B$50:$D$59,2,FALSE)*H174*INDEX(Assumptions!$C$36:$C$38,3)</f>
        <v/>
      </c>
      <c r="H174" s="26">
        <f>VLOOKUP(C174,Assumptions!$B$27:$C$31,2,FALSE)</f>
        <v/>
      </c>
    </row>
    <row r="175">
      <c r="B175" s="7" t="inlineStr">
        <is>
          <t>ENG-B2</t>
        </is>
      </c>
      <c r="C175" s="21" t="inlineStr">
        <is>
          <t>ENG-B</t>
        </is>
      </c>
      <c r="D175" s="11" t="inlineStr">
        <is>
          <t>Junior</t>
        </is>
      </c>
      <c r="E175" s="25">
        <f>VLOOKUP(D175,Assumptions!$B$50:$D$59,2,FALSE)*H175*INDEX(Assumptions!$C$36:$C$38,1)</f>
        <v/>
      </c>
      <c r="F175" s="25">
        <f>VLOOKUP(D175,Assumptions!$B$50:$D$59,2,FALSE)*H175*INDEX(Assumptions!$C$36:$C$38,2)</f>
        <v/>
      </c>
      <c r="G175" s="25">
        <f>VLOOKUP(D175,Assumptions!$B$50:$D$59,2,FALSE)*H175*INDEX(Assumptions!$C$36:$C$38,3)</f>
        <v/>
      </c>
      <c r="H175" s="26">
        <f>VLOOKUP(C175,Assumptions!$B$27:$C$31,2,FALSE)</f>
        <v/>
      </c>
    </row>
    <row r="176">
      <c r="B176" s="7" t="inlineStr">
        <is>
          <t>ENG-B3</t>
        </is>
      </c>
      <c r="C176" s="21" t="inlineStr">
        <is>
          <t>ENG-B</t>
        </is>
      </c>
      <c r="D176" s="11" t="inlineStr">
        <is>
          <t>Partner</t>
        </is>
      </c>
      <c r="E176" s="25">
        <f>VLOOKUP(D176,Assumptions!$B$50:$D$59,2,FALSE)*H176*INDEX(Assumptions!$C$36:$C$38,1)</f>
        <v/>
      </c>
      <c r="F176" s="25">
        <f>VLOOKUP(D176,Assumptions!$B$50:$D$59,2,FALSE)*H176*INDEX(Assumptions!$C$36:$C$38,2)</f>
        <v/>
      </c>
      <c r="G176" s="25">
        <f>VLOOKUP(D176,Assumptions!$B$50:$D$59,2,FALSE)*H176*INDEX(Assumptions!$C$36:$C$38,3)</f>
        <v/>
      </c>
      <c r="H176" s="26">
        <f>VLOOKUP(C176,Assumptions!$B$27:$C$31,2,FALSE)</f>
        <v/>
      </c>
    </row>
    <row r="177">
      <c r="B177" s="7" t="inlineStr">
        <is>
          <t>ENG-B3</t>
        </is>
      </c>
      <c r="C177" s="21" t="inlineStr">
        <is>
          <t>ENG-B</t>
        </is>
      </c>
      <c r="D177" s="11" t="inlineStr">
        <is>
          <t>Managing Director</t>
        </is>
      </c>
      <c r="E177" s="25">
        <f>VLOOKUP(D177,Assumptions!$B$50:$D$59,2,FALSE)*H177*INDEX(Assumptions!$C$36:$C$38,1)</f>
        <v/>
      </c>
      <c r="F177" s="25">
        <f>VLOOKUP(D177,Assumptions!$B$50:$D$59,2,FALSE)*H177*INDEX(Assumptions!$C$36:$C$38,2)</f>
        <v/>
      </c>
      <c r="G177" s="25">
        <f>VLOOKUP(D177,Assumptions!$B$50:$D$59,2,FALSE)*H177*INDEX(Assumptions!$C$36:$C$38,3)</f>
        <v/>
      </c>
      <c r="H177" s="26">
        <f>VLOOKUP(C177,Assumptions!$B$27:$C$31,2,FALSE)</f>
        <v/>
      </c>
    </row>
    <row r="178">
      <c r="B178" s="7" t="inlineStr">
        <is>
          <t>ENG-B3</t>
        </is>
      </c>
      <c r="C178" s="21" t="inlineStr">
        <is>
          <t>ENG-B</t>
        </is>
      </c>
      <c r="D178" s="11" t="inlineStr">
        <is>
          <t>Principal</t>
        </is>
      </c>
      <c r="E178" s="25">
        <f>VLOOKUP(D178,Assumptions!$B$50:$D$59,2,FALSE)*H178*INDEX(Assumptions!$C$36:$C$38,1)</f>
        <v/>
      </c>
      <c r="F178" s="25">
        <f>VLOOKUP(D178,Assumptions!$B$50:$D$59,2,FALSE)*H178*INDEX(Assumptions!$C$36:$C$38,2)</f>
        <v/>
      </c>
      <c r="G178" s="25">
        <f>VLOOKUP(D178,Assumptions!$B$50:$D$59,2,FALSE)*H178*INDEX(Assumptions!$C$36:$C$38,3)</f>
        <v/>
      </c>
      <c r="H178" s="26">
        <f>VLOOKUP(C178,Assumptions!$B$27:$C$31,2,FALSE)</f>
        <v/>
      </c>
    </row>
    <row r="179">
      <c r="B179" s="7" t="inlineStr">
        <is>
          <t>ENG-B3</t>
        </is>
      </c>
      <c r="C179" s="21" t="inlineStr">
        <is>
          <t>ENG-B</t>
        </is>
      </c>
      <c r="D179" s="11" t="inlineStr">
        <is>
          <t>Director</t>
        </is>
      </c>
      <c r="E179" s="25">
        <f>VLOOKUP(D179,Assumptions!$B$50:$D$59,2,FALSE)*H179*INDEX(Assumptions!$C$36:$C$38,1)</f>
        <v/>
      </c>
      <c r="F179" s="25">
        <f>VLOOKUP(D179,Assumptions!$B$50:$D$59,2,FALSE)*H179*INDEX(Assumptions!$C$36:$C$38,2)</f>
        <v/>
      </c>
      <c r="G179" s="25">
        <f>VLOOKUP(D179,Assumptions!$B$50:$D$59,2,FALSE)*H179*INDEX(Assumptions!$C$36:$C$38,3)</f>
        <v/>
      </c>
      <c r="H179" s="26">
        <f>VLOOKUP(C179,Assumptions!$B$27:$C$31,2,FALSE)</f>
        <v/>
      </c>
    </row>
    <row r="180">
      <c r="B180" s="7" t="inlineStr">
        <is>
          <t>ENG-B3</t>
        </is>
      </c>
      <c r="C180" s="21" t="inlineStr">
        <is>
          <t>ENG-B</t>
        </is>
      </c>
      <c r="D180" s="11" t="inlineStr">
        <is>
          <t>Senior Manager</t>
        </is>
      </c>
      <c r="E180" s="25">
        <f>VLOOKUP(D180,Assumptions!$B$50:$D$59,2,FALSE)*H180*INDEX(Assumptions!$C$36:$C$38,1)</f>
        <v/>
      </c>
      <c r="F180" s="25">
        <f>VLOOKUP(D180,Assumptions!$B$50:$D$59,2,FALSE)*H180*INDEX(Assumptions!$C$36:$C$38,2)</f>
        <v/>
      </c>
      <c r="G180" s="25">
        <f>VLOOKUP(D180,Assumptions!$B$50:$D$59,2,FALSE)*H180*INDEX(Assumptions!$C$36:$C$38,3)</f>
        <v/>
      </c>
      <c r="H180" s="26">
        <f>VLOOKUP(C180,Assumptions!$B$27:$C$31,2,FALSE)</f>
        <v/>
      </c>
    </row>
    <row r="181">
      <c r="B181" s="7" t="inlineStr">
        <is>
          <t>ENG-B3</t>
        </is>
      </c>
      <c r="C181" s="21" t="inlineStr">
        <is>
          <t>ENG-B</t>
        </is>
      </c>
      <c r="D181" s="11" t="inlineStr">
        <is>
          <t>Manager</t>
        </is>
      </c>
      <c r="E181" s="25">
        <f>VLOOKUP(D181,Assumptions!$B$50:$D$59,2,FALSE)*H181*INDEX(Assumptions!$C$36:$C$38,1)</f>
        <v/>
      </c>
      <c r="F181" s="25">
        <f>VLOOKUP(D181,Assumptions!$B$50:$D$59,2,FALSE)*H181*INDEX(Assumptions!$C$36:$C$38,2)</f>
        <v/>
      </c>
      <c r="G181" s="25">
        <f>VLOOKUP(D181,Assumptions!$B$50:$D$59,2,FALSE)*H181*INDEX(Assumptions!$C$36:$C$38,3)</f>
        <v/>
      </c>
      <c r="H181" s="26">
        <f>VLOOKUP(C181,Assumptions!$B$27:$C$31,2,FALSE)</f>
        <v/>
      </c>
    </row>
    <row r="182">
      <c r="B182" s="7" t="inlineStr">
        <is>
          <t>ENG-B3</t>
        </is>
      </c>
      <c r="C182" s="21" t="inlineStr">
        <is>
          <t>ENG-B</t>
        </is>
      </c>
      <c r="D182" s="11" t="inlineStr">
        <is>
          <t>Lead</t>
        </is>
      </c>
      <c r="E182" s="25">
        <f>VLOOKUP(D182,Assumptions!$B$50:$D$59,2,FALSE)*H182*INDEX(Assumptions!$C$36:$C$38,1)</f>
        <v/>
      </c>
      <c r="F182" s="25">
        <f>VLOOKUP(D182,Assumptions!$B$50:$D$59,2,FALSE)*H182*INDEX(Assumptions!$C$36:$C$38,2)</f>
        <v/>
      </c>
      <c r="G182" s="25">
        <f>VLOOKUP(D182,Assumptions!$B$50:$D$59,2,FALSE)*H182*INDEX(Assumptions!$C$36:$C$38,3)</f>
        <v/>
      </c>
      <c r="H182" s="26">
        <f>VLOOKUP(C182,Assumptions!$B$27:$C$31,2,FALSE)</f>
        <v/>
      </c>
    </row>
    <row r="183">
      <c r="B183" s="7" t="inlineStr">
        <is>
          <t>ENG-B3</t>
        </is>
      </c>
      <c r="C183" s="21" t="inlineStr">
        <is>
          <t>ENG-B</t>
        </is>
      </c>
      <c r="D183" s="11" t="inlineStr">
        <is>
          <t>Senior</t>
        </is>
      </c>
      <c r="E183" s="25">
        <f>VLOOKUP(D183,Assumptions!$B$50:$D$59,2,FALSE)*H183*INDEX(Assumptions!$C$36:$C$38,1)</f>
        <v/>
      </c>
      <c r="F183" s="25">
        <f>VLOOKUP(D183,Assumptions!$B$50:$D$59,2,FALSE)*H183*INDEX(Assumptions!$C$36:$C$38,2)</f>
        <v/>
      </c>
      <c r="G183" s="25">
        <f>VLOOKUP(D183,Assumptions!$B$50:$D$59,2,FALSE)*H183*INDEX(Assumptions!$C$36:$C$38,3)</f>
        <v/>
      </c>
      <c r="H183" s="26">
        <f>VLOOKUP(C183,Assumptions!$B$27:$C$31,2,FALSE)</f>
        <v/>
      </c>
    </row>
    <row r="184">
      <c r="B184" s="7" t="inlineStr">
        <is>
          <t>ENG-B3</t>
        </is>
      </c>
      <c r="C184" s="21" t="inlineStr">
        <is>
          <t>ENG-B</t>
        </is>
      </c>
      <c r="D184" s="11" t="inlineStr">
        <is>
          <t>Intermediate</t>
        </is>
      </c>
      <c r="E184" s="25">
        <f>VLOOKUP(D184,Assumptions!$B$50:$D$59,2,FALSE)*H184*INDEX(Assumptions!$C$36:$C$38,1)</f>
        <v/>
      </c>
      <c r="F184" s="25">
        <f>VLOOKUP(D184,Assumptions!$B$50:$D$59,2,FALSE)*H184*INDEX(Assumptions!$C$36:$C$38,2)</f>
        <v/>
      </c>
      <c r="G184" s="25">
        <f>VLOOKUP(D184,Assumptions!$B$50:$D$59,2,FALSE)*H184*INDEX(Assumptions!$C$36:$C$38,3)</f>
        <v/>
      </c>
      <c r="H184" s="26">
        <f>VLOOKUP(C184,Assumptions!$B$27:$C$31,2,FALSE)</f>
        <v/>
      </c>
    </row>
    <row r="185">
      <c r="B185" s="7" t="inlineStr">
        <is>
          <t>ENG-B3</t>
        </is>
      </c>
      <c r="C185" s="21" t="inlineStr">
        <is>
          <t>ENG-B</t>
        </is>
      </c>
      <c r="D185" s="11" t="inlineStr">
        <is>
          <t>Junior</t>
        </is>
      </c>
      <c r="E185" s="25">
        <f>VLOOKUP(D185,Assumptions!$B$50:$D$59,2,FALSE)*H185*INDEX(Assumptions!$C$36:$C$38,1)</f>
        <v/>
      </c>
      <c r="F185" s="25">
        <f>VLOOKUP(D185,Assumptions!$B$50:$D$59,2,FALSE)*H185*INDEX(Assumptions!$C$36:$C$38,2)</f>
        <v/>
      </c>
      <c r="G185" s="25">
        <f>VLOOKUP(D185,Assumptions!$B$50:$D$59,2,FALSE)*H185*INDEX(Assumptions!$C$36:$C$38,3)</f>
        <v/>
      </c>
      <c r="H185" s="26">
        <f>VLOOKUP(C185,Assumptions!$B$27:$C$31,2,FALSE)</f>
        <v/>
      </c>
    </row>
    <row r="186">
      <c r="B186" s="7" t="inlineStr">
        <is>
          <t>ENG-B4</t>
        </is>
      </c>
      <c r="C186" s="21" t="inlineStr">
        <is>
          <t>ENG-B</t>
        </is>
      </c>
      <c r="D186" s="11" t="inlineStr">
        <is>
          <t>Partner</t>
        </is>
      </c>
      <c r="E186" s="25">
        <f>VLOOKUP(D186,Assumptions!$B$50:$D$59,2,FALSE)*H186*INDEX(Assumptions!$C$36:$C$38,1)</f>
        <v/>
      </c>
      <c r="F186" s="25">
        <f>VLOOKUP(D186,Assumptions!$B$50:$D$59,2,FALSE)*H186*INDEX(Assumptions!$C$36:$C$38,2)</f>
        <v/>
      </c>
      <c r="G186" s="25">
        <f>VLOOKUP(D186,Assumptions!$B$50:$D$59,2,FALSE)*H186*INDEX(Assumptions!$C$36:$C$38,3)</f>
        <v/>
      </c>
      <c r="H186" s="26">
        <f>VLOOKUP(C186,Assumptions!$B$27:$C$31,2,FALSE)</f>
        <v/>
      </c>
    </row>
    <row r="187">
      <c r="B187" s="7" t="inlineStr">
        <is>
          <t>ENG-B4</t>
        </is>
      </c>
      <c r="C187" s="21" t="inlineStr">
        <is>
          <t>ENG-B</t>
        </is>
      </c>
      <c r="D187" s="11" t="inlineStr">
        <is>
          <t>Managing Director</t>
        </is>
      </c>
      <c r="E187" s="25">
        <f>VLOOKUP(D187,Assumptions!$B$50:$D$59,2,FALSE)*H187*INDEX(Assumptions!$C$36:$C$38,1)</f>
        <v/>
      </c>
      <c r="F187" s="25">
        <f>VLOOKUP(D187,Assumptions!$B$50:$D$59,2,FALSE)*H187*INDEX(Assumptions!$C$36:$C$38,2)</f>
        <v/>
      </c>
      <c r="G187" s="25">
        <f>VLOOKUP(D187,Assumptions!$B$50:$D$59,2,FALSE)*H187*INDEX(Assumptions!$C$36:$C$38,3)</f>
        <v/>
      </c>
      <c r="H187" s="26">
        <f>VLOOKUP(C187,Assumptions!$B$27:$C$31,2,FALSE)</f>
        <v/>
      </c>
    </row>
    <row r="188">
      <c r="B188" s="7" t="inlineStr">
        <is>
          <t>ENG-B4</t>
        </is>
      </c>
      <c r="C188" s="21" t="inlineStr">
        <is>
          <t>ENG-B</t>
        </is>
      </c>
      <c r="D188" s="11" t="inlineStr">
        <is>
          <t>Principal</t>
        </is>
      </c>
      <c r="E188" s="25">
        <f>VLOOKUP(D188,Assumptions!$B$50:$D$59,2,FALSE)*H188*INDEX(Assumptions!$C$36:$C$38,1)</f>
        <v/>
      </c>
      <c r="F188" s="25">
        <f>VLOOKUP(D188,Assumptions!$B$50:$D$59,2,FALSE)*H188*INDEX(Assumptions!$C$36:$C$38,2)</f>
        <v/>
      </c>
      <c r="G188" s="25">
        <f>VLOOKUP(D188,Assumptions!$B$50:$D$59,2,FALSE)*H188*INDEX(Assumptions!$C$36:$C$38,3)</f>
        <v/>
      </c>
      <c r="H188" s="26">
        <f>VLOOKUP(C188,Assumptions!$B$27:$C$31,2,FALSE)</f>
        <v/>
      </c>
    </row>
    <row r="189">
      <c r="B189" s="7" t="inlineStr">
        <is>
          <t>ENG-B4</t>
        </is>
      </c>
      <c r="C189" s="21" t="inlineStr">
        <is>
          <t>ENG-B</t>
        </is>
      </c>
      <c r="D189" s="11" t="inlineStr">
        <is>
          <t>Director</t>
        </is>
      </c>
      <c r="E189" s="25">
        <f>VLOOKUP(D189,Assumptions!$B$50:$D$59,2,FALSE)*H189*INDEX(Assumptions!$C$36:$C$38,1)</f>
        <v/>
      </c>
      <c r="F189" s="25">
        <f>VLOOKUP(D189,Assumptions!$B$50:$D$59,2,FALSE)*H189*INDEX(Assumptions!$C$36:$C$38,2)</f>
        <v/>
      </c>
      <c r="G189" s="25">
        <f>VLOOKUP(D189,Assumptions!$B$50:$D$59,2,FALSE)*H189*INDEX(Assumptions!$C$36:$C$38,3)</f>
        <v/>
      </c>
      <c r="H189" s="26">
        <f>VLOOKUP(C189,Assumptions!$B$27:$C$31,2,FALSE)</f>
        <v/>
      </c>
    </row>
    <row r="190">
      <c r="B190" s="7" t="inlineStr">
        <is>
          <t>ENG-B4</t>
        </is>
      </c>
      <c r="C190" s="21" t="inlineStr">
        <is>
          <t>ENG-B</t>
        </is>
      </c>
      <c r="D190" s="11" t="inlineStr">
        <is>
          <t>Senior Manager</t>
        </is>
      </c>
      <c r="E190" s="25">
        <f>VLOOKUP(D190,Assumptions!$B$50:$D$59,2,FALSE)*H190*INDEX(Assumptions!$C$36:$C$38,1)</f>
        <v/>
      </c>
      <c r="F190" s="25">
        <f>VLOOKUP(D190,Assumptions!$B$50:$D$59,2,FALSE)*H190*INDEX(Assumptions!$C$36:$C$38,2)</f>
        <v/>
      </c>
      <c r="G190" s="25">
        <f>VLOOKUP(D190,Assumptions!$B$50:$D$59,2,FALSE)*H190*INDEX(Assumptions!$C$36:$C$38,3)</f>
        <v/>
      </c>
      <c r="H190" s="26">
        <f>VLOOKUP(C190,Assumptions!$B$27:$C$31,2,FALSE)</f>
        <v/>
      </c>
    </row>
    <row r="191">
      <c r="B191" s="7" t="inlineStr">
        <is>
          <t>ENG-B4</t>
        </is>
      </c>
      <c r="C191" s="21" t="inlineStr">
        <is>
          <t>ENG-B</t>
        </is>
      </c>
      <c r="D191" s="11" t="inlineStr">
        <is>
          <t>Manager</t>
        </is>
      </c>
      <c r="E191" s="25">
        <f>VLOOKUP(D191,Assumptions!$B$50:$D$59,2,FALSE)*H191*INDEX(Assumptions!$C$36:$C$38,1)</f>
        <v/>
      </c>
      <c r="F191" s="25">
        <f>VLOOKUP(D191,Assumptions!$B$50:$D$59,2,FALSE)*H191*INDEX(Assumptions!$C$36:$C$38,2)</f>
        <v/>
      </c>
      <c r="G191" s="25">
        <f>VLOOKUP(D191,Assumptions!$B$50:$D$59,2,FALSE)*H191*INDEX(Assumptions!$C$36:$C$38,3)</f>
        <v/>
      </c>
      <c r="H191" s="26">
        <f>VLOOKUP(C191,Assumptions!$B$27:$C$31,2,FALSE)</f>
        <v/>
      </c>
    </row>
    <row r="192">
      <c r="B192" s="7" t="inlineStr">
        <is>
          <t>ENG-B4</t>
        </is>
      </c>
      <c r="C192" s="21" t="inlineStr">
        <is>
          <t>ENG-B</t>
        </is>
      </c>
      <c r="D192" s="11" t="inlineStr">
        <is>
          <t>Lead</t>
        </is>
      </c>
      <c r="E192" s="25">
        <f>VLOOKUP(D192,Assumptions!$B$50:$D$59,2,FALSE)*H192*INDEX(Assumptions!$C$36:$C$38,1)</f>
        <v/>
      </c>
      <c r="F192" s="25">
        <f>VLOOKUP(D192,Assumptions!$B$50:$D$59,2,FALSE)*H192*INDEX(Assumptions!$C$36:$C$38,2)</f>
        <v/>
      </c>
      <c r="G192" s="25">
        <f>VLOOKUP(D192,Assumptions!$B$50:$D$59,2,FALSE)*H192*INDEX(Assumptions!$C$36:$C$38,3)</f>
        <v/>
      </c>
      <c r="H192" s="26">
        <f>VLOOKUP(C192,Assumptions!$B$27:$C$31,2,FALSE)</f>
        <v/>
      </c>
    </row>
    <row r="193">
      <c r="B193" s="7" t="inlineStr">
        <is>
          <t>ENG-B4</t>
        </is>
      </c>
      <c r="C193" s="21" t="inlineStr">
        <is>
          <t>ENG-B</t>
        </is>
      </c>
      <c r="D193" s="11" t="inlineStr">
        <is>
          <t>Senior</t>
        </is>
      </c>
      <c r="E193" s="25">
        <f>VLOOKUP(D193,Assumptions!$B$50:$D$59,2,FALSE)*H193*INDEX(Assumptions!$C$36:$C$38,1)</f>
        <v/>
      </c>
      <c r="F193" s="25">
        <f>VLOOKUP(D193,Assumptions!$B$50:$D$59,2,FALSE)*H193*INDEX(Assumptions!$C$36:$C$38,2)</f>
        <v/>
      </c>
      <c r="G193" s="25">
        <f>VLOOKUP(D193,Assumptions!$B$50:$D$59,2,FALSE)*H193*INDEX(Assumptions!$C$36:$C$38,3)</f>
        <v/>
      </c>
      <c r="H193" s="26">
        <f>VLOOKUP(C193,Assumptions!$B$27:$C$31,2,FALSE)</f>
        <v/>
      </c>
    </row>
    <row r="194">
      <c r="B194" s="7" t="inlineStr">
        <is>
          <t>ENG-B4</t>
        </is>
      </c>
      <c r="C194" s="21" t="inlineStr">
        <is>
          <t>ENG-B</t>
        </is>
      </c>
      <c r="D194" s="11" t="inlineStr">
        <is>
          <t>Intermediate</t>
        </is>
      </c>
      <c r="E194" s="25">
        <f>VLOOKUP(D194,Assumptions!$B$50:$D$59,2,FALSE)*H194*INDEX(Assumptions!$C$36:$C$38,1)</f>
        <v/>
      </c>
      <c r="F194" s="25">
        <f>VLOOKUP(D194,Assumptions!$B$50:$D$59,2,FALSE)*H194*INDEX(Assumptions!$C$36:$C$38,2)</f>
        <v/>
      </c>
      <c r="G194" s="25">
        <f>VLOOKUP(D194,Assumptions!$B$50:$D$59,2,FALSE)*H194*INDEX(Assumptions!$C$36:$C$38,3)</f>
        <v/>
      </c>
      <c r="H194" s="26">
        <f>VLOOKUP(C194,Assumptions!$B$27:$C$31,2,FALSE)</f>
        <v/>
      </c>
    </row>
    <row r="195">
      <c r="B195" s="7" t="inlineStr">
        <is>
          <t>ENG-B4</t>
        </is>
      </c>
      <c r="C195" s="21" t="inlineStr">
        <is>
          <t>ENG-B</t>
        </is>
      </c>
      <c r="D195" s="11" t="inlineStr">
        <is>
          <t>Junior</t>
        </is>
      </c>
      <c r="E195" s="25">
        <f>VLOOKUP(D195,Assumptions!$B$50:$D$59,2,FALSE)*H195*INDEX(Assumptions!$C$36:$C$38,1)</f>
        <v/>
      </c>
      <c r="F195" s="25">
        <f>VLOOKUP(D195,Assumptions!$B$50:$D$59,2,FALSE)*H195*INDEX(Assumptions!$C$36:$C$38,2)</f>
        <v/>
      </c>
      <c r="G195" s="25">
        <f>VLOOKUP(D195,Assumptions!$B$50:$D$59,2,FALSE)*H195*INDEX(Assumptions!$C$36:$C$38,3)</f>
        <v/>
      </c>
      <c r="H195" s="26">
        <f>VLOOKUP(C195,Assumptions!$B$27:$C$31,2,FALSE)</f>
        <v/>
      </c>
    </row>
    <row r="196">
      <c r="B196" s="7" t="inlineStr">
        <is>
          <t>AI-B1</t>
        </is>
      </c>
      <c r="C196" s="21" t="inlineStr">
        <is>
          <t>AI-B</t>
        </is>
      </c>
      <c r="D196" s="11" t="inlineStr">
        <is>
          <t>Partner</t>
        </is>
      </c>
      <c r="E196" s="25">
        <f>VLOOKUP(D196,Assumptions!$B$50:$D$59,2,FALSE)*H196*INDEX(Assumptions!$C$36:$C$38,1)</f>
        <v/>
      </c>
      <c r="F196" s="25">
        <f>VLOOKUP(D196,Assumptions!$B$50:$D$59,2,FALSE)*H196*INDEX(Assumptions!$C$36:$C$38,2)</f>
        <v/>
      </c>
      <c r="G196" s="25">
        <f>VLOOKUP(D196,Assumptions!$B$50:$D$59,2,FALSE)*H196*INDEX(Assumptions!$C$36:$C$38,3)</f>
        <v/>
      </c>
      <c r="H196" s="26">
        <f>VLOOKUP(C196,Assumptions!$B$27:$C$31,2,FALSE)</f>
        <v/>
      </c>
    </row>
    <row r="197">
      <c r="B197" s="7" t="inlineStr">
        <is>
          <t>AI-B1</t>
        </is>
      </c>
      <c r="C197" s="21" t="inlineStr">
        <is>
          <t>AI-B</t>
        </is>
      </c>
      <c r="D197" s="11" t="inlineStr">
        <is>
          <t>Managing Director</t>
        </is>
      </c>
      <c r="E197" s="25">
        <f>VLOOKUP(D197,Assumptions!$B$50:$D$59,2,FALSE)*H197*INDEX(Assumptions!$C$36:$C$38,1)</f>
        <v/>
      </c>
      <c r="F197" s="25">
        <f>VLOOKUP(D197,Assumptions!$B$50:$D$59,2,FALSE)*H197*INDEX(Assumptions!$C$36:$C$38,2)</f>
        <v/>
      </c>
      <c r="G197" s="25">
        <f>VLOOKUP(D197,Assumptions!$B$50:$D$59,2,FALSE)*H197*INDEX(Assumptions!$C$36:$C$38,3)</f>
        <v/>
      </c>
      <c r="H197" s="26">
        <f>VLOOKUP(C197,Assumptions!$B$27:$C$31,2,FALSE)</f>
        <v/>
      </c>
    </row>
    <row r="198">
      <c r="B198" s="7" t="inlineStr">
        <is>
          <t>AI-B1</t>
        </is>
      </c>
      <c r="C198" s="21" t="inlineStr">
        <is>
          <t>AI-B</t>
        </is>
      </c>
      <c r="D198" s="11" t="inlineStr">
        <is>
          <t>Principal</t>
        </is>
      </c>
      <c r="E198" s="25">
        <f>VLOOKUP(D198,Assumptions!$B$50:$D$59,2,FALSE)*H198*INDEX(Assumptions!$C$36:$C$38,1)</f>
        <v/>
      </c>
      <c r="F198" s="25">
        <f>VLOOKUP(D198,Assumptions!$B$50:$D$59,2,FALSE)*H198*INDEX(Assumptions!$C$36:$C$38,2)</f>
        <v/>
      </c>
      <c r="G198" s="25">
        <f>VLOOKUP(D198,Assumptions!$B$50:$D$59,2,FALSE)*H198*INDEX(Assumptions!$C$36:$C$38,3)</f>
        <v/>
      </c>
      <c r="H198" s="26">
        <f>VLOOKUP(C198,Assumptions!$B$27:$C$31,2,FALSE)</f>
        <v/>
      </c>
    </row>
    <row r="199">
      <c r="B199" s="7" t="inlineStr">
        <is>
          <t>AI-B1</t>
        </is>
      </c>
      <c r="C199" s="21" t="inlineStr">
        <is>
          <t>AI-B</t>
        </is>
      </c>
      <c r="D199" s="11" t="inlineStr">
        <is>
          <t>Director</t>
        </is>
      </c>
      <c r="E199" s="25">
        <f>VLOOKUP(D199,Assumptions!$B$50:$D$59,2,FALSE)*H199*INDEX(Assumptions!$C$36:$C$38,1)</f>
        <v/>
      </c>
      <c r="F199" s="25">
        <f>VLOOKUP(D199,Assumptions!$B$50:$D$59,2,FALSE)*H199*INDEX(Assumptions!$C$36:$C$38,2)</f>
        <v/>
      </c>
      <c r="G199" s="25">
        <f>VLOOKUP(D199,Assumptions!$B$50:$D$59,2,FALSE)*H199*INDEX(Assumptions!$C$36:$C$38,3)</f>
        <v/>
      </c>
      <c r="H199" s="26">
        <f>VLOOKUP(C199,Assumptions!$B$27:$C$31,2,FALSE)</f>
        <v/>
      </c>
    </row>
    <row r="200">
      <c r="B200" s="7" t="inlineStr">
        <is>
          <t>AI-B1</t>
        </is>
      </c>
      <c r="C200" s="21" t="inlineStr">
        <is>
          <t>AI-B</t>
        </is>
      </c>
      <c r="D200" s="11" t="inlineStr">
        <is>
          <t>Senior Manager</t>
        </is>
      </c>
      <c r="E200" s="25">
        <f>VLOOKUP(D200,Assumptions!$B$50:$D$59,2,FALSE)*H200*INDEX(Assumptions!$C$36:$C$38,1)</f>
        <v/>
      </c>
      <c r="F200" s="25">
        <f>VLOOKUP(D200,Assumptions!$B$50:$D$59,2,FALSE)*H200*INDEX(Assumptions!$C$36:$C$38,2)</f>
        <v/>
      </c>
      <c r="G200" s="25">
        <f>VLOOKUP(D200,Assumptions!$B$50:$D$59,2,FALSE)*H200*INDEX(Assumptions!$C$36:$C$38,3)</f>
        <v/>
      </c>
      <c r="H200" s="26">
        <f>VLOOKUP(C200,Assumptions!$B$27:$C$31,2,FALSE)</f>
        <v/>
      </c>
    </row>
    <row r="201">
      <c r="B201" s="7" t="inlineStr">
        <is>
          <t>AI-B1</t>
        </is>
      </c>
      <c r="C201" s="21" t="inlineStr">
        <is>
          <t>AI-B</t>
        </is>
      </c>
      <c r="D201" s="11" t="inlineStr">
        <is>
          <t>Manager</t>
        </is>
      </c>
      <c r="E201" s="25">
        <f>VLOOKUP(D201,Assumptions!$B$50:$D$59,2,FALSE)*H201*INDEX(Assumptions!$C$36:$C$38,1)</f>
        <v/>
      </c>
      <c r="F201" s="25">
        <f>VLOOKUP(D201,Assumptions!$B$50:$D$59,2,FALSE)*H201*INDEX(Assumptions!$C$36:$C$38,2)</f>
        <v/>
      </c>
      <c r="G201" s="25">
        <f>VLOOKUP(D201,Assumptions!$B$50:$D$59,2,FALSE)*H201*INDEX(Assumptions!$C$36:$C$38,3)</f>
        <v/>
      </c>
      <c r="H201" s="26">
        <f>VLOOKUP(C201,Assumptions!$B$27:$C$31,2,FALSE)</f>
        <v/>
      </c>
    </row>
    <row r="202">
      <c r="B202" s="7" t="inlineStr">
        <is>
          <t>AI-B1</t>
        </is>
      </c>
      <c r="C202" s="21" t="inlineStr">
        <is>
          <t>AI-B</t>
        </is>
      </c>
      <c r="D202" s="11" t="inlineStr">
        <is>
          <t>Lead</t>
        </is>
      </c>
      <c r="E202" s="25">
        <f>VLOOKUP(D202,Assumptions!$B$50:$D$59,2,FALSE)*H202*INDEX(Assumptions!$C$36:$C$38,1)</f>
        <v/>
      </c>
      <c r="F202" s="25">
        <f>VLOOKUP(D202,Assumptions!$B$50:$D$59,2,FALSE)*H202*INDEX(Assumptions!$C$36:$C$38,2)</f>
        <v/>
      </c>
      <c r="G202" s="25">
        <f>VLOOKUP(D202,Assumptions!$B$50:$D$59,2,FALSE)*H202*INDEX(Assumptions!$C$36:$C$38,3)</f>
        <v/>
      </c>
      <c r="H202" s="26">
        <f>VLOOKUP(C202,Assumptions!$B$27:$C$31,2,FALSE)</f>
        <v/>
      </c>
    </row>
    <row r="203">
      <c r="B203" s="7" t="inlineStr">
        <is>
          <t>AI-B1</t>
        </is>
      </c>
      <c r="C203" s="21" t="inlineStr">
        <is>
          <t>AI-B</t>
        </is>
      </c>
      <c r="D203" s="11" t="inlineStr">
        <is>
          <t>Senior</t>
        </is>
      </c>
      <c r="E203" s="25">
        <f>VLOOKUP(D203,Assumptions!$B$50:$D$59,2,FALSE)*H203*INDEX(Assumptions!$C$36:$C$38,1)</f>
        <v/>
      </c>
      <c r="F203" s="25">
        <f>VLOOKUP(D203,Assumptions!$B$50:$D$59,2,FALSE)*H203*INDEX(Assumptions!$C$36:$C$38,2)</f>
        <v/>
      </c>
      <c r="G203" s="25">
        <f>VLOOKUP(D203,Assumptions!$B$50:$D$59,2,FALSE)*H203*INDEX(Assumptions!$C$36:$C$38,3)</f>
        <v/>
      </c>
      <c r="H203" s="26">
        <f>VLOOKUP(C203,Assumptions!$B$27:$C$31,2,FALSE)</f>
        <v/>
      </c>
    </row>
    <row r="204">
      <c r="B204" s="7" t="inlineStr">
        <is>
          <t>AI-B1</t>
        </is>
      </c>
      <c r="C204" s="21" t="inlineStr">
        <is>
          <t>AI-B</t>
        </is>
      </c>
      <c r="D204" s="11" t="inlineStr">
        <is>
          <t>Intermediate</t>
        </is>
      </c>
      <c r="E204" s="25">
        <f>VLOOKUP(D204,Assumptions!$B$50:$D$59,2,FALSE)*H204*INDEX(Assumptions!$C$36:$C$38,1)</f>
        <v/>
      </c>
      <c r="F204" s="25">
        <f>VLOOKUP(D204,Assumptions!$B$50:$D$59,2,FALSE)*H204*INDEX(Assumptions!$C$36:$C$38,2)</f>
        <v/>
      </c>
      <c r="G204" s="25">
        <f>VLOOKUP(D204,Assumptions!$B$50:$D$59,2,FALSE)*H204*INDEX(Assumptions!$C$36:$C$38,3)</f>
        <v/>
      </c>
      <c r="H204" s="26">
        <f>VLOOKUP(C204,Assumptions!$B$27:$C$31,2,FALSE)</f>
        <v/>
      </c>
    </row>
    <row r="205">
      <c r="B205" s="7" t="inlineStr">
        <is>
          <t>AI-B1</t>
        </is>
      </c>
      <c r="C205" s="21" t="inlineStr">
        <is>
          <t>AI-B</t>
        </is>
      </c>
      <c r="D205" s="11" t="inlineStr">
        <is>
          <t>Junior</t>
        </is>
      </c>
      <c r="E205" s="25">
        <f>VLOOKUP(D205,Assumptions!$B$50:$D$59,2,FALSE)*H205*INDEX(Assumptions!$C$36:$C$38,1)</f>
        <v/>
      </c>
      <c r="F205" s="25">
        <f>VLOOKUP(D205,Assumptions!$B$50:$D$59,2,FALSE)*H205*INDEX(Assumptions!$C$36:$C$38,2)</f>
        <v/>
      </c>
      <c r="G205" s="25">
        <f>VLOOKUP(D205,Assumptions!$B$50:$D$59,2,FALSE)*H205*INDEX(Assumptions!$C$36:$C$38,3)</f>
        <v/>
      </c>
      <c r="H205" s="26">
        <f>VLOOKUP(C205,Assumptions!$B$27:$C$31,2,FALSE)</f>
        <v/>
      </c>
    </row>
    <row r="206">
      <c r="B206" s="7" t="inlineStr">
        <is>
          <t>AI-B2</t>
        </is>
      </c>
      <c r="C206" s="21" t="inlineStr">
        <is>
          <t>AI-B</t>
        </is>
      </c>
      <c r="D206" s="11" t="inlineStr">
        <is>
          <t>Partner</t>
        </is>
      </c>
      <c r="E206" s="25">
        <f>VLOOKUP(D206,Assumptions!$B$50:$D$59,2,FALSE)*H206*INDEX(Assumptions!$C$36:$C$38,1)</f>
        <v/>
      </c>
      <c r="F206" s="25">
        <f>VLOOKUP(D206,Assumptions!$B$50:$D$59,2,FALSE)*H206*INDEX(Assumptions!$C$36:$C$38,2)</f>
        <v/>
      </c>
      <c r="G206" s="25">
        <f>VLOOKUP(D206,Assumptions!$B$50:$D$59,2,FALSE)*H206*INDEX(Assumptions!$C$36:$C$38,3)</f>
        <v/>
      </c>
      <c r="H206" s="26">
        <f>VLOOKUP(C206,Assumptions!$B$27:$C$31,2,FALSE)</f>
        <v/>
      </c>
    </row>
    <row r="207">
      <c r="B207" s="7" t="inlineStr">
        <is>
          <t>AI-B2</t>
        </is>
      </c>
      <c r="C207" s="21" t="inlineStr">
        <is>
          <t>AI-B</t>
        </is>
      </c>
      <c r="D207" s="11" t="inlineStr">
        <is>
          <t>Managing Director</t>
        </is>
      </c>
      <c r="E207" s="25">
        <f>VLOOKUP(D207,Assumptions!$B$50:$D$59,2,FALSE)*H207*INDEX(Assumptions!$C$36:$C$38,1)</f>
        <v/>
      </c>
      <c r="F207" s="25">
        <f>VLOOKUP(D207,Assumptions!$B$50:$D$59,2,FALSE)*H207*INDEX(Assumptions!$C$36:$C$38,2)</f>
        <v/>
      </c>
      <c r="G207" s="25">
        <f>VLOOKUP(D207,Assumptions!$B$50:$D$59,2,FALSE)*H207*INDEX(Assumptions!$C$36:$C$38,3)</f>
        <v/>
      </c>
      <c r="H207" s="26">
        <f>VLOOKUP(C207,Assumptions!$B$27:$C$31,2,FALSE)</f>
        <v/>
      </c>
    </row>
    <row r="208">
      <c r="B208" s="7" t="inlineStr">
        <is>
          <t>AI-B2</t>
        </is>
      </c>
      <c r="C208" s="21" t="inlineStr">
        <is>
          <t>AI-B</t>
        </is>
      </c>
      <c r="D208" s="11" t="inlineStr">
        <is>
          <t>Principal</t>
        </is>
      </c>
      <c r="E208" s="25">
        <f>VLOOKUP(D208,Assumptions!$B$50:$D$59,2,FALSE)*H208*INDEX(Assumptions!$C$36:$C$38,1)</f>
        <v/>
      </c>
      <c r="F208" s="25">
        <f>VLOOKUP(D208,Assumptions!$B$50:$D$59,2,FALSE)*H208*INDEX(Assumptions!$C$36:$C$38,2)</f>
        <v/>
      </c>
      <c r="G208" s="25">
        <f>VLOOKUP(D208,Assumptions!$B$50:$D$59,2,FALSE)*H208*INDEX(Assumptions!$C$36:$C$38,3)</f>
        <v/>
      </c>
      <c r="H208" s="26">
        <f>VLOOKUP(C208,Assumptions!$B$27:$C$31,2,FALSE)</f>
        <v/>
      </c>
    </row>
    <row r="209">
      <c r="B209" s="7" t="inlineStr">
        <is>
          <t>AI-B2</t>
        </is>
      </c>
      <c r="C209" s="21" t="inlineStr">
        <is>
          <t>AI-B</t>
        </is>
      </c>
      <c r="D209" s="11" t="inlineStr">
        <is>
          <t>Director</t>
        </is>
      </c>
      <c r="E209" s="25">
        <f>VLOOKUP(D209,Assumptions!$B$50:$D$59,2,FALSE)*H209*INDEX(Assumptions!$C$36:$C$38,1)</f>
        <v/>
      </c>
      <c r="F209" s="25">
        <f>VLOOKUP(D209,Assumptions!$B$50:$D$59,2,FALSE)*H209*INDEX(Assumptions!$C$36:$C$38,2)</f>
        <v/>
      </c>
      <c r="G209" s="25">
        <f>VLOOKUP(D209,Assumptions!$B$50:$D$59,2,FALSE)*H209*INDEX(Assumptions!$C$36:$C$38,3)</f>
        <v/>
      </c>
      <c r="H209" s="26">
        <f>VLOOKUP(C209,Assumptions!$B$27:$C$31,2,FALSE)</f>
        <v/>
      </c>
    </row>
    <row r="210">
      <c r="B210" s="7" t="inlineStr">
        <is>
          <t>AI-B2</t>
        </is>
      </c>
      <c r="C210" s="21" t="inlineStr">
        <is>
          <t>AI-B</t>
        </is>
      </c>
      <c r="D210" s="11" t="inlineStr">
        <is>
          <t>Senior Manager</t>
        </is>
      </c>
      <c r="E210" s="25">
        <f>VLOOKUP(D210,Assumptions!$B$50:$D$59,2,FALSE)*H210*INDEX(Assumptions!$C$36:$C$38,1)</f>
        <v/>
      </c>
      <c r="F210" s="25">
        <f>VLOOKUP(D210,Assumptions!$B$50:$D$59,2,FALSE)*H210*INDEX(Assumptions!$C$36:$C$38,2)</f>
        <v/>
      </c>
      <c r="G210" s="25">
        <f>VLOOKUP(D210,Assumptions!$B$50:$D$59,2,FALSE)*H210*INDEX(Assumptions!$C$36:$C$38,3)</f>
        <v/>
      </c>
      <c r="H210" s="26">
        <f>VLOOKUP(C210,Assumptions!$B$27:$C$31,2,FALSE)</f>
        <v/>
      </c>
    </row>
    <row r="211">
      <c r="B211" s="7" t="inlineStr">
        <is>
          <t>AI-B2</t>
        </is>
      </c>
      <c r="C211" s="21" t="inlineStr">
        <is>
          <t>AI-B</t>
        </is>
      </c>
      <c r="D211" s="11" t="inlineStr">
        <is>
          <t>Manager</t>
        </is>
      </c>
      <c r="E211" s="25">
        <f>VLOOKUP(D211,Assumptions!$B$50:$D$59,2,FALSE)*H211*INDEX(Assumptions!$C$36:$C$38,1)</f>
        <v/>
      </c>
      <c r="F211" s="25">
        <f>VLOOKUP(D211,Assumptions!$B$50:$D$59,2,FALSE)*H211*INDEX(Assumptions!$C$36:$C$38,2)</f>
        <v/>
      </c>
      <c r="G211" s="25">
        <f>VLOOKUP(D211,Assumptions!$B$50:$D$59,2,FALSE)*H211*INDEX(Assumptions!$C$36:$C$38,3)</f>
        <v/>
      </c>
      <c r="H211" s="26">
        <f>VLOOKUP(C211,Assumptions!$B$27:$C$31,2,FALSE)</f>
        <v/>
      </c>
    </row>
    <row r="212">
      <c r="B212" s="7" t="inlineStr">
        <is>
          <t>AI-B2</t>
        </is>
      </c>
      <c r="C212" s="21" t="inlineStr">
        <is>
          <t>AI-B</t>
        </is>
      </c>
      <c r="D212" s="11" t="inlineStr">
        <is>
          <t>Lead</t>
        </is>
      </c>
      <c r="E212" s="25">
        <f>VLOOKUP(D212,Assumptions!$B$50:$D$59,2,FALSE)*H212*INDEX(Assumptions!$C$36:$C$38,1)</f>
        <v/>
      </c>
      <c r="F212" s="25">
        <f>VLOOKUP(D212,Assumptions!$B$50:$D$59,2,FALSE)*H212*INDEX(Assumptions!$C$36:$C$38,2)</f>
        <v/>
      </c>
      <c r="G212" s="25">
        <f>VLOOKUP(D212,Assumptions!$B$50:$D$59,2,FALSE)*H212*INDEX(Assumptions!$C$36:$C$38,3)</f>
        <v/>
      </c>
      <c r="H212" s="26">
        <f>VLOOKUP(C212,Assumptions!$B$27:$C$31,2,FALSE)</f>
        <v/>
      </c>
    </row>
    <row r="213">
      <c r="B213" s="7" t="inlineStr">
        <is>
          <t>AI-B2</t>
        </is>
      </c>
      <c r="C213" s="21" t="inlineStr">
        <is>
          <t>AI-B</t>
        </is>
      </c>
      <c r="D213" s="11" t="inlineStr">
        <is>
          <t>Senior</t>
        </is>
      </c>
      <c r="E213" s="25">
        <f>VLOOKUP(D213,Assumptions!$B$50:$D$59,2,FALSE)*H213*INDEX(Assumptions!$C$36:$C$38,1)</f>
        <v/>
      </c>
      <c r="F213" s="25">
        <f>VLOOKUP(D213,Assumptions!$B$50:$D$59,2,FALSE)*H213*INDEX(Assumptions!$C$36:$C$38,2)</f>
        <v/>
      </c>
      <c r="G213" s="25">
        <f>VLOOKUP(D213,Assumptions!$B$50:$D$59,2,FALSE)*H213*INDEX(Assumptions!$C$36:$C$38,3)</f>
        <v/>
      </c>
      <c r="H213" s="26">
        <f>VLOOKUP(C213,Assumptions!$B$27:$C$31,2,FALSE)</f>
        <v/>
      </c>
    </row>
    <row r="214">
      <c r="B214" s="7" t="inlineStr">
        <is>
          <t>AI-B2</t>
        </is>
      </c>
      <c r="C214" s="21" t="inlineStr">
        <is>
          <t>AI-B</t>
        </is>
      </c>
      <c r="D214" s="11" t="inlineStr">
        <is>
          <t>Intermediate</t>
        </is>
      </c>
      <c r="E214" s="25">
        <f>VLOOKUP(D214,Assumptions!$B$50:$D$59,2,FALSE)*H214*INDEX(Assumptions!$C$36:$C$38,1)</f>
        <v/>
      </c>
      <c r="F214" s="25">
        <f>VLOOKUP(D214,Assumptions!$B$50:$D$59,2,FALSE)*H214*INDEX(Assumptions!$C$36:$C$38,2)</f>
        <v/>
      </c>
      <c r="G214" s="25">
        <f>VLOOKUP(D214,Assumptions!$B$50:$D$59,2,FALSE)*H214*INDEX(Assumptions!$C$36:$C$38,3)</f>
        <v/>
      </c>
      <c r="H214" s="26">
        <f>VLOOKUP(C214,Assumptions!$B$27:$C$31,2,FALSE)</f>
        <v/>
      </c>
    </row>
    <row r="215">
      <c r="B215" s="7" t="inlineStr">
        <is>
          <t>AI-B2</t>
        </is>
      </c>
      <c r="C215" s="21" t="inlineStr">
        <is>
          <t>AI-B</t>
        </is>
      </c>
      <c r="D215" s="11" t="inlineStr">
        <is>
          <t>Junior</t>
        </is>
      </c>
      <c r="E215" s="25">
        <f>VLOOKUP(D215,Assumptions!$B$50:$D$59,2,FALSE)*H215*INDEX(Assumptions!$C$36:$C$38,1)</f>
        <v/>
      </c>
      <c r="F215" s="25">
        <f>VLOOKUP(D215,Assumptions!$B$50:$D$59,2,FALSE)*H215*INDEX(Assumptions!$C$36:$C$38,2)</f>
        <v/>
      </c>
      <c r="G215" s="25">
        <f>VLOOKUP(D215,Assumptions!$B$50:$D$59,2,FALSE)*H215*INDEX(Assumptions!$C$36:$C$38,3)</f>
        <v/>
      </c>
      <c r="H215" s="26">
        <f>VLOOKUP(C215,Assumptions!$B$27:$C$31,2,FALSE)</f>
        <v/>
      </c>
    </row>
    <row r="216">
      <c r="B216" s="7" t="inlineStr">
        <is>
          <t>AI-B3</t>
        </is>
      </c>
      <c r="C216" s="21" t="inlineStr">
        <is>
          <t>AI-B</t>
        </is>
      </c>
      <c r="D216" s="11" t="inlineStr">
        <is>
          <t>Partner</t>
        </is>
      </c>
      <c r="E216" s="25">
        <f>VLOOKUP(D216,Assumptions!$B$50:$D$59,2,FALSE)*H216*INDEX(Assumptions!$C$36:$C$38,1)</f>
        <v/>
      </c>
      <c r="F216" s="25">
        <f>VLOOKUP(D216,Assumptions!$B$50:$D$59,2,FALSE)*H216*INDEX(Assumptions!$C$36:$C$38,2)</f>
        <v/>
      </c>
      <c r="G216" s="25">
        <f>VLOOKUP(D216,Assumptions!$B$50:$D$59,2,FALSE)*H216*INDEX(Assumptions!$C$36:$C$38,3)</f>
        <v/>
      </c>
      <c r="H216" s="26">
        <f>VLOOKUP(C216,Assumptions!$B$27:$C$31,2,FALSE)</f>
        <v/>
      </c>
    </row>
    <row r="217">
      <c r="B217" s="7" t="inlineStr">
        <is>
          <t>AI-B3</t>
        </is>
      </c>
      <c r="C217" s="21" t="inlineStr">
        <is>
          <t>AI-B</t>
        </is>
      </c>
      <c r="D217" s="11" t="inlineStr">
        <is>
          <t>Managing Director</t>
        </is>
      </c>
      <c r="E217" s="25">
        <f>VLOOKUP(D217,Assumptions!$B$50:$D$59,2,FALSE)*H217*INDEX(Assumptions!$C$36:$C$38,1)</f>
        <v/>
      </c>
      <c r="F217" s="25">
        <f>VLOOKUP(D217,Assumptions!$B$50:$D$59,2,FALSE)*H217*INDEX(Assumptions!$C$36:$C$38,2)</f>
        <v/>
      </c>
      <c r="G217" s="25">
        <f>VLOOKUP(D217,Assumptions!$B$50:$D$59,2,FALSE)*H217*INDEX(Assumptions!$C$36:$C$38,3)</f>
        <v/>
      </c>
      <c r="H217" s="26">
        <f>VLOOKUP(C217,Assumptions!$B$27:$C$31,2,FALSE)</f>
        <v/>
      </c>
    </row>
    <row r="218">
      <c r="B218" s="7" t="inlineStr">
        <is>
          <t>AI-B3</t>
        </is>
      </c>
      <c r="C218" s="21" t="inlineStr">
        <is>
          <t>AI-B</t>
        </is>
      </c>
      <c r="D218" s="11" t="inlineStr">
        <is>
          <t>Principal</t>
        </is>
      </c>
      <c r="E218" s="25">
        <f>VLOOKUP(D218,Assumptions!$B$50:$D$59,2,FALSE)*H218*INDEX(Assumptions!$C$36:$C$38,1)</f>
        <v/>
      </c>
      <c r="F218" s="25">
        <f>VLOOKUP(D218,Assumptions!$B$50:$D$59,2,FALSE)*H218*INDEX(Assumptions!$C$36:$C$38,2)</f>
        <v/>
      </c>
      <c r="G218" s="25">
        <f>VLOOKUP(D218,Assumptions!$B$50:$D$59,2,FALSE)*H218*INDEX(Assumptions!$C$36:$C$38,3)</f>
        <v/>
      </c>
      <c r="H218" s="26">
        <f>VLOOKUP(C218,Assumptions!$B$27:$C$31,2,FALSE)</f>
        <v/>
      </c>
    </row>
    <row r="219">
      <c r="B219" s="7" t="inlineStr">
        <is>
          <t>AI-B3</t>
        </is>
      </c>
      <c r="C219" s="21" t="inlineStr">
        <is>
          <t>AI-B</t>
        </is>
      </c>
      <c r="D219" s="11" t="inlineStr">
        <is>
          <t>Director</t>
        </is>
      </c>
      <c r="E219" s="25">
        <f>VLOOKUP(D219,Assumptions!$B$50:$D$59,2,FALSE)*H219*INDEX(Assumptions!$C$36:$C$38,1)</f>
        <v/>
      </c>
      <c r="F219" s="25">
        <f>VLOOKUP(D219,Assumptions!$B$50:$D$59,2,FALSE)*H219*INDEX(Assumptions!$C$36:$C$38,2)</f>
        <v/>
      </c>
      <c r="G219" s="25">
        <f>VLOOKUP(D219,Assumptions!$B$50:$D$59,2,FALSE)*H219*INDEX(Assumptions!$C$36:$C$38,3)</f>
        <v/>
      </c>
      <c r="H219" s="26">
        <f>VLOOKUP(C219,Assumptions!$B$27:$C$31,2,FALSE)</f>
        <v/>
      </c>
    </row>
    <row r="220">
      <c r="B220" s="7" t="inlineStr">
        <is>
          <t>AI-B3</t>
        </is>
      </c>
      <c r="C220" s="21" t="inlineStr">
        <is>
          <t>AI-B</t>
        </is>
      </c>
      <c r="D220" s="11" t="inlineStr">
        <is>
          <t>Senior Manager</t>
        </is>
      </c>
      <c r="E220" s="25">
        <f>VLOOKUP(D220,Assumptions!$B$50:$D$59,2,FALSE)*H220*INDEX(Assumptions!$C$36:$C$38,1)</f>
        <v/>
      </c>
      <c r="F220" s="25">
        <f>VLOOKUP(D220,Assumptions!$B$50:$D$59,2,FALSE)*H220*INDEX(Assumptions!$C$36:$C$38,2)</f>
        <v/>
      </c>
      <c r="G220" s="25">
        <f>VLOOKUP(D220,Assumptions!$B$50:$D$59,2,FALSE)*H220*INDEX(Assumptions!$C$36:$C$38,3)</f>
        <v/>
      </c>
      <c r="H220" s="26">
        <f>VLOOKUP(C220,Assumptions!$B$27:$C$31,2,FALSE)</f>
        <v/>
      </c>
    </row>
    <row r="221">
      <c r="B221" s="7" t="inlineStr">
        <is>
          <t>AI-B3</t>
        </is>
      </c>
      <c r="C221" s="21" t="inlineStr">
        <is>
          <t>AI-B</t>
        </is>
      </c>
      <c r="D221" s="11" t="inlineStr">
        <is>
          <t>Manager</t>
        </is>
      </c>
      <c r="E221" s="25">
        <f>VLOOKUP(D221,Assumptions!$B$50:$D$59,2,FALSE)*H221*INDEX(Assumptions!$C$36:$C$38,1)</f>
        <v/>
      </c>
      <c r="F221" s="25">
        <f>VLOOKUP(D221,Assumptions!$B$50:$D$59,2,FALSE)*H221*INDEX(Assumptions!$C$36:$C$38,2)</f>
        <v/>
      </c>
      <c r="G221" s="25">
        <f>VLOOKUP(D221,Assumptions!$B$50:$D$59,2,FALSE)*H221*INDEX(Assumptions!$C$36:$C$38,3)</f>
        <v/>
      </c>
      <c r="H221" s="26">
        <f>VLOOKUP(C221,Assumptions!$B$27:$C$31,2,FALSE)</f>
        <v/>
      </c>
    </row>
    <row r="222">
      <c r="B222" s="7" t="inlineStr">
        <is>
          <t>AI-B3</t>
        </is>
      </c>
      <c r="C222" s="21" t="inlineStr">
        <is>
          <t>AI-B</t>
        </is>
      </c>
      <c r="D222" s="11" t="inlineStr">
        <is>
          <t>Lead</t>
        </is>
      </c>
      <c r="E222" s="25">
        <f>VLOOKUP(D222,Assumptions!$B$50:$D$59,2,FALSE)*H222*INDEX(Assumptions!$C$36:$C$38,1)</f>
        <v/>
      </c>
      <c r="F222" s="25">
        <f>VLOOKUP(D222,Assumptions!$B$50:$D$59,2,FALSE)*H222*INDEX(Assumptions!$C$36:$C$38,2)</f>
        <v/>
      </c>
      <c r="G222" s="25">
        <f>VLOOKUP(D222,Assumptions!$B$50:$D$59,2,FALSE)*H222*INDEX(Assumptions!$C$36:$C$38,3)</f>
        <v/>
      </c>
      <c r="H222" s="26">
        <f>VLOOKUP(C222,Assumptions!$B$27:$C$31,2,FALSE)</f>
        <v/>
      </c>
    </row>
    <row r="223">
      <c r="B223" s="7" t="inlineStr">
        <is>
          <t>AI-B3</t>
        </is>
      </c>
      <c r="C223" s="21" t="inlineStr">
        <is>
          <t>AI-B</t>
        </is>
      </c>
      <c r="D223" s="11" t="inlineStr">
        <is>
          <t>Senior</t>
        </is>
      </c>
      <c r="E223" s="25">
        <f>VLOOKUP(D223,Assumptions!$B$50:$D$59,2,FALSE)*H223*INDEX(Assumptions!$C$36:$C$38,1)</f>
        <v/>
      </c>
      <c r="F223" s="25">
        <f>VLOOKUP(D223,Assumptions!$B$50:$D$59,2,FALSE)*H223*INDEX(Assumptions!$C$36:$C$38,2)</f>
        <v/>
      </c>
      <c r="G223" s="25">
        <f>VLOOKUP(D223,Assumptions!$B$50:$D$59,2,FALSE)*H223*INDEX(Assumptions!$C$36:$C$38,3)</f>
        <v/>
      </c>
      <c r="H223" s="26">
        <f>VLOOKUP(C223,Assumptions!$B$27:$C$31,2,FALSE)</f>
        <v/>
      </c>
    </row>
    <row r="224">
      <c r="B224" s="7" t="inlineStr">
        <is>
          <t>AI-B3</t>
        </is>
      </c>
      <c r="C224" s="21" t="inlineStr">
        <is>
          <t>AI-B</t>
        </is>
      </c>
      <c r="D224" s="11" t="inlineStr">
        <is>
          <t>Intermediate</t>
        </is>
      </c>
      <c r="E224" s="25">
        <f>VLOOKUP(D224,Assumptions!$B$50:$D$59,2,FALSE)*H224*INDEX(Assumptions!$C$36:$C$38,1)</f>
        <v/>
      </c>
      <c r="F224" s="25">
        <f>VLOOKUP(D224,Assumptions!$B$50:$D$59,2,FALSE)*H224*INDEX(Assumptions!$C$36:$C$38,2)</f>
        <v/>
      </c>
      <c r="G224" s="25">
        <f>VLOOKUP(D224,Assumptions!$B$50:$D$59,2,FALSE)*H224*INDEX(Assumptions!$C$36:$C$38,3)</f>
        <v/>
      </c>
      <c r="H224" s="26">
        <f>VLOOKUP(C224,Assumptions!$B$27:$C$31,2,FALSE)</f>
        <v/>
      </c>
    </row>
    <row r="225">
      <c r="B225" s="7" t="inlineStr">
        <is>
          <t>AI-B3</t>
        </is>
      </c>
      <c r="C225" s="21" t="inlineStr">
        <is>
          <t>AI-B</t>
        </is>
      </c>
      <c r="D225" s="11" t="inlineStr">
        <is>
          <t>Junior</t>
        </is>
      </c>
      <c r="E225" s="25">
        <f>VLOOKUP(D225,Assumptions!$B$50:$D$59,2,FALSE)*H225*INDEX(Assumptions!$C$36:$C$38,1)</f>
        <v/>
      </c>
      <c r="F225" s="25">
        <f>VLOOKUP(D225,Assumptions!$B$50:$D$59,2,FALSE)*H225*INDEX(Assumptions!$C$36:$C$38,2)</f>
        <v/>
      </c>
      <c r="G225" s="25">
        <f>VLOOKUP(D225,Assumptions!$B$50:$D$59,2,FALSE)*H225*INDEX(Assumptions!$C$36:$C$38,3)</f>
        <v/>
      </c>
      <c r="H225" s="26">
        <f>VLOOKUP(C225,Assumptions!$B$27:$C$31,2,FALSE)</f>
        <v/>
      </c>
    </row>
    <row r="226">
      <c r="B226" s="7" t="inlineStr">
        <is>
          <t>AI-B4</t>
        </is>
      </c>
      <c r="C226" s="21" t="inlineStr">
        <is>
          <t>AI-B</t>
        </is>
      </c>
      <c r="D226" s="11" t="inlineStr">
        <is>
          <t>Partner</t>
        </is>
      </c>
      <c r="E226" s="25">
        <f>VLOOKUP(D226,Assumptions!$B$50:$D$59,2,FALSE)*H226*INDEX(Assumptions!$C$36:$C$38,1)</f>
        <v/>
      </c>
      <c r="F226" s="25">
        <f>VLOOKUP(D226,Assumptions!$B$50:$D$59,2,FALSE)*H226*INDEX(Assumptions!$C$36:$C$38,2)</f>
        <v/>
      </c>
      <c r="G226" s="25">
        <f>VLOOKUP(D226,Assumptions!$B$50:$D$59,2,FALSE)*H226*INDEX(Assumptions!$C$36:$C$38,3)</f>
        <v/>
      </c>
      <c r="H226" s="26">
        <f>VLOOKUP(C226,Assumptions!$B$27:$C$31,2,FALSE)</f>
        <v/>
      </c>
    </row>
    <row r="227">
      <c r="B227" s="7" t="inlineStr">
        <is>
          <t>AI-B4</t>
        </is>
      </c>
      <c r="C227" s="21" t="inlineStr">
        <is>
          <t>AI-B</t>
        </is>
      </c>
      <c r="D227" s="11" t="inlineStr">
        <is>
          <t>Managing Director</t>
        </is>
      </c>
      <c r="E227" s="25">
        <f>VLOOKUP(D227,Assumptions!$B$50:$D$59,2,FALSE)*H227*INDEX(Assumptions!$C$36:$C$38,1)</f>
        <v/>
      </c>
      <c r="F227" s="25">
        <f>VLOOKUP(D227,Assumptions!$B$50:$D$59,2,FALSE)*H227*INDEX(Assumptions!$C$36:$C$38,2)</f>
        <v/>
      </c>
      <c r="G227" s="25">
        <f>VLOOKUP(D227,Assumptions!$B$50:$D$59,2,FALSE)*H227*INDEX(Assumptions!$C$36:$C$38,3)</f>
        <v/>
      </c>
      <c r="H227" s="26">
        <f>VLOOKUP(C227,Assumptions!$B$27:$C$31,2,FALSE)</f>
        <v/>
      </c>
    </row>
    <row r="228">
      <c r="B228" s="7" t="inlineStr">
        <is>
          <t>AI-B4</t>
        </is>
      </c>
      <c r="C228" s="21" t="inlineStr">
        <is>
          <t>AI-B</t>
        </is>
      </c>
      <c r="D228" s="11" t="inlineStr">
        <is>
          <t>Principal</t>
        </is>
      </c>
      <c r="E228" s="25">
        <f>VLOOKUP(D228,Assumptions!$B$50:$D$59,2,FALSE)*H228*INDEX(Assumptions!$C$36:$C$38,1)</f>
        <v/>
      </c>
      <c r="F228" s="25">
        <f>VLOOKUP(D228,Assumptions!$B$50:$D$59,2,FALSE)*H228*INDEX(Assumptions!$C$36:$C$38,2)</f>
        <v/>
      </c>
      <c r="G228" s="25">
        <f>VLOOKUP(D228,Assumptions!$B$50:$D$59,2,FALSE)*H228*INDEX(Assumptions!$C$36:$C$38,3)</f>
        <v/>
      </c>
      <c r="H228" s="26">
        <f>VLOOKUP(C228,Assumptions!$B$27:$C$31,2,FALSE)</f>
        <v/>
      </c>
    </row>
    <row r="229">
      <c r="B229" s="7" t="inlineStr">
        <is>
          <t>AI-B4</t>
        </is>
      </c>
      <c r="C229" s="21" t="inlineStr">
        <is>
          <t>AI-B</t>
        </is>
      </c>
      <c r="D229" s="11" t="inlineStr">
        <is>
          <t>Director</t>
        </is>
      </c>
      <c r="E229" s="25">
        <f>VLOOKUP(D229,Assumptions!$B$50:$D$59,2,FALSE)*H229*INDEX(Assumptions!$C$36:$C$38,1)</f>
        <v/>
      </c>
      <c r="F229" s="25">
        <f>VLOOKUP(D229,Assumptions!$B$50:$D$59,2,FALSE)*H229*INDEX(Assumptions!$C$36:$C$38,2)</f>
        <v/>
      </c>
      <c r="G229" s="25">
        <f>VLOOKUP(D229,Assumptions!$B$50:$D$59,2,FALSE)*H229*INDEX(Assumptions!$C$36:$C$38,3)</f>
        <v/>
      </c>
      <c r="H229" s="26">
        <f>VLOOKUP(C229,Assumptions!$B$27:$C$31,2,FALSE)</f>
        <v/>
      </c>
    </row>
    <row r="230">
      <c r="B230" s="7" t="inlineStr">
        <is>
          <t>AI-B4</t>
        </is>
      </c>
      <c r="C230" s="21" t="inlineStr">
        <is>
          <t>AI-B</t>
        </is>
      </c>
      <c r="D230" s="11" t="inlineStr">
        <is>
          <t>Senior Manager</t>
        </is>
      </c>
      <c r="E230" s="25">
        <f>VLOOKUP(D230,Assumptions!$B$50:$D$59,2,FALSE)*H230*INDEX(Assumptions!$C$36:$C$38,1)</f>
        <v/>
      </c>
      <c r="F230" s="25">
        <f>VLOOKUP(D230,Assumptions!$B$50:$D$59,2,FALSE)*H230*INDEX(Assumptions!$C$36:$C$38,2)</f>
        <v/>
      </c>
      <c r="G230" s="25">
        <f>VLOOKUP(D230,Assumptions!$B$50:$D$59,2,FALSE)*H230*INDEX(Assumptions!$C$36:$C$38,3)</f>
        <v/>
      </c>
      <c r="H230" s="26">
        <f>VLOOKUP(C230,Assumptions!$B$27:$C$31,2,FALSE)</f>
        <v/>
      </c>
    </row>
    <row r="231">
      <c r="B231" s="7" t="inlineStr">
        <is>
          <t>AI-B4</t>
        </is>
      </c>
      <c r="C231" s="21" t="inlineStr">
        <is>
          <t>AI-B</t>
        </is>
      </c>
      <c r="D231" s="11" t="inlineStr">
        <is>
          <t>Manager</t>
        </is>
      </c>
      <c r="E231" s="25">
        <f>VLOOKUP(D231,Assumptions!$B$50:$D$59,2,FALSE)*H231*INDEX(Assumptions!$C$36:$C$38,1)</f>
        <v/>
      </c>
      <c r="F231" s="25">
        <f>VLOOKUP(D231,Assumptions!$B$50:$D$59,2,FALSE)*H231*INDEX(Assumptions!$C$36:$C$38,2)</f>
        <v/>
      </c>
      <c r="G231" s="25">
        <f>VLOOKUP(D231,Assumptions!$B$50:$D$59,2,FALSE)*H231*INDEX(Assumptions!$C$36:$C$38,3)</f>
        <v/>
      </c>
      <c r="H231" s="26">
        <f>VLOOKUP(C231,Assumptions!$B$27:$C$31,2,FALSE)</f>
        <v/>
      </c>
    </row>
    <row r="232">
      <c r="B232" s="7" t="inlineStr">
        <is>
          <t>AI-B4</t>
        </is>
      </c>
      <c r="C232" s="21" t="inlineStr">
        <is>
          <t>AI-B</t>
        </is>
      </c>
      <c r="D232" s="11" t="inlineStr">
        <is>
          <t>Lead</t>
        </is>
      </c>
      <c r="E232" s="25">
        <f>VLOOKUP(D232,Assumptions!$B$50:$D$59,2,FALSE)*H232*INDEX(Assumptions!$C$36:$C$38,1)</f>
        <v/>
      </c>
      <c r="F232" s="25">
        <f>VLOOKUP(D232,Assumptions!$B$50:$D$59,2,FALSE)*H232*INDEX(Assumptions!$C$36:$C$38,2)</f>
        <v/>
      </c>
      <c r="G232" s="25">
        <f>VLOOKUP(D232,Assumptions!$B$50:$D$59,2,FALSE)*H232*INDEX(Assumptions!$C$36:$C$38,3)</f>
        <v/>
      </c>
      <c r="H232" s="26">
        <f>VLOOKUP(C232,Assumptions!$B$27:$C$31,2,FALSE)</f>
        <v/>
      </c>
    </row>
    <row r="233">
      <c r="B233" s="7" t="inlineStr">
        <is>
          <t>AI-B4</t>
        </is>
      </c>
      <c r="C233" s="21" t="inlineStr">
        <is>
          <t>AI-B</t>
        </is>
      </c>
      <c r="D233" s="11" t="inlineStr">
        <is>
          <t>Senior</t>
        </is>
      </c>
      <c r="E233" s="25">
        <f>VLOOKUP(D233,Assumptions!$B$50:$D$59,2,FALSE)*H233*INDEX(Assumptions!$C$36:$C$38,1)</f>
        <v/>
      </c>
      <c r="F233" s="25">
        <f>VLOOKUP(D233,Assumptions!$B$50:$D$59,2,FALSE)*H233*INDEX(Assumptions!$C$36:$C$38,2)</f>
        <v/>
      </c>
      <c r="G233" s="25">
        <f>VLOOKUP(D233,Assumptions!$B$50:$D$59,2,FALSE)*H233*INDEX(Assumptions!$C$36:$C$38,3)</f>
        <v/>
      </c>
      <c r="H233" s="26">
        <f>VLOOKUP(C233,Assumptions!$B$27:$C$31,2,FALSE)</f>
        <v/>
      </c>
    </row>
    <row r="234">
      <c r="B234" s="7" t="inlineStr">
        <is>
          <t>AI-B4</t>
        </is>
      </c>
      <c r="C234" s="21" t="inlineStr">
        <is>
          <t>AI-B</t>
        </is>
      </c>
      <c r="D234" s="11" t="inlineStr">
        <is>
          <t>Intermediate</t>
        </is>
      </c>
      <c r="E234" s="25">
        <f>VLOOKUP(D234,Assumptions!$B$50:$D$59,2,FALSE)*H234*INDEX(Assumptions!$C$36:$C$38,1)</f>
        <v/>
      </c>
      <c r="F234" s="25">
        <f>VLOOKUP(D234,Assumptions!$B$50:$D$59,2,FALSE)*H234*INDEX(Assumptions!$C$36:$C$38,2)</f>
        <v/>
      </c>
      <c r="G234" s="25">
        <f>VLOOKUP(D234,Assumptions!$B$50:$D$59,2,FALSE)*H234*INDEX(Assumptions!$C$36:$C$38,3)</f>
        <v/>
      </c>
      <c r="H234" s="26">
        <f>VLOOKUP(C234,Assumptions!$B$27:$C$31,2,FALSE)</f>
        <v/>
      </c>
    </row>
    <row r="235">
      <c r="B235" s="7" t="inlineStr">
        <is>
          <t>AI-B4</t>
        </is>
      </c>
      <c r="C235" s="21" t="inlineStr">
        <is>
          <t>AI-B</t>
        </is>
      </c>
      <c r="D235" s="11" t="inlineStr">
        <is>
          <t>Junior</t>
        </is>
      </c>
      <c r="E235" s="25">
        <f>VLOOKUP(D235,Assumptions!$B$50:$D$59,2,FALSE)*H235*INDEX(Assumptions!$C$36:$C$38,1)</f>
        <v/>
      </c>
      <c r="F235" s="25">
        <f>VLOOKUP(D235,Assumptions!$B$50:$D$59,2,FALSE)*H235*INDEX(Assumptions!$C$36:$C$38,2)</f>
        <v/>
      </c>
      <c r="G235" s="25">
        <f>VLOOKUP(D235,Assumptions!$B$50:$D$59,2,FALSE)*H235*INDEX(Assumptions!$C$36:$C$38,3)</f>
        <v/>
      </c>
      <c r="H235" s="26">
        <f>VLOOKUP(C235,Assumptions!$B$27:$C$31,2,FALSE)</f>
        <v/>
      </c>
    </row>
  </sheetData>
  <autoFilter ref="B5:H2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1765B"/>
    <outlinePr summaryBelow="1" summaryRight="1"/>
    <pageSetUpPr/>
  </sheetPr>
  <dimension ref="B2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14" customWidth="1" min="4" max="4"/>
    <col width="14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14" t="inlineStr">
        <is>
          <t>AI AGENT ECONOMICS (provider-neutral)</t>
        </is>
      </c>
    </row>
    <row r="3">
      <c r="B3" s="9" t="inlineStr">
        <is>
          <t>Multipliers express capacity gain vs a human-only baseline (1.00 = no gain).</t>
        </is>
      </c>
    </row>
    <row r="5">
      <c r="B5" s="6" t="inlineStr">
        <is>
          <t>Platform</t>
        </is>
      </c>
      <c r="C5" s="6" t="inlineStr">
        <is>
          <t>Type</t>
        </is>
      </c>
      <c r="D5" s="6" t="inlineStr">
        <is>
          <t>Monthly $</t>
        </is>
      </c>
      <c r="E5" s="6" t="inlineStr">
        <is>
          <t>Annual $</t>
        </is>
      </c>
      <c r="F5" s="6" t="inlineStr">
        <is>
          <t>Equiv Eng FTE</t>
        </is>
      </c>
      <c r="G5" s="6" t="inlineStr">
        <is>
          <t>Util %</t>
        </is>
      </c>
      <c r="H5" s="6" t="inlineStr">
        <is>
          <t>Productivity</t>
        </is>
      </c>
      <c r="I5" s="6" t="inlineStr">
        <is>
          <t>Documentation</t>
        </is>
      </c>
      <c r="J5" s="6" t="inlineStr">
        <is>
          <t>Testing</t>
        </is>
      </c>
      <c r="K5" s="6" t="inlineStr">
        <is>
          <t>Architecture</t>
        </is>
      </c>
    </row>
    <row r="6">
      <c r="B6" s="7" t="inlineStr">
        <is>
          <t>Agent Platform A</t>
        </is>
      </c>
      <c r="C6" s="11" t="inlineStr">
        <is>
          <t>General copilot</t>
        </is>
      </c>
      <c r="D6" s="19" t="n">
        <v>2500</v>
      </c>
      <c r="E6" s="25">
        <f>D6*12</f>
        <v/>
      </c>
      <c r="F6" s="18" t="n">
        <v>0.5</v>
      </c>
      <c r="G6" s="15" t="n">
        <v>0.7</v>
      </c>
      <c r="H6" s="18" t="n">
        <v>1.35</v>
      </c>
      <c r="I6" s="18" t="n">
        <v>1.6</v>
      </c>
      <c r="J6" s="18" t="n">
        <v>1.3</v>
      </c>
      <c r="K6" s="18" t="n">
        <v>1.1</v>
      </c>
    </row>
    <row r="7">
      <c r="B7" s="7" t="inlineStr">
        <is>
          <t>Agent Platform B</t>
        </is>
      </c>
      <c r="C7" s="11" t="inlineStr">
        <is>
          <t>Coding agent</t>
        </is>
      </c>
      <c r="D7" s="19" t="n">
        <v>4000</v>
      </c>
      <c r="E7" s="25">
        <f>D7*12</f>
        <v/>
      </c>
      <c r="F7" s="18" t="n">
        <v>1.2</v>
      </c>
      <c r="G7" s="15" t="n">
        <v>0.75</v>
      </c>
      <c r="H7" s="18" t="n">
        <v>1.8</v>
      </c>
      <c r="I7" s="18" t="n">
        <v>1.5</v>
      </c>
      <c r="J7" s="18" t="n">
        <v>1.9</v>
      </c>
      <c r="K7" s="18" t="n">
        <v>1.25</v>
      </c>
    </row>
    <row r="8">
      <c r="B8" s="7" t="inlineStr">
        <is>
          <t>Agent Platform C</t>
        </is>
      </c>
      <c r="C8" s="11" t="inlineStr">
        <is>
          <t>Workflow/RPA agent</t>
        </is>
      </c>
      <c r="D8" s="19" t="n">
        <v>3200</v>
      </c>
      <c r="E8" s="25">
        <f>D8*12</f>
        <v/>
      </c>
      <c r="F8" s="18" t="n">
        <v>0.8</v>
      </c>
      <c r="G8" s="15" t="n">
        <v>0.65</v>
      </c>
      <c r="H8" s="18" t="n">
        <v>1.5</v>
      </c>
      <c r="I8" s="18" t="n">
        <v>1.4</v>
      </c>
      <c r="J8" s="18" t="n">
        <v>1.45</v>
      </c>
      <c r="K8" s="18" t="n">
        <v>1.1</v>
      </c>
    </row>
    <row r="9">
      <c r="B9" s="7" t="inlineStr">
        <is>
          <t>Agent Platform D</t>
        </is>
      </c>
      <c r="C9" s="11" t="inlineStr">
        <is>
          <t>Domain reasoning agent</t>
        </is>
      </c>
      <c r="D9" s="19" t="n">
        <v>6000</v>
      </c>
      <c r="E9" s="25">
        <f>D9*12</f>
        <v/>
      </c>
      <c r="F9" s="18" t="n">
        <v>1.5</v>
      </c>
      <c r="G9" s="15" t="n">
        <v>0.6</v>
      </c>
      <c r="H9" s="18" t="n">
        <v>1.7</v>
      </c>
      <c r="I9" s="18" t="n">
        <v>1.55</v>
      </c>
      <c r="J9" s="18" t="n">
        <v>1.6</v>
      </c>
      <c r="K9" s="18" t="n">
        <v>1.45</v>
      </c>
    </row>
    <row r="10">
      <c r="B10" s="7" t="inlineStr">
        <is>
          <t>AbarVa Agents</t>
        </is>
      </c>
      <c r="C10" s="11" t="inlineStr">
        <is>
          <t>AbarVa-native delivery agents</t>
        </is>
      </c>
      <c r="D10" s="19" t="n">
        <v>3500</v>
      </c>
      <c r="E10" s="25">
        <f>D10*12</f>
        <v/>
      </c>
      <c r="F10" s="18" t="n">
        <v>1.3</v>
      </c>
      <c r="G10" s="15" t="n">
        <v>0.72</v>
      </c>
      <c r="H10" s="18" t="n">
        <v>1.85</v>
      </c>
      <c r="I10" s="18" t="n">
        <v>1.65</v>
      </c>
      <c r="J10" s="18" t="n">
        <v>1.8</v>
      </c>
      <c r="K10" s="18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21B6"/>
    <outlinePr summaryBelow="1" summaryRight="1"/>
    <pageSetUpPr/>
  </sheetPr>
  <dimension ref="B2:I1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2" customWidth="1" min="4" max="4"/>
    <col width="46" customWidth="1" min="5" max="5"/>
    <col width="12" customWidth="1" min="6" max="6"/>
    <col width="14" customWidth="1" min="7" max="7"/>
    <col width="26" customWidth="1" min="8" max="8"/>
    <col width="40" customWidth="1" min="9" max="9"/>
  </cols>
  <sheetData>
    <row r="2">
      <c r="B2" s="14" t="inlineStr">
        <is>
          <t>DELIVERY POD LIBRARY</t>
        </is>
      </c>
    </row>
    <row r="3">
      <c r="B3" s="9" t="inlineStr">
        <is>
          <t>107 reusable human+agent pods. Est. monthly cost is parametric (headcount x blended loaded monthly).</t>
        </is>
      </c>
    </row>
    <row r="5">
      <c r="B5" s="6" t="inlineStr">
        <is>
          <t>ID</t>
        </is>
      </c>
      <c r="C5" s="6" t="inlineStr">
        <is>
          <t>Pod</t>
        </is>
      </c>
      <c r="D5" s="6" t="inlineStr">
        <is>
          <t>Tower</t>
        </is>
      </c>
      <c r="E5" s="6" t="inlineStr">
        <is>
          <t>Role Mix</t>
        </is>
      </c>
      <c r="F5" s="6" t="inlineStr">
        <is>
          <t>Headcount</t>
        </is>
      </c>
      <c r="G5" s="6" t="inlineStr">
        <is>
          <t>Blended Level</t>
        </is>
      </c>
      <c r="H5" s="6" t="inlineStr">
        <is>
          <t>Agent Mix</t>
        </is>
      </c>
      <c r="I5" s="6" t="inlineStr">
        <is>
          <t>Use Cases / Est. Monthly $</t>
        </is>
      </c>
    </row>
    <row r="6" ht="30" customHeight="1">
      <c r="B6" s="7" t="inlineStr">
        <is>
          <t>POD-001</t>
        </is>
      </c>
      <c r="C6" s="20" t="inlineStr">
        <is>
          <t>Data Product Pod</t>
        </is>
      </c>
      <c r="D6" s="11" t="inlineStr">
        <is>
          <t>Data &amp; Analytics</t>
        </is>
      </c>
      <c r="E6" s="5" t="inlineStr">
        <is>
          <t>Data Product Mgr, Data Architect, 3x Data Engineer, BI Dev</t>
        </is>
      </c>
      <c r="F6" s="21" t="n">
        <v>6</v>
      </c>
      <c r="G6" s="21" t="inlineStr">
        <is>
          <t>Senior</t>
        </is>
      </c>
      <c r="H6" s="5" t="inlineStr">
        <is>
          <t>Agent Platform B + AbarVa Agents</t>
        </is>
      </c>
      <c r="I6" s="25">
        <f>F6*VLOOKUP(G6,'Internal Cost Model'!$B$6:$F$15,4,FALSE)/12</f>
        <v/>
      </c>
    </row>
    <row r="7" ht="30" customHeight="1">
      <c r="B7" s="7" t="inlineStr">
        <is>
          <t>POD-002</t>
        </is>
      </c>
      <c r="C7" s="20" t="inlineStr">
        <is>
          <t>Snowflake Pod</t>
        </is>
      </c>
      <c r="D7" s="11" t="inlineStr">
        <is>
          <t>Data &amp; Analytics</t>
        </is>
      </c>
      <c r="E7" s="5" t="inlineStr">
        <is>
          <t>Snowflake Architect, 3x Snowflake Engineer</t>
        </is>
      </c>
      <c r="F7" s="21" t="n">
        <v>4</v>
      </c>
      <c r="G7" s="21" t="inlineStr">
        <is>
          <t>Senior</t>
        </is>
      </c>
      <c r="H7" s="5" t="inlineStr">
        <is>
          <t>Agent Platform B</t>
        </is>
      </c>
      <c r="I7" s="25">
        <f>F7*VLOOKUP(G7,'Internal Cost Model'!$B$6:$F$15,4,FALSE)/12</f>
        <v/>
      </c>
    </row>
    <row r="8" ht="30" customHeight="1">
      <c r="B8" s="7" t="inlineStr">
        <is>
          <t>POD-003</t>
        </is>
      </c>
      <c r="C8" s="20" t="inlineStr">
        <is>
          <t>Databricks Pod</t>
        </is>
      </c>
      <c r="D8" s="11" t="inlineStr">
        <is>
          <t>Data &amp; Analytics</t>
        </is>
      </c>
      <c r="E8" s="5" t="inlineStr">
        <is>
          <t>Databricks Architect, 3x Databricks Engineer</t>
        </is>
      </c>
      <c r="F8" s="21" t="n">
        <v>4</v>
      </c>
      <c r="G8" s="21" t="inlineStr">
        <is>
          <t>Senior</t>
        </is>
      </c>
      <c r="H8" s="5" t="inlineStr">
        <is>
          <t>Agent Platform B</t>
        </is>
      </c>
      <c r="I8" s="25">
        <f>F8*VLOOKUP(G8,'Internal Cost Model'!$B$6:$F$15,4,FALSE)/12</f>
        <v/>
      </c>
    </row>
    <row r="9" ht="30" customHeight="1">
      <c r="B9" s="7" t="inlineStr">
        <is>
          <t>POD-004</t>
        </is>
      </c>
      <c r="C9" s="20" t="inlineStr">
        <is>
          <t>Data Governance Pod</t>
        </is>
      </c>
      <c r="D9" s="11" t="inlineStr">
        <is>
          <t>Data &amp; Analytics</t>
        </is>
      </c>
      <c r="E9" s="5" t="inlineStr">
        <is>
          <t>Governance Lead, 2x Steward, Metadata Lead</t>
        </is>
      </c>
      <c r="F9" s="21" t="n">
        <v>4</v>
      </c>
      <c r="G9" s="21" t="inlineStr">
        <is>
          <t>Manager</t>
        </is>
      </c>
      <c r="H9" s="5" t="inlineStr">
        <is>
          <t>Agent Platform A</t>
        </is>
      </c>
      <c r="I9" s="25">
        <f>F9*VLOOKUP(G9,'Internal Cost Model'!$B$6:$F$15,4,FALSE)/12</f>
        <v/>
      </c>
    </row>
    <row r="10" ht="30" customHeight="1">
      <c r="B10" s="7" t="inlineStr">
        <is>
          <t>POD-005</t>
        </is>
      </c>
      <c r="C10" s="20" t="inlineStr">
        <is>
          <t>MDM Pod</t>
        </is>
      </c>
      <c r="D10" s="11" t="inlineStr">
        <is>
          <t>Data &amp; Analytics</t>
        </is>
      </c>
      <c r="E10" s="5" t="inlineStr">
        <is>
          <t>MDM Architect, 2x Data Engineer</t>
        </is>
      </c>
      <c r="F10" s="21" t="n">
        <v>3</v>
      </c>
      <c r="G10" s="21" t="inlineStr">
        <is>
          <t>Lead</t>
        </is>
      </c>
      <c r="H10" s="5" t="inlineStr">
        <is>
          <t>Agent Platform B</t>
        </is>
      </c>
      <c r="I10" s="25">
        <f>F10*VLOOKUP(G10,'Internal Cost Model'!$B$6:$F$15,4,FALSE)/12</f>
        <v/>
      </c>
    </row>
    <row r="11" ht="30" customHeight="1">
      <c r="B11" s="7" t="inlineStr">
        <is>
          <t>POD-006</t>
        </is>
      </c>
      <c r="C11" s="20" t="inlineStr">
        <is>
          <t>AI Platform Pod</t>
        </is>
      </c>
      <c r="D11" s="11" t="inlineStr">
        <is>
          <t>AI &amp; GenAI</t>
        </is>
      </c>
      <c r="E11" s="5" t="inlineStr">
        <is>
          <t>AI Architect, 2x AI Engineer, MLOps Engineer</t>
        </is>
      </c>
      <c r="F11" s="21" t="n">
        <v>4</v>
      </c>
      <c r="G11" s="21" t="inlineStr">
        <is>
          <t>Senior</t>
        </is>
      </c>
      <c r="H11" s="5" t="inlineStr">
        <is>
          <t>Agent Platform D + AbarVa Agents</t>
        </is>
      </c>
      <c r="I11" s="25">
        <f>F11*VLOOKUP(G11,'Internal Cost Model'!$B$6:$F$15,4,FALSE)/12</f>
        <v/>
      </c>
    </row>
    <row r="12" ht="30" customHeight="1">
      <c r="B12" s="7" t="inlineStr">
        <is>
          <t>POD-007</t>
        </is>
      </c>
      <c r="C12" s="20" t="inlineStr">
        <is>
          <t>Agentic AI Pod</t>
        </is>
      </c>
      <c r="D12" s="11" t="inlineStr">
        <is>
          <t>AI &amp; GenAI</t>
        </is>
      </c>
      <c r="E12" s="5" t="inlineStr">
        <is>
          <t>Agent Architect, FDE, 2x AI Engineer</t>
        </is>
      </c>
      <c r="F12" s="21" t="n">
        <v>4</v>
      </c>
      <c r="G12" s="21" t="inlineStr">
        <is>
          <t>Senior</t>
        </is>
      </c>
      <c r="H12" s="5" t="inlineStr">
        <is>
          <t>AbarVa Agents + Agent Platform D</t>
        </is>
      </c>
      <c r="I12" s="25">
        <f>F12*VLOOKUP(G12,'Internal Cost Model'!$B$6:$F$15,4,FALSE)/12</f>
        <v/>
      </c>
    </row>
    <row r="13" ht="30" customHeight="1">
      <c r="B13" s="7" t="inlineStr">
        <is>
          <t>POD-008</t>
        </is>
      </c>
      <c r="C13" s="20" t="inlineStr">
        <is>
          <t>GenAI Pod</t>
        </is>
      </c>
      <c r="D13" s="11" t="inlineStr">
        <is>
          <t>AI &amp; GenAI</t>
        </is>
      </c>
      <c r="E13" s="5" t="inlineStr">
        <is>
          <t>AI Engineer, Prompt Engineer, LLMOps</t>
        </is>
      </c>
      <c r="F13" s="21" t="n">
        <v>3</v>
      </c>
      <c r="G13" s="21" t="inlineStr">
        <is>
          <t>Senior</t>
        </is>
      </c>
      <c r="H13" s="5" t="inlineStr">
        <is>
          <t>Agent Platform D</t>
        </is>
      </c>
      <c r="I13" s="25">
        <f>F13*VLOOKUP(G13,'Internal Cost Model'!$B$6:$F$15,4,FALSE)/12</f>
        <v/>
      </c>
    </row>
    <row r="14" ht="30" customHeight="1">
      <c r="B14" s="7" t="inlineStr">
        <is>
          <t>POD-009</t>
        </is>
      </c>
      <c r="C14" s="20" t="inlineStr">
        <is>
          <t>Responsible AI Pod</t>
        </is>
      </c>
      <c r="D14" s="11" t="inlineStr">
        <is>
          <t>AI &amp; GenAI</t>
        </is>
      </c>
      <c r="E14" s="5" t="inlineStr">
        <is>
          <t>Responsible AI Lead, Model Validation Lead, AI Governance Lead</t>
        </is>
      </c>
      <c r="F14" s="21" t="n">
        <v>3</v>
      </c>
      <c r="G14" s="21" t="inlineStr">
        <is>
          <t>Manager</t>
        </is>
      </c>
      <c r="H14" s="5" t="inlineStr">
        <is>
          <t>Agent Platform A</t>
        </is>
      </c>
      <c r="I14" s="25">
        <f>F14*VLOOKUP(G14,'Internal Cost Model'!$B$6:$F$15,4,FALSE)/12</f>
        <v/>
      </c>
    </row>
    <row r="15" ht="30" customHeight="1">
      <c r="B15" s="7" t="inlineStr">
        <is>
          <t>POD-010</t>
        </is>
      </c>
      <c r="C15" s="20" t="inlineStr">
        <is>
          <t>Adobe Experience Pod</t>
        </is>
      </c>
      <c r="D15" s="11" t="inlineStr">
        <is>
          <t>Marketing Technology</t>
        </is>
      </c>
      <c r="E15" s="5" t="inlineStr">
        <is>
          <t>AEM Architect, 2x Adobe Developer, Journey Architect</t>
        </is>
      </c>
      <c r="F15" s="21" t="n">
        <v>4</v>
      </c>
      <c r="G15" s="21" t="inlineStr">
        <is>
          <t>Senior</t>
        </is>
      </c>
      <c r="H15" s="5" t="inlineStr">
        <is>
          <t>Agent Platform A</t>
        </is>
      </c>
      <c r="I15" s="25">
        <f>F15*VLOOKUP(G15,'Internal Cost Model'!$B$6:$F$15,4,FALSE)/12</f>
        <v/>
      </c>
    </row>
    <row r="16" ht="30" customHeight="1">
      <c r="B16" s="7" t="inlineStr">
        <is>
          <t>POD-011</t>
        </is>
      </c>
      <c r="C16" s="20" t="inlineStr">
        <is>
          <t>CDP Pod</t>
        </is>
      </c>
      <c r="D16" s="11" t="inlineStr">
        <is>
          <t>Marketing Technology</t>
        </is>
      </c>
      <c r="E16" s="5" t="inlineStr">
        <is>
          <t>CDP Architect, 2x Engineer</t>
        </is>
      </c>
      <c r="F16" s="21" t="n">
        <v>3</v>
      </c>
      <c r="G16" s="21" t="inlineStr">
        <is>
          <t>Lead</t>
        </is>
      </c>
      <c r="H16" s="5" t="inlineStr">
        <is>
          <t>Agent Platform A</t>
        </is>
      </c>
      <c r="I16" s="25">
        <f>F16*VLOOKUP(G16,'Internal Cost Model'!$B$6:$F$15,4,FALSE)/12</f>
        <v/>
      </c>
    </row>
    <row r="17" ht="30" customHeight="1">
      <c r="B17" s="7" t="inlineStr">
        <is>
          <t>POD-012</t>
        </is>
      </c>
      <c r="C17" s="20" t="inlineStr">
        <is>
          <t>Workday HCM Pod</t>
        </is>
      </c>
      <c r="D17" s="11" t="inlineStr">
        <is>
          <t>ERP</t>
        </is>
      </c>
      <c r="E17" s="5" t="inlineStr">
        <is>
          <t>Workday Architect, Functional Lead, 2x Consultant</t>
        </is>
      </c>
      <c r="F17" s="21" t="n">
        <v>4</v>
      </c>
      <c r="G17" s="21" t="inlineStr">
        <is>
          <t>Senior</t>
        </is>
      </c>
      <c r="H17" s="5" t="inlineStr">
        <is>
          <t>Agent Platform C</t>
        </is>
      </c>
      <c r="I17" s="25">
        <f>F17*VLOOKUP(G17,'Internal Cost Model'!$B$6:$F$15,4,FALSE)/12</f>
        <v/>
      </c>
    </row>
    <row r="18" ht="30" customHeight="1">
      <c r="B18" s="7" t="inlineStr">
        <is>
          <t>POD-013</t>
        </is>
      </c>
      <c r="C18" s="20" t="inlineStr">
        <is>
          <t>Workday Finance Pod</t>
        </is>
      </c>
      <c r="D18" s="11" t="inlineStr">
        <is>
          <t>ERP</t>
        </is>
      </c>
      <c r="E18" s="5" t="inlineStr">
        <is>
          <t>Workday Technical Lead, 2x Consultant</t>
        </is>
      </c>
      <c r="F18" s="21" t="n">
        <v>3</v>
      </c>
      <c r="G18" s="21" t="inlineStr">
        <is>
          <t>Senior</t>
        </is>
      </c>
      <c r="H18" s="5" t="inlineStr">
        <is>
          <t>Agent Platform C</t>
        </is>
      </c>
      <c r="I18" s="25">
        <f>F18*VLOOKUP(G18,'Internal Cost Model'!$B$6:$F$15,4,FALSE)/12</f>
        <v/>
      </c>
    </row>
    <row r="19" ht="30" customHeight="1">
      <c r="B19" s="7" t="inlineStr">
        <is>
          <t>POD-014</t>
        </is>
      </c>
      <c r="C19" s="20" t="inlineStr">
        <is>
          <t>SAP S/4 Finance Pod</t>
        </is>
      </c>
      <c r="D19" s="11" t="inlineStr">
        <is>
          <t>ERP</t>
        </is>
      </c>
      <c r="E19" s="5" t="inlineStr">
        <is>
          <t>SAP Finance Architect, 2x Consultant, Basis</t>
        </is>
      </c>
      <c r="F19" s="21" t="n">
        <v>4</v>
      </c>
      <c r="G19" s="21" t="inlineStr">
        <is>
          <t>Senior</t>
        </is>
      </c>
      <c r="H19" s="5" t="inlineStr">
        <is>
          <t>Agent Platform C</t>
        </is>
      </c>
      <c r="I19" s="25">
        <f>F19*VLOOKUP(G19,'Internal Cost Model'!$B$6:$F$15,4,FALSE)/12</f>
        <v/>
      </c>
    </row>
    <row r="20" ht="30" customHeight="1">
      <c r="B20" s="7" t="inlineStr">
        <is>
          <t>POD-015</t>
        </is>
      </c>
      <c r="C20" s="20" t="inlineStr">
        <is>
          <t>SAP Supply Chain Pod</t>
        </is>
      </c>
      <c r="D20" s="11" t="inlineStr">
        <is>
          <t>ERP</t>
        </is>
      </c>
      <c r="E20" s="5" t="inlineStr">
        <is>
          <t>SAP SCM Architect, 2x Consultant</t>
        </is>
      </c>
      <c r="F20" s="21" t="n">
        <v>3</v>
      </c>
      <c r="G20" s="21" t="inlineStr">
        <is>
          <t>Senior</t>
        </is>
      </c>
      <c r="H20" s="5" t="inlineStr">
        <is>
          <t>Agent Platform C</t>
        </is>
      </c>
      <c r="I20" s="25">
        <f>F20*VLOOKUP(G20,'Internal Cost Model'!$B$6:$F$15,4,FALSE)/12</f>
        <v/>
      </c>
    </row>
    <row r="21" ht="30" customHeight="1">
      <c r="B21" s="7" t="inlineStr">
        <is>
          <t>POD-016</t>
        </is>
      </c>
      <c r="C21" s="20" t="inlineStr">
        <is>
          <t>Oracle Finance Pod</t>
        </is>
      </c>
      <c r="D21" s="11" t="inlineStr">
        <is>
          <t>ERP</t>
        </is>
      </c>
      <c r="E21" s="5" t="inlineStr">
        <is>
          <t>Oracle Finance Architect, 2x Consultant</t>
        </is>
      </c>
      <c r="F21" s="21" t="n">
        <v>3</v>
      </c>
      <c r="G21" s="21" t="inlineStr">
        <is>
          <t>Senior</t>
        </is>
      </c>
      <c r="H21" s="5" t="inlineStr">
        <is>
          <t>Agent Platform C</t>
        </is>
      </c>
      <c r="I21" s="25">
        <f>F21*VLOOKUP(G21,'Internal Cost Model'!$B$6:$F$15,4,FALSE)/12</f>
        <v/>
      </c>
    </row>
    <row r="22" ht="30" customHeight="1">
      <c r="B22" s="7" t="inlineStr">
        <is>
          <t>POD-017</t>
        </is>
      </c>
      <c r="C22" s="20" t="inlineStr">
        <is>
          <t>ServiceNow ITSM Pod</t>
        </is>
      </c>
      <c r="D22" s="11" t="inlineStr">
        <is>
          <t>Application Engineering</t>
        </is>
      </c>
      <c r="E22" s="5" t="inlineStr">
        <is>
          <t>SN Architect, 2x Developer</t>
        </is>
      </c>
      <c r="F22" s="21" t="n">
        <v>3</v>
      </c>
      <c r="G22" s="21" t="inlineStr">
        <is>
          <t>Senior</t>
        </is>
      </c>
      <c r="H22" s="5" t="inlineStr">
        <is>
          <t>Agent Platform C</t>
        </is>
      </c>
      <c r="I22" s="25">
        <f>F22*VLOOKUP(G22,'Internal Cost Model'!$B$6:$F$15,4,FALSE)/12</f>
        <v/>
      </c>
    </row>
    <row r="23" ht="30" customHeight="1">
      <c r="B23" s="7" t="inlineStr">
        <is>
          <t>POD-018</t>
        </is>
      </c>
      <c r="C23" s="20" t="inlineStr">
        <is>
          <t>ServiceNow HRSD Pod</t>
        </is>
      </c>
      <c r="D23" s="11" t="inlineStr">
        <is>
          <t>Application Engineering</t>
        </is>
      </c>
      <c r="E23" s="5" t="inlineStr">
        <is>
          <t>SN Architect, 2x Developer</t>
        </is>
      </c>
      <c r="F23" s="21" t="n">
        <v>3</v>
      </c>
      <c r="G23" s="21" t="inlineStr">
        <is>
          <t>Senior</t>
        </is>
      </c>
      <c r="H23" s="5" t="inlineStr">
        <is>
          <t>Agent Platform C</t>
        </is>
      </c>
      <c r="I23" s="25">
        <f>F23*VLOOKUP(G23,'Internal Cost Model'!$B$6:$F$15,4,FALSE)/12</f>
        <v/>
      </c>
    </row>
    <row r="24" ht="30" customHeight="1">
      <c r="B24" s="7" t="inlineStr">
        <is>
          <t>POD-019</t>
        </is>
      </c>
      <c r="C24" s="20" t="inlineStr">
        <is>
          <t>Salesforce Pod</t>
        </is>
      </c>
      <c r="D24" s="11" t="inlineStr">
        <is>
          <t>Application Engineering</t>
        </is>
      </c>
      <c r="E24" s="5" t="inlineStr">
        <is>
          <t>SF Architect, 2x Developer</t>
        </is>
      </c>
      <c r="F24" s="21" t="n">
        <v>3</v>
      </c>
      <c r="G24" s="21" t="inlineStr">
        <is>
          <t>Senior</t>
        </is>
      </c>
      <c r="H24" s="5" t="inlineStr">
        <is>
          <t>Agent Platform C</t>
        </is>
      </c>
      <c r="I24" s="25">
        <f>F24*VLOOKUP(G24,'Internal Cost Model'!$B$6:$F$15,4,FALSE)/12</f>
        <v/>
      </c>
    </row>
    <row r="25" ht="30" customHeight="1">
      <c r="B25" s="7" t="inlineStr">
        <is>
          <t>POD-020</t>
        </is>
      </c>
      <c r="C25" s="20" t="inlineStr">
        <is>
          <t>Cloud Migration Pod</t>
        </is>
      </c>
      <c r="D25" s="11" t="inlineStr">
        <is>
          <t>Cloud</t>
        </is>
      </c>
      <c r="E25" s="5" t="inlineStr">
        <is>
          <t>Cloud Architect, 3x Platform Engineer, SRE</t>
        </is>
      </c>
      <c r="F25" s="21" t="n">
        <v>5</v>
      </c>
      <c r="G25" s="21" t="inlineStr">
        <is>
          <t>Senior</t>
        </is>
      </c>
      <c r="H25" s="5" t="inlineStr">
        <is>
          <t>Agent Platform B</t>
        </is>
      </c>
      <c r="I25" s="25">
        <f>F25*VLOOKUP(G25,'Internal Cost Model'!$B$6:$F$15,4,FALSE)/12</f>
        <v/>
      </c>
    </row>
    <row r="26" ht="30" customHeight="1">
      <c r="B26" s="7" t="inlineStr">
        <is>
          <t>POD-021</t>
        </is>
      </c>
      <c r="C26" s="20" t="inlineStr">
        <is>
          <t>Platform Engineering Pod</t>
        </is>
      </c>
      <c r="D26" s="11" t="inlineStr">
        <is>
          <t>Cloud</t>
        </is>
      </c>
      <c r="E26" s="5" t="inlineStr">
        <is>
          <t>Platform Architect, 3x Platform Engineer</t>
        </is>
      </c>
      <c r="F26" s="21" t="n">
        <v>4</v>
      </c>
      <c r="G26" s="21" t="inlineStr">
        <is>
          <t>Senior</t>
        </is>
      </c>
      <c r="H26" s="5" t="inlineStr">
        <is>
          <t>Agent Platform B</t>
        </is>
      </c>
      <c r="I26" s="25">
        <f>F26*VLOOKUP(G26,'Internal Cost Model'!$B$6:$F$15,4,FALSE)/12</f>
        <v/>
      </c>
    </row>
    <row r="27" ht="30" customHeight="1">
      <c r="B27" s="7" t="inlineStr">
        <is>
          <t>POD-022</t>
        </is>
      </c>
      <c r="C27" s="20" t="inlineStr">
        <is>
          <t>DevOps Pod</t>
        </is>
      </c>
      <c r="D27" s="11" t="inlineStr">
        <is>
          <t>Cloud</t>
        </is>
      </c>
      <c r="E27" s="5" t="inlineStr">
        <is>
          <t>DevOps Architect, 2x DevOps Engineer</t>
        </is>
      </c>
      <c r="F27" s="21" t="n">
        <v>3</v>
      </c>
      <c r="G27" s="21" t="inlineStr">
        <is>
          <t>Senior</t>
        </is>
      </c>
      <c r="H27" s="5" t="inlineStr">
        <is>
          <t>Agent Platform B</t>
        </is>
      </c>
      <c r="I27" s="25">
        <f>F27*VLOOKUP(G27,'Internal Cost Model'!$B$6:$F$15,4,FALSE)/12</f>
        <v/>
      </c>
    </row>
    <row r="28" ht="30" customHeight="1">
      <c r="B28" s="7" t="inlineStr">
        <is>
          <t>POD-023</t>
        </is>
      </c>
      <c r="C28" s="20" t="inlineStr">
        <is>
          <t>Cyber IAM Pod</t>
        </is>
      </c>
      <c r="D28" s="11" t="inlineStr">
        <is>
          <t>Cybersecurity</t>
        </is>
      </c>
      <c r="E28" s="5" t="inlineStr">
        <is>
          <t>IAM Architect, 2x Engineer</t>
        </is>
      </c>
      <c r="F28" s="21" t="n">
        <v>3</v>
      </c>
      <c r="G28" s="21" t="inlineStr">
        <is>
          <t>Lead</t>
        </is>
      </c>
      <c r="H28" s="5" t="inlineStr">
        <is>
          <t>Agent Platform A</t>
        </is>
      </c>
      <c r="I28" s="25">
        <f>F28*VLOOKUP(G28,'Internal Cost Model'!$B$6:$F$15,4,FALSE)/12</f>
        <v/>
      </c>
    </row>
    <row r="29" ht="30" customHeight="1">
      <c r="B29" s="7" t="inlineStr">
        <is>
          <t>POD-024</t>
        </is>
      </c>
      <c r="C29" s="20" t="inlineStr">
        <is>
          <t>SOC Pod</t>
        </is>
      </c>
      <c r="D29" s="11" t="inlineStr">
        <is>
          <t>Cybersecurity</t>
        </is>
      </c>
      <c r="E29" s="5" t="inlineStr">
        <is>
          <t>SOC Lead, 3x Analyst</t>
        </is>
      </c>
      <c r="F29" s="21" t="n">
        <v>4</v>
      </c>
      <c r="G29" s="21" t="inlineStr">
        <is>
          <t>Senior</t>
        </is>
      </c>
      <c r="H29" s="5" t="inlineStr">
        <is>
          <t>Agent Platform C</t>
        </is>
      </c>
      <c r="I29" s="25">
        <f>F29*VLOOKUP(G29,'Internal Cost Model'!$B$6:$F$15,4,FALSE)/12</f>
        <v/>
      </c>
    </row>
    <row r="30" ht="30" customHeight="1">
      <c r="B30" s="7" t="inlineStr">
        <is>
          <t>POD-025</t>
        </is>
      </c>
      <c r="C30" s="20" t="inlineStr">
        <is>
          <t>AppSec Pod</t>
        </is>
      </c>
      <c r="D30" s="11" t="inlineStr">
        <is>
          <t>Cybersecurity</t>
        </is>
      </c>
      <c r="E30" s="5" t="inlineStr">
        <is>
          <t>AppSec Engineer, Security Testing Architect</t>
        </is>
      </c>
      <c r="F30" s="21" t="n">
        <v>2</v>
      </c>
      <c r="G30" s="21" t="inlineStr">
        <is>
          <t>Lead</t>
        </is>
      </c>
      <c r="H30" s="5" t="inlineStr">
        <is>
          <t>Agent Platform B</t>
        </is>
      </c>
      <c r="I30" s="25">
        <f>F30*VLOOKUP(G30,'Internal Cost Model'!$B$6:$F$15,4,FALSE)/12</f>
        <v/>
      </c>
    </row>
    <row r="31" ht="30" customHeight="1">
      <c r="B31" s="7" t="inlineStr">
        <is>
          <t>POD-026</t>
        </is>
      </c>
      <c r="C31" s="20" t="inlineStr">
        <is>
          <t>Mainframe Modernization Pod</t>
        </is>
      </c>
      <c r="D31" s="11" t="inlineStr">
        <is>
          <t>Legacy &amp; Mainframe</t>
        </is>
      </c>
      <c r="E31" s="5" t="inlineStr">
        <is>
          <t>Mainframe Architect, COBOL Architect, 2x COBOL Engineer</t>
        </is>
      </c>
      <c r="F31" s="21" t="n">
        <v>4</v>
      </c>
      <c r="G31" s="21" t="inlineStr">
        <is>
          <t>Senior</t>
        </is>
      </c>
      <c r="H31" s="5" t="inlineStr">
        <is>
          <t>AbarVa Agents + Agent Platform B</t>
        </is>
      </c>
      <c r="I31" s="25">
        <f>F31*VLOOKUP(G31,'Internal Cost Model'!$B$6:$F$15,4,FALSE)/12</f>
        <v/>
      </c>
    </row>
    <row r="32" ht="30" customHeight="1">
      <c r="B32" s="7" t="inlineStr">
        <is>
          <t>POD-027</t>
        </is>
      </c>
      <c r="C32" s="20" t="inlineStr">
        <is>
          <t>AMS Pod</t>
        </is>
      </c>
      <c r="D32" s="11" t="inlineStr">
        <is>
          <t>Managed Services</t>
        </is>
      </c>
      <c r="E32" s="5" t="inlineStr">
        <is>
          <t>Delivery Mgr, 2x L3, 3x L2, 4x L1</t>
        </is>
      </c>
      <c r="F32" s="21" t="n">
        <v>10</v>
      </c>
      <c r="G32" s="21" t="inlineStr">
        <is>
          <t>Intermediate</t>
        </is>
      </c>
      <c r="H32" s="5" t="inlineStr">
        <is>
          <t>Agent Platform C</t>
        </is>
      </c>
      <c r="I32" s="25">
        <f>F32*VLOOKUP(G32,'Internal Cost Model'!$B$6:$F$15,4,FALSE)/12</f>
        <v/>
      </c>
    </row>
    <row r="33" ht="30" customHeight="1">
      <c r="B33" s="7" t="inlineStr">
        <is>
          <t>POD-028</t>
        </is>
      </c>
      <c r="C33" s="20" t="inlineStr">
        <is>
          <t>Quality Engineering Pod</t>
        </is>
      </c>
      <c r="D33" s="11" t="inlineStr">
        <is>
          <t>Quality Engineering</t>
        </is>
      </c>
      <c r="E33" s="5" t="inlineStr">
        <is>
          <t>Automation Architect, 3x Automation Engineer</t>
        </is>
      </c>
      <c r="F33" s="21" t="n">
        <v>4</v>
      </c>
      <c r="G33" s="21" t="inlineStr">
        <is>
          <t>Senior</t>
        </is>
      </c>
      <c r="H33" s="5" t="inlineStr">
        <is>
          <t>Agent Platform B</t>
        </is>
      </c>
      <c r="I33" s="25">
        <f>F33*VLOOKUP(G33,'Internal Cost Model'!$B$6:$F$15,4,FALSE)/12</f>
        <v/>
      </c>
    </row>
    <row r="34" ht="30" customHeight="1">
      <c r="B34" s="7" t="inlineStr">
        <is>
          <t>POD-029</t>
        </is>
      </c>
      <c r="C34" s="20" t="inlineStr">
        <is>
          <t>Integration Pod</t>
        </is>
      </c>
      <c r="D34" s="11" t="inlineStr">
        <is>
          <t>Integration</t>
        </is>
      </c>
      <c r="E34" s="5" t="inlineStr">
        <is>
          <t>Integration Architect, 2x iPaaS Dev, Event Engineer</t>
        </is>
      </c>
      <c r="F34" s="21" t="n">
        <v>4</v>
      </c>
      <c r="G34" s="21" t="inlineStr">
        <is>
          <t>Senior</t>
        </is>
      </c>
      <c r="H34" s="5" t="inlineStr">
        <is>
          <t>Agent Platform B</t>
        </is>
      </c>
      <c r="I34" s="25">
        <f>F34*VLOOKUP(G34,'Internal Cost Model'!$B$6:$F$15,4,FALSE)/12</f>
        <v/>
      </c>
    </row>
    <row r="35" ht="30" customHeight="1">
      <c r="B35" s="7" t="inlineStr">
        <is>
          <t>POD-030</t>
        </is>
      </c>
      <c r="C35" s="20" t="inlineStr">
        <is>
          <t>Product Engineering Pod</t>
        </is>
      </c>
      <c r="D35" s="11" t="inlineStr">
        <is>
          <t>Application Engineering</t>
        </is>
      </c>
      <c r="E35" s="5" t="inlineStr">
        <is>
          <t>Eng Lead, 3x Engineer, Product Owner</t>
        </is>
      </c>
      <c r="F35" s="21" t="n">
        <v>5</v>
      </c>
      <c r="G35" s="21" t="inlineStr">
        <is>
          <t>Senior</t>
        </is>
      </c>
      <c r="H35" s="5" t="inlineStr">
        <is>
          <t>Agent Platform B + AbarVa Agents</t>
        </is>
      </c>
      <c r="I35" s="25">
        <f>F35*VLOOKUP(G35,'Internal Cost Model'!$B$6:$F$15,4,FALSE)/12</f>
        <v/>
      </c>
    </row>
    <row r="36" ht="30" customHeight="1">
      <c r="B36" s="7" t="inlineStr">
        <is>
          <t>POD-031</t>
        </is>
      </c>
      <c r="C36" s="20" t="inlineStr">
        <is>
          <t>Transformation Office Pod</t>
        </is>
      </c>
      <c r="D36" s="11" t="inlineStr">
        <is>
          <t>Program Management</t>
        </is>
      </c>
      <c r="E36" s="5" t="inlineStr">
        <is>
          <t>Program Director, 2x PM, PMO Analyst</t>
        </is>
      </c>
      <c r="F36" s="21" t="n">
        <v>4</v>
      </c>
      <c r="G36" s="21" t="inlineStr">
        <is>
          <t>Manager</t>
        </is>
      </c>
      <c r="H36" s="5" t="inlineStr">
        <is>
          <t>Agent Platform A</t>
        </is>
      </c>
      <c r="I36" s="25">
        <f>F36*VLOOKUP(G36,'Internal Cost Model'!$B$6:$F$15,4,FALSE)/12</f>
        <v/>
      </c>
    </row>
    <row r="37" ht="30" customHeight="1">
      <c r="B37" s="7" t="inlineStr">
        <is>
          <t>POD-032</t>
        </is>
      </c>
      <c r="C37" s="20" t="inlineStr">
        <is>
          <t>Change &amp; Adoption Pod</t>
        </is>
      </c>
      <c r="D37" s="11" t="inlineStr">
        <is>
          <t>Change Management</t>
        </is>
      </c>
      <c r="E37" s="5" t="inlineStr">
        <is>
          <t>OCM Lead, Training Lead, Comms Lead</t>
        </is>
      </c>
      <c r="F37" s="21" t="n">
        <v>3</v>
      </c>
      <c r="G37" s="21" t="inlineStr">
        <is>
          <t>Manager</t>
        </is>
      </c>
      <c r="H37" s="5" t="inlineStr">
        <is>
          <t>Agent Platform A</t>
        </is>
      </c>
      <c r="I37" s="25">
        <f>F37*VLOOKUP(G37,'Internal Cost Model'!$B$6:$F$15,4,FALSE)/12</f>
        <v/>
      </c>
    </row>
    <row r="38" ht="30" customHeight="1">
      <c r="B38" s="7" t="inlineStr">
        <is>
          <t>POD-033</t>
        </is>
      </c>
      <c r="C38" s="20" t="inlineStr">
        <is>
          <t>Enterprise Architecture Pod</t>
        </is>
      </c>
      <c r="D38" s="11" t="inlineStr">
        <is>
          <t>Enterprise Architecture</t>
        </is>
      </c>
      <c r="E38" s="5" t="inlineStr">
        <is>
          <t>Chief Architect, 2x Solution Architect</t>
        </is>
      </c>
      <c r="F38" s="21" t="n">
        <v>3</v>
      </c>
      <c r="G38" s="21" t="inlineStr">
        <is>
          <t>Director</t>
        </is>
      </c>
      <c r="H38" s="5" t="inlineStr">
        <is>
          <t>Agent Platform A</t>
        </is>
      </c>
      <c r="I38" s="25">
        <f>F38*VLOOKUP(G38,'Internal Cost Model'!$B$6:$F$15,4,FALSE)/12</f>
        <v/>
      </c>
    </row>
    <row r="39" ht="30" customHeight="1">
      <c r="B39" s="7" t="inlineStr">
        <is>
          <t>POD-034</t>
        </is>
      </c>
      <c r="C39" s="20" t="inlineStr">
        <is>
          <t>Business Process Pod</t>
        </is>
      </c>
      <c r="D39" s="11" t="inlineStr">
        <is>
          <t>Business Process</t>
        </is>
      </c>
      <c r="E39" s="5" t="inlineStr">
        <is>
          <t>Process Lead, Mining Consultant, Automation Architect</t>
        </is>
      </c>
      <c r="F39" s="21" t="n">
        <v>3</v>
      </c>
      <c r="G39" s="21" t="inlineStr">
        <is>
          <t>Manager</t>
        </is>
      </c>
      <c r="H39" s="5" t="inlineStr">
        <is>
          <t>Agent Platform C</t>
        </is>
      </c>
      <c r="I39" s="25">
        <f>F39*VLOOKUP(G39,'Internal Cost Model'!$B$6:$F$15,4,FALSE)/12</f>
        <v/>
      </c>
    </row>
    <row r="40" ht="30" customHeight="1">
      <c r="B40" s="7" t="inlineStr">
        <is>
          <t>POD-035</t>
        </is>
      </c>
      <c r="C40" s="20" t="inlineStr">
        <is>
          <t>Data Mesh Pod</t>
        </is>
      </c>
      <c r="D40" s="11" t="inlineStr">
        <is>
          <t>Data &amp; Analytics</t>
        </is>
      </c>
      <c r="E40" s="5" t="inlineStr">
        <is>
          <t>Data Architect, 2x Data Product Mgr, 3x Data Engineer</t>
        </is>
      </c>
      <c r="F40" s="21" t="n">
        <v>6</v>
      </c>
      <c r="G40" s="21" t="inlineStr">
        <is>
          <t>Senior</t>
        </is>
      </c>
      <c r="H40" s="5" t="inlineStr">
        <is>
          <t>Agent Platform B + AbarVa Agents</t>
        </is>
      </c>
      <c r="I40" s="25">
        <f>F40*VLOOKUP(G40,'Internal Cost Model'!$B$6:$F$15,4,FALSE)/12</f>
        <v/>
      </c>
    </row>
    <row r="41" ht="30" customHeight="1">
      <c r="B41" s="7" t="inlineStr">
        <is>
          <t>POD-036</t>
        </is>
      </c>
      <c r="C41" s="20" t="inlineStr">
        <is>
          <t>Real-Time Analytics Pod</t>
        </is>
      </c>
      <c r="D41" s="11" t="inlineStr">
        <is>
          <t>Data &amp; Analytics</t>
        </is>
      </c>
      <c r="E41" s="5" t="inlineStr">
        <is>
          <t>Streaming Engineer x2, Data Engineer, Analytics Engineer</t>
        </is>
      </c>
      <c r="F41" s="21" t="n">
        <v>4</v>
      </c>
      <c r="G41" s="21" t="inlineStr">
        <is>
          <t>Senior</t>
        </is>
      </c>
      <c r="H41" s="5" t="inlineStr">
        <is>
          <t>Agent Platform B</t>
        </is>
      </c>
      <c r="I41" s="25">
        <f>F41*VLOOKUP(G41,'Internal Cost Model'!$B$6:$F$15,4,FALSE)/12</f>
        <v/>
      </c>
    </row>
    <row r="42" ht="30" customHeight="1">
      <c r="B42" s="7" t="inlineStr">
        <is>
          <t>POD-037</t>
        </is>
      </c>
      <c r="C42" s="20" t="inlineStr">
        <is>
          <t>Lakehouse Pod</t>
        </is>
      </c>
      <c r="D42" s="11" t="inlineStr">
        <is>
          <t>Data &amp; Analytics</t>
        </is>
      </c>
      <c r="E42" s="5" t="inlineStr">
        <is>
          <t>Databricks Architect, 3x Databricks Engineer</t>
        </is>
      </c>
      <c r="F42" s="21" t="n">
        <v>4</v>
      </c>
      <c r="G42" s="21" t="inlineStr">
        <is>
          <t>Senior</t>
        </is>
      </c>
      <c r="H42" s="5" t="inlineStr">
        <is>
          <t>Agent Platform B</t>
        </is>
      </c>
      <c r="I42" s="25">
        <f>F42*VLOOKUP(G42,'Internal Cost Model'!$B$6:$F$15,4,FALSE)/12</f>
        <v/>
      </c>
    </row>
    <row r="43" ht="30" customHeight="1">
      <c r="B43" s="7" t="inlineStr">
        <is>
          <t>POD-038</t>
        </is>
      </c>
      <c r="C43" s="20" t="inlineStr">
        <is>
          <t>Data Migration Pod</t>
        </is>
      </c>
      <c r="D43" s="11" t="inlineStr">
        <is>
          <t>Data &amp; Analytics</t>
        </is>
      </c>
      <c r="E43" s="5" t="inlineStr">
        <is>
          <t>Data Architect, 4x Data Engineer</t>
        </is>
      </c>
      <c r="F43" s="21" t="n">
        <v>5</v>
      </c>
      <c r="G43" s="21" t="inlineStr">
        <is>
          <t>Senior</t>
        </is>
      </c>
      <c r="H43" s="5" t="inlineStr">
        <is>
          <t>AbarVa Agents + Agent Platform B</t>
        </is>
      </c>
      <c r="I43" s="25">
        <f>F43*VLOOKUP(G43,'Internal Cost Model'!$B$6:$F$15,4,FALSE)/12</f>
        <v/>
      </c>
    </row>
    <row r="44" ht="30" customHeight="1">
      <c r="B44" s="7" t="inlineStr">
        <is>
          <t>POD-039</t>
        </is>
      </c>
      <c r="C44" s="20" t="inlineStr">
        <is>
          <t>Analytics Engineering Pod</t>
        </is>
      </c>
      <c r="D44" s="11" t="inlineStr">
        <is>
          <t>Data &amp; Analytics</t>
        </is>
      </c>
      <c r="E44" s="5" t="inlineStr">
        <is>
          <t>Analytics Engineer x3, BI Developer</t>
        </is>
      </c>
      <c r="F44" s="21" t="n">
        <v>4</v>
      </c>
      <c r="G44" s="21" t="inlineStr">
        <is>
          <t>Senior</t>
        </is>
      </c>
      <c r="H44" s="5" t="inlineStr">
        <is>
          <t>Agent Platform B</t>
        </is>
      </c>
      <c r="I44" s="25">
        <f>F44*VLOOKUP(G44,'Internal Cost Model'!$B$6:$F$15,4,FALSE)/12</f>
        <v/>
      </c>
    </row>
    <row r="45" ht="30" customHeight="1">
      <c r="B45" s="7" t="inlineStr">
        <is>
          <t>POD-040</t>
        </is>
      </c>
      <c r="C45" s="20" t="inlineStr">
        <is>
          <t>BI Modernization Pod</t>
        </is>
      </c>
      <c r="D45" s="11" t="inlineStr">
        <is>
          <t>Data &amp; Analytics</t>
        </is>
      </c>
      <c r="E45" s="5" t="inlineStr">
        <is>
          <t>BI Architect, 3x BI Developer</t>
        </is>
      </c>
      <c r="F45" s="21" t="n">
        <v>4</v>
      </c>
      <c r="G45" s="21" t="inlineStr">
        <is>
          <t>Senior</t>
        </is>
      </c>
      <c r="H45" s="5" t="inlineStr">
        <is>
          <t>Agent Platform A</t>
        </is>
      </c>
      <c r="I45" s="25">
        <f>F45*VLOOKUP(G45,'Internal Cost Model'!$B$6:$F$15,4,FALSE)/12</f>
        <v/>
      </c>
    </row>
    <row r="46" ht="30" customHeight="1">
      <c r="B46" s="7" t="inlineStr">
        <is>
          <t>POD-041</t>
        </is>
      </c>
      <c r="C46" s="20" t="inlineStr">
        <is>
          <t>Data Privacy Pod</t>
        </is>
      </c>
      <c r="D46" s="11" t="inlineStr">
        <is>
          <t>Data &amp; Analytics</t>
        </is>
      </c>
      <c r="E46" s="5" t="inlineStr">
        <is>
          <t>Data Privacy Lead, 2x Steward</t>
        </is>
      </c>
      <c r="F46" s="21" t="n">
        <v>3</v>
      </c>
      <c r="G46" s="21" t="inlineStr">
        <is>
          <t>Manager</t>
        </is>
      </c>
      <c r="H46" s="5" t="inlineStr">
        <is>
          <t>Agent Platform A</t>
        </is>
      </c>
      <c r="I46" s="25">
        <f>F46*VLOOKUP(G46,'Internal Cost Model'!$B$6:$F$15,4,FALSE)/12</f>
        <v/>
      </c>
    </row>
    <row r="47" ht="30" customHeight="1">
      <c r="B47" s="7" t="inlineStr">
        <is>
          <t>POD-042</t>
        </is>
      </c>
      <c r="C47" s="20" t="inlineStr">
        <is>
          <t>RAG Application Pod</t>
        </is>
      </c>
      <c r="D47" s="11" t="inlineStr">
        <is>
          <t>AI &amp; GenAI</t>
        </is>
      </c>
      <c r="E47" s="5" t="inlineStr">
        <is>
          <t>AI Architect, 2x RAG Engineer, Retrieval Engineer</t>
        </is>
      </c>
      <c r="F47" s="21" t="n">
        <v>4</v>
      </c>
      <c r="G47" s="21" t="inlineStr">
        <is>
          <t>Senior</t>
        </is>
      </c>
      <c r="H47" s="5" t="inlineStr">
        <is>
          <t>Agent Platform D + AbarVa Agents</t>
        </is>
      </c>
      <c r="I47" s="25">
        <f>F47*VLOOKUP(G47,'Internal Cost Model'!$B$6:$F$15,4,FALSE)/12</f>
        <v/>
      </c>
    </row>
    <row r="48" ht="30" customHeight="1">
      <c r="B48" s="7" t="inlineStr">
        <is>
          <t>POD-043</t>
        </is>
      </c>
      <c r="C48" s="20" t="inlineStr">
        <is>
          <t>ML Platform Pod</t>
        </is>
      </c>
      <c r="D48" s="11" t="inlineStr">
        <is>
          <t>AI &amp; GenAI</t>
        </is>
      </c>
      <c r="E48" s="5" t="inlineStr">
        <is>
          <t>AI Platform Engineer x2, MLOps Engineer</t>
        </is>
      </c>
      <c r="F48" s="21" t="n">
        <v>3</v>
      </c>
      <c r="G48" s="21" t="inlineStr">
        <is>
          <t>Senior</t>
        </is>
      </c>
      <c r="H48" s="5" t="inlineStr">
        <is>
          <t>Agent Platform D</t>
        </is>
      </c>
      <c r="I48" s="25">
        <f>F48*VLOOKUP(G48,'Internal Cost Model'!$B$6:$F$15,4,FALSE)/12</f>
        <v/>
      </c>
    </row>
    <row r="49" ht="30" customHeight="1">
      <c r="B49" s="7" t="inlineStr">
        <is>
          <t>POD-044</t>
        </is>
      </c>
      <c r="C49" s="20" t="inlineStr">
        <is>
          <t>Computer Vision Pod</t>
        </is>
      </c>
      <c r="D49" s="11" t="inlineStr">
        <is>
          <t>AI &amp; GenAI</t>
        </is>
      </c>
      <c r="E49" s="5" t="inlineStr">
        <is>
          <t>CV Engineer x2, ML Engineer</t>
        </is>
      </c>
      <c r="F49" s="21" t="n">
        <v>3</v>
      </c>
      <c r="G49" s="21" t="inlineStr">
        <is>
          <t>Senior</t>
        </is>
      </c>
      <c r="H49" s="5" t="inlineStr">
        <is>
          <t>Agent Platform D</t>
        </is>
      </c>
      <c r="I49" s="25">
        <f>F49*VLOOKUP(G49,'Internal Cost Model'!$B$6:$F$15,4,FALSE)/12</f>
        <v/>
      </c>
    </row>
    <row r="50" ht="30" customHeight="1">
      <c r="B50" s="7" t="inlineStr">
        <is>
          <t>POD-045</t>
        </is>
      </c>
      <c r="C50" s="20" t="inlineStr">
        <is>
          <t>NLP Pod</t>
        </is>
      </c>
      <c r="D50" s="11" t="inlineStr">
        <is>
          <t>AI &amp; GenAI</t>
        </is>
      </c>
      <c r="E50" s="5" t="inlineStr">
        <is>
          <t>NLP Engineer x2, AI Engineer</t>
        </is>
      </c>
      <c r="F50" s="21" t="n">
        <v>3</v>
      </c>
      <c r="G50" s="21" t="inlineStr">
        <is>
          <t>Senior</t>
        </is>
      </c>
      <c r="H50" s="5" t="inlineStr">
        <is>
          <t>Agent Platform D</t>
        </is>
      </c>
      <c r="I50" s="25">
        <f>F50*VLOOKUP(G50,'Internal Cost Model'!$B$6:$F$15,4,FALSE)/12</f>
        <v/>
      </c>
    </row>
    <row r="51" ht="30" customHeight="1">
      <c r="B51" s="7" t="inlineStr">
        <is>
          <t>POD-046</t>
        </is>
      </c>
      <c r="C51" s="20" t="inlineStr">
        <is>
          <t>AI Evaluation Pod</t>
        </is>
      </c>
      <c r="D51" s="11" t="inlineStr">
        <is>
          <t>AI &amp; GenAI</t>
        </is>
      </c>
      <c r="E51" s="5" t="inlineStr">
        <is>
          <t>AI Evaluation Engineer, Model Validation Lead, AI Safety Engineer</t>
        </is>
      </c>
      <c r="F51" s="21" t="n">
        <v>3</v>
      </c>
      <c r="G51" s="21" t="inlineStr">
        <is>
          <t>Lead</t>
        </is>
      </c>
      <c r="H51" s="5" t="inlineStr">
        <is>
          <t>Agent Platform A</t>
        </is>
      </c>
      <c r="I51" s="25">
        <f>F51*VLOOKUP(G51,'Internal Cost Model'!$B$6:$F$15,4,FALSE)/12</f>
        <v/>
      </c>
    </row>
    <row r="52" ht="30" customHeight="1">
      <c r="B52" s="7" t="inlineStr">
        <is>
          <t>POD-047</t>
        </is>
      </c>
      <c r="C52" s="20" t="inlineStr">
        <is>
          <t>AI Center of Excellence Pod</t>
        </is>
      </c>
      <c r="D52" s="11" t="inlineStr">
        <is>
          <t>AI &amp; GenAI</t>
        </is>
      </c>
      <c r="E52" s="5" t="inlineStr">
        <is>
          <t>Chief AI Architect, AI Governance Lead, 2x AI Engineer</t>
        </is>
      </c>
      <c r="F52" s="21" t="n">
        <v>4</v>
      </c>
      <c r="G52" s="21" t="inlineStr">
        <is>
          <t>Director</t>
        </is>
      </c>
      <c r="H52" s="5" t="inlineStr">
        <is>
          <t>AbarVa Agents</t>
        </is>
      </c>
      <c r="I52" s="25">
        <f>F52*VLOOKUP(G52,'Internal Cost Model'!$B$6:$F$15,4,FALSE)/12</f>
        <v/>
      </c>
    </row>
    <row r="53" ht="30" customHeight="1">
      <c r="B53" s="7" t="inlineStr">
        <is>
          <t>POD-048</t>
        </is>
      </c>
      <c r="C53" s="20" t="inlineStr">
        <is>
          <t>Forward-Deployed AI Pod</t>
        </is>
      </c>
      <c r="D53" s="11" t="inlineStr">
        <is>
          <t>AI &amp; GenAI</t>
        </is>
      </c>
      <c r="E53" s="5" t="inlineStr">
        <is>
          <t>2x Forward Deployed Engineer, Agent Architect</t>
        </is>
      </c>
      <c r="F53" s="21" t="n">
        <v>3</v>
      </c>
      <c r="G53" s="21" t="inlineStr">
        <is>
          <t>Senior</t>
        </is>
      </c>
      <c r="H53" s="5" t="inlineStr">
        <is>
          <t>AbarVa Agents + Agent Platform D</t>
        </is>
      </c>
      <c r="I53" s="25">
        <f>F53*VLOOKUP(G53,'Internal Cost Model'!$B$6:$F$15,4,FALSE)/12</f>
        <v/>
      </c>
    </row>
    <row r="54" ht="30" customHeight="1">
      <c r="B54" s="7" t="inlineStr">
        <is>
          <t>POD-049</t>
        </is>
      </c>
      <c r="C54" s="20" t="inlineStr">
        <is>
          <t>Web Experience Pod</t>
        </is>
      </c>
      <c r="D54" s="11" t="inlineStr">
        <is>
          <t>Digital Experience</t>
        </is>
      </c>
      <c r="E54" s="5" t="inlineStr">
        <is>
          <t>UX Lead, 2x Frontend Engineer, UI Designer</t>
        </is>
      </c>
      <c r="F54" s="21" t="n">
        <v>4</v>
      </c>
      <c r="G54" s="21" t="inlineStr">
        <is>
          <t>Senior</t>
        </is>
      </c>
      <c r="H54" s="5" t="inlineStr">
        <is>
          <t>Agent Platform B</t>
        </is>
      </c>
      <c r="I54" s="25">
        <f>F54*VLOOKUP(G54,'Internal Cost Model'!$B$6:$F$15,4,FALSE)/12</f>
        <v/>
      </c>
    </row>
    <row r="55" ht="30" customHeight="1">
      <c r="B55" s="7" t="inlineStr">
        <is>
          <t>POD-050</t>
        </is>
      </c>
      <c r="C55" s="20" t="inlineStr">
        <is>
          <t>Mobile App Pod</t>
        </is>
      </c>
      <c r="D55" s="11" t="inlineStr">
        <is>
          <t>Digital Experience</t>
        </is>
      </c>
      <c r="E55" s="5" t="inlineStr">
        <is>
          <t>iOS Engineer, Android Engineer, UX Designer</t>
        </is>
      </c>
      <c r="F55" s="21" t="n">
        <v>3</v>
      </c>
      <c r="G55" s="21" t="inlineStr">
        <is>
          <t>Senior</t>
        </is>
      </c>
      <c r="H55" s="5" t="inlineStr">
        <is>
          <t>Agent Platform B</t>
        </is>
      </c>
      <c r="I55" s="25">
        <f>F55*VLOOKUP(G55,'Internal Cost Model'!$B$6:$F$15,4,FALSE)/12</f>
        <v/>
      </c>
    </row>
    <row r="56" ht="30" customHeight="1">
      <c r="B56" s="7" t="inlineStr">
        <is>
          <t>POD-051</t>
        </is>
      </c>
      <c r="C56" s="20" t="inlineStr">
        <is>
          <t>Design System Pod</t>
        </is>
      </c>
      <c r="D56" s="11" t="inlineStr">
        <is>
          <t>Digital Experience</t>
        </is>
      </c>
      <c r="E56" s="5" t="inlineStr">
        <is>
          <t>Design System Lead, 2x UI Designer</t>
        </is>
      </c>
      <c r="F56" s="21" t="n">
        <v>3</v>
      </c>
      <c r="G56" s="21" t="inlineStr">
        <is>
          <t>Lead</t>
        </is>
      </c>
      <c r="H56" s="5" t="inlineStr">
        <is>
          <t>Agent Platform A</t>
        </is>
      </c>
      <c r="I56" s="25">
        <f>F56*VLOOKUP(G56,'Internal Cost Model'!$B$6:$F$15,4,FALSE)/12</f>
        <v/>
      </c>
    </row>
    <row r="57" ht="30" customHeight="1">
      <c r="B57" s="7" t="inlineStr">
        <is>
          <t>POD-052</t>
        </is>
      </c>
      <c r="C57" s="20" t="inlineStr">
        <is>
          <t>Commerce Build Pod</t>
        </is>
      </c>
      <c r="D57" s="11" t="inlineStr">
        <is>
          <t>Digital Experience</t>
        </is>
      </c>
      <c r="E57" s="5" t="inlineStr">
        <is>
          <t>Commerce Architect, 3x Engineer</t>
        </is>
      </c>
      <c r="F57" s="21" t="n">
        <v>4</v>
      </c>
      <c r="G57" s="21" t="inlineStr">
        <is>
          <t>Senior</t>
        </is>
      </c>
      <c r="H57" s="5" t="inlineStr">
        <is>
          <t>Agent Platform B</t>
        </is>
      </c>
      <c r="I57" s="25">
        <f>F57*VLOOKUP(G57,'Internal Cost Model'!$B$6:$F$15,4,FALSE)/12</f>
        <v/>
      </c>
    </row>
    <row r="58" ht="30" customHeight="1">
      <c r="B58" s="7" t="inlineStr">
        <is>
          <t>POD-053</t>
        </is>
      </c>
      <c r="C58" s="20" t="inlineStr">
        <is>
          <t>Adobe Analytics Pod</t>
        </is>
      </c>
      <c r="D58" s="11" t="inlineStr">
        <is>
          <t>Marketing Technology</t>
        </is>
      </c>
      <c r="E58" s="5" t="inlineStr">
        <is>
          <t>Adobe Analytics Consultant, Target Specialist</t>
        </is>
      </c>
      <c r="F58" s="21" t="n">
        <v>2</v>
      </c>
      <c r="G58" s="21" t="inlineStr">
        <is>
          <t>Senior</t>
        </is>
      </c>
      <c r="H58" s="5" t="inlineStr">
        <is>
          <t>Agent Platform A</t>
        </is>
      </c>
      <c r="I58" s="25">
        <f>F58*VLOOKUP(G58,'Internal Cost Model'!$B$6:$F$15,4,FALSE)/12</f>
        <v/>
      </c>
    </row>
    <row r="59" ht="30" customHeight="1">
      <c r="B59" s="7" t="inlineStr">
        <is>
          <t>POD-054</t>
        </is>
      </c>
      <c r="C59" s="20" t="inlineStr">
        <is>
          <t>Personalization Pod</t>
        </is>
      </c>
      <c r="D59" s="11" t="inlineStr">
        <is>
          <t>Marketing Technology</t>
        </is>
      </c>
      <c r="E59" s="5" t="inlineStr">
        <is>
          <t>Personalization Lead, CDP Engineer, MarTech Engineer</t>
        </is>
      </c>
      <c r="F59" s="21" t="n">
        <v>3</v>
      </c>
      <c r="G59" s="21" t="inlineStr">
        <is>
          <t>Senior</t>
        </is>
      </c>
      <c r="H59" s="5" t="inlineStr">
        <is>
          <t>Agent Platform A</t>
        </is>
      </c>
      <c r="I59" s="25">
        <f>F59*VLOOKUP(G59,'Internal Cost Model'!$B$6:$F$15,4,FALSE)/12</f>
        <v/>
      </c>
    </row>
    <row r="60" ht="30" customHeight="1">
      <c r="B60" s="7" t="inlineStr">
        <is>
          <t>POD-055</t>
        </is>
      </c>
      <c r="C60" s="20" t="inlineStr">
        <is>
          <t>Product Squad Pod</t>
        </is>
      </c>
      <c r="D60" s="11" t="inlineStr">
        <is>
          <t>Product Management</t>
        </is>
      </c>
      <c r="E60" s="5" t="inlineStr">
        <is>
          <t>Product Owner, Eng Lead, 3x Engineer, Designer</t>
        </is>
      </c>
      <c r="F60" s="21" t="n">
        <v>6</v>
      </c>
      <c r="G60" s="21" t="inlineStr">
        <is>
          <t>Senior</t>
        </is>
      </c>
      <c r="H60" s="5" t="inlineStr">
        <is>
          <t>Agent Platform B + AbarVa Agents</t>
        </is>
      </c>
      <c r="I60" s="25">
        <f>F60*VLOOKUP(G60,'Internal Cost Model'!$B$6:$F$15,4,FALSE)/12</f>
        <v/>
      </c>
    </row>
    <row r="61" ht="30" customHeight="1">
      <c r="B61" s="7" t="inlineStr">
        <is>
          <t>POD-056</t>
        </is>
      </c>
      <c r="C61" s="20" t="inlineStr">
        <is>
          <t>Microservices Pod</t>
        </is>
      </c>
      <c r="D61" s="11" t="inlineStr">
        <is>
          <t>Application Engineering</t>
        </is>
      </c>
      <c r="E61" s="5" t="inlineStr">
        <is>
          <t>Eng Lead, 4x Software Engineer</t>
        </is>
      </c>
      <c r="F61" s="21" t="n">
        <v>5</v>
      </c>
      <c r="G61" s="21" t="inlineStr">
        <is>
          <t>Senior</t>
        </is>
      </c>
      <c r="H61" s="5" t="inlineStr">
        <is>
          <t>Agent Platform B</t>
        </is>
      </c>
      <c r="I61" s="25">
        <f>F61*VLOOKUP(G61,'Internal Cost Model'!$B$6:$F$15,4,FALSE)/12</f>
        <v/>
      </c>
    </row>
    <row r="62" ht="30" customHeight="1">
      <c r="B62" s="7" t="inlineStr">
        <is>
          <t>POD-057</t>
        </is>
      </c>
      <c r="C62" s="20" t="inlineStr">
        <is>
          <t>API Platform Pod</t>
        </is>
      </c>
      <c r="D62" s="11" t="inlineStr">
        <is>
          <t>Application Engineering</t>
        </is>
      </c>
      <c r="E62" s="5" t="inlineStr">
        <is>
          <t>Integration Architect, 3x API Engineer</t>
        </is>
      </c>
      <c r="F62" s="21" t="n">
        <v>4</v>
      </c>
      <c r="G62" s="21" t="inlineStr">
        <is>
          <t>Senior</t>
        </is>
      </c>
      <c r="H62" s="5" t="inlineStr">
        <is>
          <t>Agent Platform B</t>
        </is>
      </c>
      <c r="I62" s="25">
        <f>F62*VLOOKUP(G62,'Internal Cost Model'!$B$6:$F$15,4,FALSE)/12</f>
        <v/>
      </c>
    </row>
    <row r="63" ht="30" customHeight="1">
      <c r="B63" s="7" t="inlineStr">
        <is>
          <t>POD-058</t>
        </is>
      </c>
      <c r="C63" s="20" t="inlineStr">
        <is>
          <t>App Modernization Pod</t>
        </is>
      </c>
      <c r="D63" s="11" t="inlineStr">
        <is>
          <t>Application Engineering</t>
        </is>
      </c>
      <c r="E63" s="5" t="inlineStr">
        <is>
          <t>Modernization Architect, 4x Engineer</t>
        </is>
      </c>
      <c r="F63" s="21" t="n">
        <v>5</v>
      </c>
      <c r="G63" s="21" t="inlineStr">
        <is>
          <t>Senior</t>
        </is>
      </c>
      <c r="H63" s="5" t="inlineStr">
        <is>
          <t>AbarVa Agents + Agent Platform B</t>
        </is>
      </c>
      <c r="I63" s="25">
        <f>F63*VLOOKUP(G63,'Internal Cost Model'!$B$6:$F$15,4,FALSE)/12</f>
        <v/>
      </c>
    </row>
    <row r="64" ht="30" customHeight="1">
      <c r="B64" s="7" t="inlineStr">
        <is>
          <t>POD-059</t>
        </is>
      </c>
      <c r="C64" s="20" t="inlineStr">
        <is>
          <t>ServiceNow CSM Pod</t>
        </is>
      </c>
      <c r="D64" s="11" t="inlineStr">
        <is>
          <t>Application Engineering</t>
        </is>
      </c>
      <c r="E64" s="5" t="inlineStr">
        <is>
          <t>ServiceNow Architect, 2x Developer</t>
        </is>
      </c>
      <c r="F64" s="21" t="n">
        <v>3</v>
      </c>
      <c r="G64" s="21" t="inlineStr">
        <is>
          <t>Senior</t>
        </is>
      </c>
      <c r="H64" s="5" t="inlineStr">
        <is>
          <t>Agent Platform C</t>
        </is>
      </c>
      <c r="I64" s="25">
        <f>F64*VLOOKUP(G64,'Internal Cost Model'!$B$6:$F$15,4,FALSE)/12</f>
        <v/>
      </c>
    </row>
    <row r="65" ht="30" customHeight="1">
      <c r="B65" s="7" t="inlineStr">
        <is>
          <t>POD-060</t>
        </is>
      </c>
      <c r="C65" s="20" t="inlineStr">
        <is>
          <t>ServiceNow ITOM Pod</t>
        </is>
      </c>
      <c r="D65" s="11" t="inlineStr">
        <is>
          <t>Application Engineering</t>
        </is>
      </c>
      <c r="E65" s="5" t="inlineStr">
        <is>
          <t>ITOM Consultant, 2x Developer</t>
        </is>
      </c>
      <c r="F65" s="21" t="n">
        <v>3</v>
      </c>
      <c r="G65" s="21" t="inlineStr">
        <is>
          <t>Senior</t>
        </is>
      </c>
      <c r="H65" s="5" t="inlineStr">
        <is>
          <t>Agent Platform C</t>
        </is>
      </c>
      <c r="I65" s="25">
        <f>F65*VLOOKUP(G65,'Internal Cost Model'!$B$6:$F$15,4,FALSE)/12</f>
        <v/>
      </c>
    </row>
    <row r="66" ht="30" customHeight="1">
      <c r="B66" s="7" t="inlineStr">
        <is>
          <t>POD-061</t>
        </is>
      </c>
      <c r="C66" s="20" t="inlineStr">
        <is>
          <t>ServiceNow SecOps Pod</t>
        </is>
      </c>
      <c r="D66" s="11" t="inlineStr">
        <is>
          <t>Application Engineering</t>
        </is>
      </c>
      <c r="E66" s="5" t="inlineStr">
        <is>
          <t>SecOps Consultant, 2x Developer</t>
        </is>
      </c>
      <c r="F66" s="21" t="n">
        <v>3</v>
      </c>
      <c r="G66" s="21" t="inlineStr">
        <is>
          <t>Senior</t>
        </is>
      </c>
      <c r="H66" s="5" t="inlineStr">
        <is>
          <t>Agent Platform C</t>
        </is>
      </c>
      <c r="I66" s="25">
        <f>F66*VLOOKUP(G66,'Internal Cost Model'!$B$6:$F$15,4,FALSE)/12</f>
        <v/>
      </c>
    </row>
    <row r="67" ht="30" customHeight="1">
      <c r="B67" s="7" t="inlineStr">
        <is>
          <t>POD-062</t>
        </is>
      </c>
      <c r="C67" s="20" t="inlineStr">
        <is>
          <t>Salesforce Sales Cloud Pod</t>
        </is>
      </c>
      <c r="D67" s="11" t="inlineStr">
        <is>
          <t>Application Engineering</t>
        </is>
      </c>
      <c r="E67" s="5" t="inlineStr">
        <is>
          <t>SF Architect, Sales Cloud Consultant, 2x Developer</t>
        </is>
      </c>
      <c r="F67" s="21" t="n">
        <v>4</v>
      </c>
      <c r="G67" s="21" t="inlineStr">
        <is>
          <t>Senior</t>
        </is>
      </c>
      <c r="H67" s="5" t="inlineStr">
        <is>
          <t>Agent Platform C</t>
        </is>
      </c>
      <c r="I67" s="25">
        <f>F67*VLOOKUP(G67,'Internal Cost Model'!$B$6:$F$15,4,FALSE)/12</f>
        <v/>
      </c>
    </row>
    <row r="68" ht="30" customHeight="1">
      <c r="B68" s="7" t="inlineStr">
        <is>
          <t>POD-063</t>
        </is>
      </c>
      <c r="C68" s="20" t="inlineStr">
        <is>
          <t>Salesforce Service Cloud Pod</t>
        </is>
      </c>
      <c r="D68" s="11" t="inlineStr">
        <is>
          <t>Application Engineering</t>
        </is>
      </c>
      <c r="E68" s="5" t="inlineStr">
        <is>
          <t>SF Architect, Service Cloud Consultant, 2x Developer</t>
        </is>
      </c>
      <c r="F68" s="21" t="n">
        <v>4</v>
      </c>
      <c r="G68" s="21" t="inlineStr">
        <is>
          <t>Senior</t>
        </is>
      </c>
      <c r="H68" s="5" t="inlineStr">
        <is>
          <t>Agent Platform C</t>
        </is>
      </c>
      <c r="I68" s="25">
        <f>F68*VLOOKUP(G68,'Internal Cost Model'!$B$6:$F$15,4,FALSE)/12</f>
        <v/>
      </c>
    </row>
    <row r="69" ht="30" customHeight="1">
      <c r="B69" s="7" t="inlineStr">
        <is>
          <t>POD-064</t>
        </is>
      </c>
      <c r="C69" s="20" t="inlineStr">
        <is>
          <t>Salesforce Platform Pod</t>
        </is>
      </c>
      <c r="D69" s="11" t="inlineStr">
        <is>
          <t>Application Engineering</t>
        </is>
      </c>
      <c r="E69" s="5" t="inlineStr">
        <is>
          <t>SF Architect, 2x Apex Developer, LWC Developer</t>
        </is>
      </c>
      <c r="F69" s="21" t="n">
        <v>4</v>
      </c>
      <c r="G69" s="21" t="inlineStr">
        <is>
          <t>Senior</t>
        </is>
      </c>
      <c r="H69" s="5" t="inlineStr">
        <is>
          <t>Agent Platform C</t>
        </is>
      </c>
      <c r="I69" s="25">
        <f>F69*VLOOKUP(G69,'Internal Cost Model'!$B$6:$F$15,4,FALSE)/12</f>
        <v/>
      </c>
    </row>
    <row r="70" ht="30" customHeight="1">
      <c r="B70" s="7" t="inlineStr">
        <is>
          <t>POD-065</t>
        </is>
      </c>
      <c r="C70" s="20" t="inlineStr">
        <is>
          <t>MuleSoft Pod</t>
        </is>
      </c>
      <c r="D70" s="11" t="inlineStr">
        <is>
          <t>Integration</t>
        </is>
      </c>
      <c r="E70" s="5" t="inlineStr">
        <is>
          <t>MuleSoft Architect, 3x MuleSoft Developer</t>
        </is>
      </c>
      <c r="F70" s="21" t="n">
        <v>4</v>
      </c>
      <c r="G70" s="21" t="inlineStr">
        <is>
          <t>Senior</t>
        </is>
      </c>
      <c r="H70" s="5" t="inlineStr">
        <is>
          <t>Agent Platform B</t>
        </is>
      </c>
      <c r="I70" s="25">
        <f>F70*VLOOKUP(G70,'Internal Cost Model'!$B$6:$F$15,4,FALSE)/12</f>
        <v/>
      </c>
    </row>
    <row r="71" ht="30" customHeight="1">
      <c r="B71" s="7" t="inlineStr">
        <is>
          <t>POD-066</t>
        </is>
      </c>
      <c r="C71" s="20" t="inlineStr">
        <is>
          <t>Kafka Streaming Pod</t>
        </is>
      </c>
      <c r="D71" s="11" t="inlineStr">
        <is>
          <t>Integration</t>
        </is>
      </c>
      <c r="E71" s="5" t="inlineStr">
        <is>
          <t>Kafka Engineer x3</t>
        </is>
      </c>
      <c r="F71" s="21" t="n">
        <v>3</v>
      </c>
      <c r="G71" s="21" t="inlineStr">
        <is>
          <t>Senior</t>
        </is>
      </c>
      <c r="H71" s="5" t="inlineStr">
        <is>
          <t>Agent Platform B</t>
        </is>
      </c>
      <c r="I71" s="25">
        <f>F71*VLOOKUP(G71,'Internal Cost Model'!$B$6:$F$15,4,FALSE)/12</f>
        <v/>
      </c>
    </row>
    <row r="72" ht="30" customHeight="1">
      <c r="B72" s="7" t="inlineStr">
        <is>
          <t>POD-067</t>
        </is>
      </c>
      <c r="C72" s="20" t="inlineStr">
        <is>
          <t>API Management Pod</t>
        </is>
      </c>
      <c r="D72" s="11" t="inlineStr">
        <is>
          <t>Integration</t>
        </is>
      </c>
      <c r="E72" s="5" t="inlineStr">
        <is>
          <t>Integration Architect, API Product Manager, 2x Developer</t>
        </is>
      </c>
      <c r="F72" s="21" t="n">
        <v>4</v>
      </c>
      <c r="G72" s="21" t="inlineStr">
        <is>
          <t>Senior</t>
        </is>
      </c>
      <c r="H72" s="5" t="inlineStr">
        <is>
          <t>Agent Platform B</t>
        </is>
      </c>
      <c r="I72" s="25">
        <f>F72*VLOOKUP(G72,'Internal Cost Model'!$B$6:$F$15,4,FALSE)/12</f>
        <v/>
      </c>
    </row>
    <row r="73" ht="30" customHeight="1">
      <c r="B73" s="7" t="inlineStr">
        <is>
          <t>POD-068</t>
        </is>
      </c>
      <c r="C73" s="20" t="inlineStr">
        <is>
          <t>SAP S/4 Supply Chain Pod</t>
        </is>
      </c>
      <c r="D73" s="11" t="inlineStr">
        <is>
          <t>ERP</t>
        </is>
      </c>
      <c r="E73" s="5" t="inlineStr">
        <is>
          <t>SAP SCM Architect, MM Consultant, SD Consultant</t>
        </is>
      </c>
      <c r="F73" s="21" t="n">
        <v>3</v>
      </c>
      <c r="G73" s="21" t="inlineStr">
        <is>
          <t>Senior</t>
        </is>
      </c>
      <c r="H73" s="5" t="inlineStr">
        <is>
          <t>Agent Platform C</t>
        </is>
      </c>
      <c r="I73" s="25">
        <f>F73*VLOOKUP(G73,'Internal Cost Model'!$B$6:$F$15,4,FALSE)/12</f>
        <v/>
      </c>
    </row>
    <row r="74" ht="30" customHeight="1">
      <c r="B74" s="7" t="inlineStr">
        <is>
          <t>POD-069</t>
        </is>
      </c>
      <c r="C74" s="20" t="inlineStr">
        <is>
          <t>SAP BTP Pod</t>
        </is>
      </c>
      <c r="D74" s="11" t="inlineStr">
        <is>
          <t>ERP</t>
        </is>
      </c>
      <c r="E74" s="5" t="inlineStr">
        <is>
          <t>BTP Architect, 2x CPI Consultant</t>
        </is>
      </c>
      <c r="F74" s="21" t="n">
        <v>3</v>
      </c>
      <c r="G74" s="21" t="inlineStr">
        <is>
          <t>Senior</t>
        </is>
      </c>
      <c r="H74" s="5" t="inlineStr">
        <is>
          <t>Agent Platform C</t>
        </is>
      </c>
      <c r="I74" s="25">
        <f>F74*VLOOKUP(G74,'Internal Cost Model'!$B$6:$F$15,4,FALSE)/12</f>
        <v/>
      </c>
    </row>
    <row r="75" ht="30" customHeight="1">
      <c r="B75" s="7" t="inlineStr">
        <is>
          <t>POD-070</t>
        </is>
      </c>
      <c r="C75" s="20" t="inlineStr">
        <is>
          <t>SAP ABAP/Fiori Pod</t>
        </is>
      </c>
      <c r="D75" s="11" t="inlineStr">
        <is>
          <t>ERP</t>
        </is>
      </c>
      <c r="E75" s="5" t="inlineStr">
        <is>
          <t>2x ABAP Developer, 2x Fiori Developer</t>
        </is>
      </c>
      <c r="F75" s="21" t="n">
        <v>4</v>
      </c>
      <c r="G75" s="21" t="inlineStr">
        <is>
          <t>Senior</t>
        </is>
      </c>
      <c r="H75" s="5" t="inlineStr">
        <is>
          <t>Agent Platform B</t>
        </is>
      </c>
      <c r="I75" s="25">
        <f>F75*VLOOKUP(G75,'Internal Cost Model'!$B$6:$F$15,4,FALSE)/12</f>
        <v/>
      </c>
    </row>
    <row r="76" ht="30" customHeight="1">
      <c r="B76" s="7" t="inlineStr">
        <is>
          <t>POD-071</t>
        </is>
      </c>
      <c r="C76" s="20" t="inlineStr">
        <is>
          <t>SAP SuccessFactors Pod</t>
        </is>
      </c>
      <c r="D76" s="11" t="inlineStr">
        <is>
          <t>ERP</t>
        </is>
      </c>
      <c r="E76" s="5" t="inlineStr">
        <is>
          <t>SuccessFactors Consultant x2</t>
        </is>
      </c>
      <c r="F76" s="21" t="n">
        <v>2</v>
      </c>
      <c r="G76" s="21" t="inlineStr">
        <is>
          <t>Senior</t>
        </is>
      </c>
      <c r="H76" s="5" t="inlineStr">
        <is>
          <t>Agent Platform C</t>
        </is>
      </c>
      <c r="I76" s="25">
        <f>F76*VLOOKUP(G76,'Internal Cost Model'!$B$6:$F$15,4,FALSE)/12</f>
        <v/>
      </c>
    </row>
    <row r="77" ht="30" customHeight="1">
      <c r="B77" s="7" t="inlineStr">
        <is>
          <t>POD-072</t>
        </is>
      </c>
      <c r="C77" s="20" t="inlineStr">
        <is>
          <t>Oracle Fusion HCM Pod</t>
        </is>
      </c>
      <c r="D77" s="11" t="inlineStr">
        <is>
          <t>ERP</t>
        </is>
      </c>
      <c r="E77" s="5" t="inlineStr">
        <is>
          <t>Oracle Fusion HCM Consultant x2, Integration</t>
        </is>
      </c>
      <c r="F77" s="21" t="n">
        <v>3</v>
      </c>
      <c r="G77" s="21" t="inlineStr">
        <is>
          <t>Senior</t>
        </is>
      </c>
      <c r="H77" s="5" t="inlineStr">
        <is>
          <t>Agent Platform C</t>
        </is>
      </c>
      <c r="I77" s="25">
        <f>F77*VLOOKUP(G77,'Internal Cost Model'!$B$6:$F$15,4,FALSE)/12</f>
        <v/>
      </c>
    </row>
    <row r="78" ht="30" customHeight="1">
      <c r="B78" s="7" t="inlineStr">
        <is>
          <t>POD-073</t>
        </is>
      </c>
      <c r="C78" s="20" t="inlineStr">
        <is>
          <t>OCI Migration Pod</t>
        </is>
      </c>
      <c r="D78" s="11" t="inlineStr">
        <is>
          <t>ERP</t>
        </is>
      </c>
      <c r="E78" s="5" t="inlineStr">
        <is>
          <t>OCI Architect, 2x Engineer</t>
        </is>
      </c>
      <c r="F78" s="21" t="n">
        <v>3</v>
      </c>
      <c r="G78" s="21" t="inlineStr">
        <is>
          <t>Senior</t>
        </is>
      </c>
      <c r="H78" s="5" t="inlineStr">
        <is>
          <t>Agent Platform B</t>
        </is>
      </c>
      <c r="I78" s="25">
        <f>F78*VLOOKUP(G78,'Internal Cost Model'!$B$6:$F$15,4,FALSE)/12</f>
        <v/>
      </c>
    </row>
    <row r="79" ht="30" customHeight="1">
      <c r="B79" s="7" t="inlineStr">
        <is>
          <t>POD-074</t>
        </is>
      </c>
      <c r="C79" s="20" t="inlineStr">
        <is>
          <t>Workday Integration Pod</t>
        </is>
      </c>
      <c r="D79" s="11" t="inlineStr">
        <is>
          <t>ERP</t>
        </is>
      </c>
      <c r="E79" s="5" t="inlineStr">
        <is>
          <t>Workday Integration Consultant x2, Reporting Analyst</t>
        </is>
      </c>
      <c r="F79" s="21" t="n">
        <v>3</v>
      </c>
      <c r="G79" s="21" t="inlineStr">
        <is>
          <t>Senior</t>
        </is>
      </c>
      <c r="H79" s="5" t="inlineStr">
        <is>
          <t>Agent Platform C</t>
        </is>
      </c>
      <c r="I79" s="25">
        <f>F79*VLOOKUP(G79,'Internal Cost Model'!$B$6:$F$15,4,FALSE)/12</f>
        <v/>
      </c>
    </row>
    <row r="80" ht="30" customHeight="1">
      <c r="B80" s="7" t="inlineStr">
        <is>
          <t>POD-075</t>
        </is>
      </c>
      <c r="C80" s="20" t="inlineStr">
        <is>
          <t>AWS Migration Pod</t>
        </is>
      </c>
      <c r="D80" s="11" t="inlineStr">
        <is>
          <t>Cloud</t>
        </is>
      </c>
      <c r="E80" s="5" t="inlineStr">
        <is>
          <t>AWS Architect, 3x Platform Engineer, SRE</t>
        </is>
      </c>
      <c r="F80" s="21" t="n">
        <v>5</v>
      </c>
      <c r="G80" s="21" t="inlineStr">
        <is>
          <t>Senior</t>
        </is>
      </c>
      <c r="H80" s="5" t="inlineStr">
        <is>
          <t>Agent Platform B</t>
        </is>
      </c>
      <c r="I80" s="25">
        <f>F80*VLOOKUP(G80,'Internal Cost Model'!$B$6:$F$15,4,FALSE)/12</f>
        <v/>
      </c>
    </row>
    <row r="81" ht="30" customHeight="1">
      <c r="B81" s="7" t="inlineStr">
        <is>
          <t>POD-076</t>
        </is>
      </c>
      <c r="C81" s="20" t="inlineStr">
        <is>
          <t>GCP Data Pod</t>
        </is>
      </c>
      <c r="D81" s="11" t="inlineStr">
        <is>
          <t>Cloud</t>
        </is>
      </c>
      <c r="E81" s="5" t="inlineStr">
        <is>
          <t>GCP Architect, 2x GCP Data Engineer</t>
        </is>
      </c>
      <c r="F81" s="21" t="n">
        <v>3</v>
      </c>
      <c r="G81" s="21" t="inlineStr">
        <is>
          <t>Senior</t>
        </is>
      </c>
      <c r="H81" s="5" t="inlineStr">
        <is>
          <t>Agent Platform B</t>
        </is>
      </c>
      <c r="I81" s="25">
        <f>F81*VLOOKUP(G81,'Internal Cost Model'!$B$6:$F$15,4,FALSE)/12</f>
        <v/>
      </c>
    </row>
    <row r="82" ht="30" customHeight="1">
      <c r="B82" s="7" t="inlineStr">
        <is>
          <t>POD-077</t>
        </is>
      </c>
      <c r="C82" s="20" t="inlineStr">
        <is>
          <t>Kubernetes Platform Pod</t>
        </is>
      </c>
      <c r="D82" s="11" t="inlineStr">
        <is>
          <t>Cloud</t>
        </is>
      </c>
      <c r="E82" s="5" t="inlineStr">
        <is>
          <t>Kubernetes Architect, 3x Kubernetes Engineer</t>
        </is>
      </c>
      <c r="F82" s="21" t="n">
        <v>4</v>
      </c>
      <c r="G82" s="21" t="inlineStr">
        <is>
          <t>Senior</t>
        </is>
      </c>
      <c r="H82" s="5" t="inlineStr">
        <is>
          <t>Agent Platform B</t>
        </is>
      </c>
      <c r="I82" s="25">
        <f>F82*VLOOKUP(G82,'Internal Cost Model'!$B$6:$F$15,4,FALSE)/12</f>
        <v/>
      </c>
    </row>
    <row r="83" ht="30" customHeight="1">
      <c r="B83" s="7" t="inlineStr">
        <is>
          <t>POD-078</t>
        </is>
      </c>
      <c r="C83" s="20" t="inlineStr">
        <is>
          <t>FinOps Pod</t>
        </is>
      </c>
      <c r="D83" s="11" t="inlineStr">
        <is>
          <t>Cloud</t>
        </is>
      </c>
      <c r="E83" s="5" t="inlineStr">
        <is>
          <t>FinOps Analyst x2, Cloud Architect</t>
        </is>
      </c>
      <c r="F83" s="21" t="n">
        <v>3</v>
      </c>
      <c r="G83" s="21" t="inlineStr">
        <is>
          <t>Senior</t>
        </is>
      </c>
      <c r="H83" s="5" t="inlineStr">
        <is>
          <t>Agent Platform A</t>
        </is>
      </c>
      <c r="I83" s="25">
        <f>F83*VLOOKUP(G83,'Internal Cost Model'!$B$6:$F$15,4,FALSE)/12</f>
        <v/>
      </c>
    </row>
    <row r="84" ht="30" customHeight="1">
      <c r="B84" s="7" t="inlineStr">
        <is>
          <t>POD-079</t>
        </is>
      </c>
      <c r="C84" s="20" t="inlineStr">
        <is>
          <t>IaC Automation Pod</t>
        </is>
      </c>
      <c r="D84" s="11" t="inlineStr">
        <is>
          <t>Cloud</t>
        </is>
      </c>
      <c r="E84" s="5" t="inlineStr">
        <is>
          <t>IaC Engineer x3</t>
        </is>
      </c>
      <c r="F84" s="21" t="n">
        <v>3</v>
      </c>
      <c r="G84" s="21" t="inlineStr">
        <is>
          <t>Senior</t>
        </is>
      </c>
      <c r="H84" s="5" t="inlineStr">
        <is>
          <t>Agent Platform B</t>
        </is>
      </c>
      <c r="I84" s="25">
        <f>F84*VLOOKUP(G84,'Internal Cost Model'!$B$6:$F$15,4,FALSE)/12</f>
        <v/>
      </c>
    </row>
    <row r="85" ht="30" customHeight="1">
      <c r="B85" s="7" t="inlineStr">
        <is>
          <t>POD-080</t>
        </is>
      </c>
      <c r="C85" s="20" t="inlineStr">
        <is>
          <t>Landing Zone Pod</t>
        </is>
      </c>
      <c r="D85" s="11" t="inlineStr">
        <is>
          <t>Cloud</t>
        </is>
      </c>
      <c r="E85" s="5" t="inlineStr">
        <is>
          <t>Landing Zone Architect, 2x Platform Engineer</t>
        </is>
      </c>
      <c r="F85" s="21" t="n">
        <v>3</v>
      </c>
      <c r="G85" s="21" t="inlineStr">
        <is>
          <t>Lead</t>
        </is>
      </c>
      <c r="H85" s="5" t="inlineStr">
        <is>
          <t>Agent Platform B</t>
        </is>
      </c>
      <c r="I85" s="25">
        <f>F85*VLOOKUP(G85,'Internal Cost Model'!$B$6:$F$15,4,FALSE)/12</f>
        <v/>
      </c>
    </row>
    <row r="86" ht="30" customHeight="1">
      <c r="B86" s="7" t="inlineStr">
        <is>
          <t>POD-081</t>
        </is>
      </c>
      <c r="C86" s="20" t="inlineStr">
        <is>
          <t>SRE Pod</t>
        </is>
      </c>
      <c r="D86" s="11" t="inlineStr">
        <is>
          <t>Cloud</t>
        </is>
      </c>
      <c r="E86" s="5" t="inlineStr">
        <is>
          <t>SRE Architect, 3x SRE Engineer</t>
        </is>
      </c>
      <c r="F86" s="21" t="n">
        <v>4</v>
      </c>
      <c r="G86" s="21" t="inlineStr">
        <is>
          <t>Senior</t>
        </is>
      </c>
      <c r="H86" s="5" t="inlineStr">
        <is>
          <t>Agent Platform B</t>
        </is>
      </c>
      <c r="I86" s="25">
        <f>F86*VLOOKUP(G86,'Internal Cost Model'!$B$6:$F$15,4,FALSE)/12</f>
        <v/>
      </c>
    </row>
    <row r="87" ht="30" customHeight="1">
      <c r="B87" s="7" t="inlineStr">
        <is>
          <t>POD-082</t>
        </is>
      </c>
      <c r="C87" s="20" t="inlineStr">
        <is>
          <t>Network Modernization Pod</t>
        </is>
      </c>
      <c r="D87" s="11" t="inlineStr">
        <is>
          <t>Infrastructure</t>
        </is>
      </c>
      <c r="E87" s="5" t="inlineStr">
        <is>
          <t>Network Architect, 3x Network Engineer</t>
        </is>
      </c>
      <c r="F87" s="21" t="n">
        <v>4</v>
      </c>
      <c r="G87" s="21" t="inlineStr">
        <is>
          <t>Senior</t>
        </is>
      </c>
      <c r="H87" s="5" t="inlineStr">
        <is>
          <t>Agent Platform A</t>
        </is>
      </c>
      <c r="I87" s="25">
        <f>F87*VLOOKUP(G87,'Internal Cost Model'!$B$6:$F$15,4,FALSE)/12</f>
        <v/>
      </c>
    </row>
    <row r="88" ht="30" customHeight="1">
      <c r="B88" s="7" t="inlineStr">
        <is>
          <t>POD-083</t>
        </is>
      </c>
      <c r="C88" s="20" t="inlineStr">
        <is>
          <t>Identity Pod</t>
        </is>
      </c>
      <c r="D88" s="11" t="inlineStr">
        <is>
          <t>Infrastructure</t>
        </is>
      </c>
      <c r="E88" s="5" t="inlineStr">
        <is>
          <t>Identity Architect, 2x AD Engineer</t>
        </is>
      </c>
      <c r="F88" s="21" t="n">
        <v>3</v>
      </c>
      <c r="G88" s="21" t="inlineStr">
        <is>
          <t>Lead</t>
        </is>
      </c>
      <c r="H88" s="5" t="inlineStr">
        <is>
          <t>Agent Platform A</t>
        </is>
      </c>
      <c r="I88" s="25">
        <f>F88*VLOOKUP(G88,'Internal Cost Model'!$B$6:$F$15,4,FALSE)/12</f>
        <v/>
      </c>
    </row>
    <row r="89" ht="30" customHeight="1">
      <c r="B89" s="7" t="inlineStr">
        <is>
          <t>POD-084</t>
        </is>
      </c>
      <c r="C89" s="20" t="inlineStr">
        <is>
          <t>DR &amp; Backup Pod</t>
        </is>
      </c>
      <c r="D89" s="11" t="inlineStr">
        <is>
          <t>Infrastructure</t>
        </is>
      </c>
      <c r="E89" s="5" t="inlineStr">
        <is>
          <t>2x Backup/DR Engineer, Infra Architect</t>
        </is>
      </c>
      <c r="F89" s="21" t="n">
        <v>3</v>
      </c>
      <c r="G89" s="21" t="inlineStr">
        <is>
          <t>Senior</t>
        </is>
      </c>
      <c r="H89" s="5" t="inlineStr">
        <is>
          <t>Agent Platform A</t>
        </is>
      </c>
      <c r="I89" s="25">
        <f>F89*VLOOKUP(G89,'Internal Cost Model'!$B$6:$F$15,4,FALSE)/12</f>
        <v/>
      </c>
    </row>
    <row r="90" ht="30" customHeight="1">
      <c r="B90" s="7" t="inlineStr">
        <is>
          <t>POD-085</t>
        </is>
      </c>
      <c r="C90" s="20" t="inlineStr">
        <is>
          <t>Zero Trust Pod</t>
        </is>
      </c>
      <c r="D90" s="11" t="inlineStr">
        <is>
          <t>Cybersecurity</t>
        </is>
      </c>
      <c r="E90" s="5" t="inlineStr">
        <is>
          <t>Zero Trust Architect, 2x Cloud Security Engineer</t>
        </is>
      </c>
      <c r="F90" s="21" t="n">
        <v>3</v>
      </c>
      <c r="G90" s="21" t="inlineStr">
        <is>
          <t>Lead</t>
        </is>
      </c>
      <c r="H90" s="5" t="inlineStr">
        <is>
          <t>Agent Platform A</t>
        </is>
      </c>
      <c r="I90" s="25">
        <f>F90*VLOOKUP(G90,'Internal Cost Model'!$B$6:$F$15,4,FALSE)/12</f>
        <v/>
      </c>
    </row>
    <row r="91" ht="30" customHeight="1">
      <c r="B91" s="7" t="inlineStr">
        <is>
          <t>POD-086</t>
        </is>
      </c>
      <c r="C91" s="20" t="inlineStr">
        <is>
          <t>IR &amp; SOC Surge Pod</t>
        </is>
      </c>
      <c r="D91" s="11" t="inlineStr">
        <is>
          <t>Cybersecurity</t>
        </is>
      </c>
      <c r="E91" s="5" t="inlineStr">
        <is>
          <t>SOC Lead, 2x Incident Responder, Threat Hunter</t>
        </is>
      </c>
      <c r="F91" s="21" t="n">
        <v>4</v>
      </c>
      <c r="G91" s="21" t="inlineStr">
        <is>
          <t>Senior</t>
        </is>
      </c>
      <c r="H91" s="5" t="inlineStr">
        <is>
          <t>Agent Platform C</t>
        </is>
      </c>
      <c r="I91" s="25">
        <f>F91*VLOOKUP(G91,'Internal Cost Model'!$B$6:$F$15,4,FALSE)/12</f>
        <v/>
      </c>
    </row>
    <row r="92" ht="30" customHeight="1">
      <c r="B92" s="7" t="inlineStr">
        <is>
          <t>POD-087</t>
        </is>
      </c>
      <c r="C92" s="20" t="inlineStr">
        <is>
          <t>GRC Pod</t>
        </is>
      </c>
      <c r="D92" s="11" t="inlineStr">
        <is>
          <t>Cybersecurity</t>
        </is>
      </c>
      <c r="E92" s="5" t="inlineStr">
        <is>
          <t>GRC Lead, 2x GRC Analyst</t>
        </is>
      </c>
      <c r="F92" s="21" t="n">
        <v>3</v>
      </c>
      <c r="G92" s="21" t="inlineStr">
        <is>
          <t>Manager</t>
        </is>
      </c>
      <c r="H92" s="5" t="inlineStr">
        <is>
          <t>Agent Platform A</t>
        </is>
      </c>
      <c r="I92" s="25">
        <f>F92*VLOOKUP(G92,'Internal Cost Model'!$B$6:$F$15,4,FALSE)/12</f>
        <v/>
      </c>
    </row>
    <row r="93" ht="30" customHeight="1">
      <c r="B93" s="7" t="inlineStr">
        <is>
          <t>POD-088</t>
        </is>
      </c>
      <c r="C93" s="20" t="inlineStr">
        <is>
          <t>Pen Test Pod</t>
        </is>
      </c>
      <c r="D93" s="11" t="inlineStr">
        <is>
          <t>Cybersecurity</t>
        </is>
      </c>
      <c r="E93" s="5" t="inlineStr">
        <is>
          <t>2x Penetration Tester, Security Architect</t>
        </is>
      </c>
      <c r="F93" s="21" t="n">
        <v>3</v>
      </c>
      <c r="G93" s="21" t="inlineStr">
        <is>
          <t>Senior</t>
        </is>
      </c>
      <c r="H93" s="5" t="inlineStr">
        <is>
          <t>Agent Platform B</t>
        </is>
      </c>
      <c r="I93" s="25">
        <f>F93*VLOOKUP(G93,'Internal Cost Model'!$B$6:$F$15,4,FALSE)/12</f>
        <v/>
      </c>
    </row>
    <row r="94" ht="30" customHeight="1">
      <c r="B94" s="7" t="inlineStr">
        <is>
          <t>POD-089</t>
        </is>
      </c>
      <c r="C94" s="20" t="inlineStr">
        <is>
          <t>Privacy Pod</t>
        </is>
      </c>
      <c r="D94" s="11" t="inlineStr">
        <is>
          <t>Cybersecurity</t>
        </is>
      </c>
      <c r="E94" s="5" t="inlineStr">
        <is>
          <t>Privacy Engineer x2, GRC Analyst</t>
        </is>
      </c>
      <c r="F94" s="21" t="n">
        <v>3</v>
      </c>
      <c r="G94" s="21" t="inlineStr">
        <is>
          <t>Senior</t>
        </is>
      </c>
      <c r="H94" s="5" t="inlineStr">
        <is>
          <t>Agent Platform A</t>
        </is>
      </c>
      <c r="I94" s="25">
        <f>F94*VLOOKUP(G94,'Internal Cost Model'!$B$6:$F$15,4,FALSE)/12</f>
        <v/>
      </c>
    </row>
    <row r="95" ht="30" customHeight="1">
      <c r="B95" s="7" t="inlineStr">
        <is>
          <t>POD-090</t>
        </is>
      </c>
      <c r="C95" s="20" t="inlineStr">
        <is>
          <t>Performance Testing Pod</t>
        </is>
      </c>
      <c r="D95" s="11" t="inlineStr">
        <is>
          <t>Quality Engineering</t>
        </is>
      </c>
      <c r="E95" s="5" t="inlineStr">
        <is>
          <t>Performance Architect, 2x Engineer</t>
        </is>
      </c>
      <c r="F95" s="21" t="n">
        <v>3</v>
      </c>
      <c r="G95" s="21" t="inlineStr">
        <is>
          <t>Senior</t>
        </is>
      </c>
      <c r="H95" s="5" t="inlineStr">
        <is>
          <t>Agent Platform B</t>
        </is>
      </c>
      <c r="I95" s="25">
        <f>F95*VLOOKUP(G95,'Internal Cost Model'!$B$6:$F$15,4,FALSE)/12</f>
        <v/>
      </c>
    </row>
    <row r="96" ht="30" customHeight="1">
      <c r="B96" s="7" t="inlineStr">
        <is>
          <t>POD-091</t>
        </is>
      </c>
      <c r="C96" s="20" t="inlineStr">
        <is>
          <t>SDET Pod</t>
        </is>
      </c>
      <c r="D96" s="11" t="inlineStr">
        <is>
          <t>Quality Engineering</t>
        </is>
      </c>
      <c r="E96" s="5" t="inlineStr">
        <is>
          <t>4x SDET</t>
        </is>
      </c>
      <c r="F96" s="21" t="n">
        <v>4</v>
      </c>
      <c r="G96" s="21" t="inlineStr">
        <is>
          <t>Senior</t>
        </is>
      </c>
      <c r="H96" s="5" t="inlineStr">
        <is>
          <t>Agent Platform B</t>
        </is>
      </c>
      <c r="I96" s="25">
        <f>F96*VLOOKUP(G96,'Internal Cost Model'!$B$6:$F$15,4,FALSE)/12</f>
        <v/>
      </c>
    </row>
    <row r="97" ht="30" customHeight="1">
      <c r="B97" s="7" t="inlineStr">
        <is>
          <t>POD-092</t>
        </is>
      </c>
      <c r="C97" s="20" t="inlineStr">
        <is>
          <t>Observability Pod</t>
        </is>
      </c>
      <c r="D97" s="11" t="inlineStr">
        <is>
          <t>Operations</t>
        </is>
      </c>
      <c r="E97" s="5" t="inlineStr">
        <is>
          <t>Observability Engineer x2, SRE</t>
        </is>
      </c>
      <c r="F97" s="21" t="n">
        <v>3</v>
      </c>
      <c r="G97" s="21" t="inlineStr">
        <is>
          <t>Senior</t>
        </is>
      </c>
      <c r="H97" s="5" t="inlineStr">
        <is>
          <t>Agent Platform B</t>
        </is>
      </c>
      <c r="I97" s="25">
        <f>F97*VLOOKUP(G97,'Internal Cost Model'!$B$6:$F$15,4,FALSE)/12</f>
        <v/>
      </c>
    </row>
    <row r="98" ht="30" customHeight="1">
      <c r="B98" s="7" t="inlineStr">
        <is>
          <t>POD-093</t>
        </is>
      </c>
      <c r="C98" s="20" t="inlineStr">
        <is>
          <t>Incident Command Pod</t>
        </is>
      </c>
      <c r="D98" s="11" t="inlineStr">
        <is>
          <t>Operations</t>
        </is>
      </c>
      <c r="E98" s="5" t="inlineStr">
        <is>
          <t>Major Incident Lead, Incident Manager, Problem Manager</t>
        </is>
      </c>
      <c r="F98" s="21" t="n">
        <v>3</v>
      </c>
      <c r="G98" s="21" t="inlineStr">
        <is>
          <t>Manager</t>
        </is>
      </c>
      <c r="H98" s="5" t="inlineStr">
        <is>
          <t>Agent Platform C</t>
        </is>
      </c>
      <c r="I98" s="25">
        <f>F98*VLOOKUP(G98,'Internal Cost Model'!$B$6:$F$15,4,FALSE)/12</f>
        <v/>
      </c>
    </row>
    <row r="99" ht="30" customHeight="1">
      <c r="B99" s="7" t="inlineStr">
        <is>
          <t>POD-094</t>
        </is>
      </c>
      <c r="C99" s="20" t="inlineStr">
        <is>
          <t>AMS Data Pod</t>
        </is>
      </c>
      <c r="D99" s="11" t="inlineStr">
        <is>
          <t>Managed Services</t>
        </is>
      </c>
      <c r="E99" s="5" t="inlineStr">
        <is>
          <t>AMS Architect, 2x L3, 3x L2</t>
        </is>
      </c>
      <c r="F99" s="21" t="n">
        <v>6</v>
      </c>
      <c r="G99" s="21" t="inlineStr">
        <is>
          <t>Intermediate</t>
        </is>
      </c>
      <c r="H99" s="5" t="inlineStr">
        <is>
          <t>Agent Platform C</t>
        </is>
      </c>
      <c r="I99" s="25">
        <f>F99*VLOOKUP(G99,'Internal Cost Model'!$B$6:$F$15,4,FALSE)/12</f>
        <v/>
      </c>
    </row>
    <row r="100" ht="30" customHeight="1">
      <c r="B100" s="7" t="inlineStr">
        <is>
          <t>POD-095</t>
        </is>
      </c>
      <c r="C100" s="20" t="inlineStr">
        <is>
          <t>AMS Cloud Pod</t>
        </is>
      </c>
      <c r="D100" s="11" t="inlineStr">
        <is>
          <t>Managed Services</t>
        </is>
      </c>
      <c r="E100" s="5" t="inlineStr">
        <is>
          <t>AMS Architect, 2x L3 (Cloud), 3x L2</t>
        </is>
      </c>
      <c r="F100" s="21" t="n">
        <v>6</v>
      </c>
      <c r="G100" s="21" t="inlineStr">
        <is>
          <t>Intermediate</t>
        </is>
      </c>
      <c r="H100" s="5" t="inlineStr">
        <is>
          <t>Agent Platform C</t>
        </is>
      </c>
      <c r="I100" s="25">
        <f>F100*VLOOKUP(G100,'Internal Cost Model'!$B$6:$F$15,4,FALSE)/12</f>
        <v/>
      </c>
    </row>
    <row r="101" ht="30" customHeight="1">
      <c r="B101" s="7" t="inlineStr">
        <is>
          <t>POD-096</t>
        </is>
      </c>
      <c r="C101" s="20" t="inlineStr">
        <is>
          <t>AMS ERP Pod</t>
        </is>
      </c>
      <c r="D101" s="11" t="inlineStr">
        <is>
          <t>Managed Services</t>
        </is>
      </c>
      <c r="E101" s="5" t="inlineStr">
        <is>
          <t>AMS Architect, 3x L3 (ERP), 4x L2</t>
        </is>
      </c>
      <c r="F101" s="21" t="n">
        <v>8</v>
      </c>
      <c r="G101" s="21" t="inlineStr">
        <is>
          <t>Intermediate</t>
        </is>
      </c>
      <c r="H101" s="5" t="inlineStr">
        <is>
          <t>Agent Platform C</t>
        </is>
      </c>
      <c r="I101" s="25">
        <f>F101*VLOOKUP(G101,'Internal Cost Model'!$B$6:$F$15,4,FALSE)/12</f>
        <v/>
      </c>
    </row>
    <row r="102" ht="30" customHeight="1">
      <c r="B102" s="7" t="inlineStr">
        <is>
          <t>POD-097</t>
        </is>
      </c>
      <c r="C102" s="20" t="inlineStr">
        <is>
          <t>AMS Salesforce Pod</t>
        </is>
      </c>
      <c r="D102" s="11" t="inlineStr">
        <is>
          <t>Managed Services</t>
        </is>
      </c>
      <c r="E102" s="5" t="inlineStr">
        <is>
          <t>AMS Lead, 2x L3, 3x L2</t>
        </is>
      </c>
      <c r="F102" s="21" t="n">
        <v>6</v>
      </c>
      <c r="G102" s="21" t="inlineStr">
        <is>
          <t>Intermediate</t>
        </is>
      </c>
      <c r="H102" s="5" t="inlineStr">
        <is>
          <t>Agent Platform C</t>
        </is>
      </c>
      <c r="I102" s="25">
        <f>F102*VLOOKUP(G102,'Internal Cost Model'!$B$6:$F$15,4,FALSE)/12</f>
        <v/>
      </c>
    </row>
    <row r="103" ht="30" customHeight="1">
      <c r="B103" s="7" t="inlineStr">
        <is>
          <t>POD-098</t>
        </is>
      </c>
      <c r="C103" s="20" t="inlineStr">
        <is>
          <t>AMS ServiceNow Pod</t>
        </is>
      </c>
      <c r="D103" s="11" t="inlineStr">
        <is>
          <t>Managed Services</t>
        </is>
      </c>
      <c r="E103" s="5" t="inlineStr">
        <is>
          <t>AMS Lead, 2x L3, 3x L2</t>
        </is>
      </c>
      <c r="F103" s="21" t="n">
        <v>6</v>
      </c>
      <c r="G103" s="21" t="inlineStr">
        <is>
          <t>Intermediate</t>
        </is>
      </c>
      <c r="H103" s="5" t="inlineStr">
        <is>
          <t>Agent Platform C</t>
        </is>
      </c>
      <c r="I103" s="25">
        <f>F103*VLOOKUP(G103,'Internal Cost Model'!$B$6:$F$15,4,FALSE)/12</f>
        <v/>
      </c>
    </row>
    <row r="104" ht="30" customHeight="1">
      <c r="B104" s="7" t="inlineStr">
        <is>
          <t>POD-099</t>
        </is>
      </c>
      <c r="C104" s="20" t="inlineStr">
        <is>
          <t>COBOL-to-Java Pod</t>
        </is>
      </c>
      <c r="D104" s="11" t="inlineStr">
        <is>
          <t>Legacy &amp; Mainframe</t>
        </is>
      </c>
      <c r="E104" s="5" t="inlineStr">
        <is>
          <t>Mainframe Architect, 4x COBOL Engineer</t>
        </is>
      </c>
      <c r="F104" s="21" t="n">
        <v>5</v>
      </c>
      <c r="G104" s="21" t="inlineStr">
        <is>
          <t>Senior</t>
        </is>
      </c>
      <c r="H104" s="5" t="inlineStr">
        <is>
          <t>AbarVa Agents + Agent Platform B</t>
        </is>
      </c>
      <c r="I104" s="25">
        <f>F104*VLOOKUP(G104,'Internal Cost Model'!$B$6:$F$15,4,FALSE)/12</f>
        <v/>
      </c>
    </row>
    <row r="105" ht="30" customHeight="1">
      <c r="B105" s="7" t="inlineStr">
        <is>
          <t>POD-100</t>
        </is>
      </c>
      <c r="C105" s="20" t="inlineStr">
        <is>
          <t>DB2 Modernization Pod</t>
        </is>
      </c>
      <c r="D105" s="11" t="inlineStr">
        <is>
          <t>Legacy &amp; Mainframe</t>
        </is>
      </c>
      <c r="E105" s="5" t="inlineStr">
        <is>
          <t>DB2 DBA x2, Data Engineer</t>
        </is>
      </c>
      <c r="F105" s="21" t="n">
        <v>3</v>
      </c>
      <c r="G105" s="21" t="inlineStr">
        <is>
          <t>Senior</t>
        </is>
      </c>
      <c r="H105" s="5" t="inlineStr">
        <is>
          <t>Agent Platform B</t>
        </is>
      </c>
      <c r="I105" s="25">
        <f>F105*VLOOKUP(G105,'Internal Cost Model'!$B$6:$F$15,4,FALSE)/12</f>
        <v/>
      </c>
    </row>
    <row r="106" ht="30" customHeight="1">
      <c r="B106" s="7" t="inlineStr">
        <is>
          <t>POD-101</t>
        </is>
      </c>
      <c r="C106" s="20" t="inlineStr">
        <is>
          <t>SAFe Release Train Pod</t>
        </is>
      </c>
      <c r="D106" s="11" t="inlineStr">
        <is>
          <t>Program Management</t>
        </is>
      </c>
      <c r="E106" s="5" t="inlineStr">
        <is>
          <t>Release Train Engineer, 3x Scrum Master, Agile Coach</t>
        </is>
      </c>
      <c r="F106" s="21" t="n">
        <v>5</v>
      </c>
      <c r="G106" s="21" t="inlineStr">
        <is>
          <t>Senior</t>
        </is>
      </c>
      <c r="H106" s="5" t="inlineStr">
        <is>
          <t>Agent Platform A</t>
        </is>
      </c>
      <c r="I106" s="25">
        <f>F106*VLOOKUP(G106,'Internal Cost Model'!$B$6:$F$15,4,FALSE)/12</f>
        <v/>
      </c>
    </row>
    <row r="107" ht="30" customHeight="1">
      <c r="B107" s="7" t="inlineStr">
        <is>
          <t>POD-102</t>
        </is>
      </c>
      <c r="C107" s="20" t="inlineStr">
        <is>
          <t>Delivery Assurance Pod</t>
        </is>
      </c>
      <c r="D107" s="11" t="inlineStr">
        <is>
          <t>Program Management</t>
        </is>
      </c>
      <c r="E107" s="5" t="inlineStr">
        <is>
          <t>Program Director, 2x Delivery Lead</t>
        </is>
      </c>
      <c r="F107" s="21" t="n">
        <v>3</v>
      </c>
      <c r="G107" s="21" t="inlineStr">
        <is>
          <t>Director</t>
        </is>
      </c>
      <c r="H107" s="5" t="inlineStr">
        <is>
          <t>Agent Platform A</t>
        </is>
      </c>
      <c r="I107" s="25">
        <f>F107*VLOOKUP(G107,'Internal Cost Model'!$B$6:$F$15,4,FALSE)/12</f>
        <v/>
      </c>
    </row>
    <row r="108" ht="30" customHeight="1">
      <c r="B108" s="7" t="inlineStr">
        <is>
          <t>POD-103</t>
        </is>
      </c>
      <c r="C108" s="20" t="inlineStr">
        <is>
          <t>EA Runway Pod</t>
        </is>
      </c>
      <c r="D108" s="11" t="inlineStr">
        <is>
          <t>Enterprise Architecture</t>
        </is>
      </c>
      <c r="E108" s="5" t="inlineStr">
        <is>
          <t>Chief Architect, Business Architect, 2x Solution Architect</t>
        </is>
      </c>
      <c r="F108" s="21" t="n">
        <v>4</v>
      </c>
      <c r="G108" s="21" t="inlineStr">
        <is>
          <t>Director</t>
        </is>
      </c>
      <c r="H108" s="5" t="inlineStr">
        <is>
          <t>Agent Platform A</t>
        </is>
      </c>
      <c r="I108" s="25">
        <f>F108*VLOOKUP(G108,'Internal Cost Model'!$B$6:$F$15,4,FALSE)/12</f>
        <v/>
      </c>
    </row>
    <row r="109" ht="30" customHeight="1">
      <c r="B109" s="7" t="inlineStr">
        <is>
          <t>POD-104</t>
        </is>
      </c>
      <c r="C109" s="20" t="inlineStr">
        <is>
          <t>Banking Data Pod</t>
        </is>
      </c>
      <c r="D109" s="11" t="inlineStr">
        <is>
          <t>Industry SMEs</t>
        </is>
      </c>
      <c r="E109" s="5" t="inlineStr">
        <is>
          <t>Banking SME, Data Architect, 2x Data Engineer</t>
        </is>
      </c>
      <c r="F109" s="21" t="n">
        <v>4</v>
      </c>
      <c r="G109" s="21" t="inlineStr">
        <is>
          <t>Senior</t>
        </is>
      </c>
      <c r="H109" s="5" t="inlineStr">
        <is>
          <t>Agent Platform B</t>
        </is>
      </c>
      <c r="I109" s="25">
        <f>F109*VLOOKUP(G109,'Internal Cost Model'!$B$6:$F$15,4,FALSE)/12</f>
        <v/>
      </c>
    </row>
    <row r="110" ht="30" customHeight="1">
      <c r="B110" s="7" t="inlineStr">
        <is>
          <t>POD-105</t>
        </is>
      </c>
      <c r="C110" s="20" t="inlineStr">
        <is>
          <t>Insurance Claims AI Pod</t>
        </is>
      </c>
      <c r="D110" s="11" t="inlineStr">
        <is>
          <t>Industry SMEs</t>
        </is>
      </c>
      <c r="E110" s="5" t="inlineStr">
        <is>
          <t>Insurance SME, AI Architect, 2x AI Engineer</t>
        </is>
      </c>
      <c r="F110" s="21" t="n">
        <v>4</v>
      </c>
      <c r="G110" s="21" t="inlineStr">
        <is>
          <t>Senior</t>
        </is>
      </c>
      <c r="H110" s="5" t="inlineStr">
        <is>
          <t>Agent Platform D + AbarVa Agents</t>
        </is>
      </c>
      <c r="I110" s="25">
        <f>F110*VLOOKUP(G110,'Internal Cost Model'!$B$6:$F$15,4,FALSE)/12</f>
        <v/>
      </c>
    </row>
    <row r="111" ht="30" customHeight="1">
      <c r="B111" s="7" t="inlineStr">
        <is>
          <t>POD-106</t>
        </is>
      </c>
      <c r="C111" s="20" t="inlineStr">
        <is>
          <t>Healthcare Interop Pod</t>
        </is>
      </c>
      <c r="D111" s="11" t="inlineStr">
        <is>
          <t>Industry SMEs</t>
        </is>
      </c>
      <c r="E111" s="5" t="inlineStr">
        <is>
          <t>Provider SME, Integration Architect, 2x Engineer</t>
        </is>
      </c>
      <c r="F111" s="21" t="n">
        <v>4</v>
      </c>
      <c r="G111" s="21" t="inlineStr">
        <is>
          <t>Senior</t>
        </is>
      </c>
      <c r="H111" s="5" t="inlineStr">
        <is>
          <t>Agent Platform B</t>
        </is>
      </c>
      <c r="I111" s="25">
        <f>F111*VLOOKUP(G111,'Internal Cost Model'!$B$6:$F$15,4,FALSE)/12</f>
        <v/>
      </c>
    </row>
    <row r="112" ht="30" customHeight="1">
      <c r="B112" s="7" t="inlineStr">
        <is>
          <t>POD-107</t>
        </is>
      </c>
      <c r="C112" s="20" t="inlineStr">
        <is>
          <t>Payments Fraud AI Pod</t>
        </is>
      </c>
      <c r="D112" s="11" t="inlineStr">
        <is>
          <t>Industry SMEs</t>
        </is>
      </c>
      <c r="E112" s="5" t="inlineStr">
        <is>
          <t>Payments SME, AI Architect, 2x ML Engineer</t>
        </is>
      </c>
      <c r="F112" s="21" t="n">
        <v>4</v>
      </c>
      <c r="G112" s="21" t="inlineStr">
        <is>
          <t>Senior</t>
        </is>
      </c>
      <c r="H112" s="5" t="inlineStr">
        <is>
          <t>Agent Platform D</t>
        </is>
      </c>
      <c r="I112" s="25">
        <f>F112*VLOOKUP(G112,'Internal Cost Model'!$B$6:$F$15,4,FALSE)/12</f>
        <v/>
      </c>
    </row>
  </sheetData>
  <autoFilter ref="B5:I1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6A1F"/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4" customWidth="1" min="5" max="5"/>
  </cols>
  <sheetData>
    <row r="2">
      <c r="B2" s="14" t="inlineStr">
        <is>
          <t>ESTIMATION ENGINE — traditional vs AI-native (worked example)</t>
        </is>
      </c>
    </row>
    <row r="3" ht="28" customHeight="1">
      <c r="B3" s="27" t="inlineStr">
        <is>
          <t>One scope, estimated twice. Agents add parallel capacity (faster) and are billed by subscription, not human rate (cheaper). No double-counting.</t>
        </is>
      </c>
    </row>
    <row r="5">
      <c r="B5" s="4" t="inlineStr">
        <is>
          <t>PROGRAM INPUTS</t>
        </is>
      </c>
    </row>
    <row r="6">
      <c r="B6" s="11" t="inlineStr">
        <is>
          <t>Program</t>
        </is>
      </c>
      <c r="C6" s="28" t="inlineStr">
        <is>
          <t>Customer Data Product Program</t>
        </is>
      </c>
    </row>
    <row r="7">
      <c r="B7" s="11" t="inlineStr">
        <is>
          <t>Reference delivery pod</t>
        </is>
      </c>
      <c r="C7" s="28" t="inlineStr">
        <is>
          <t>Data Product Pod</t>
        </is>
      </c>
    </row>
    <row r="8">
      <c r="B8" s="11" t="inlineStr">
        <is>
          <t>Onshore mix %</t>
        </is>
      </c>
      <c r="C8" s="15" t="n">
        <v>0.4</v>
      </c>
    </row>
    <row r="9">
      <c r="B9" s="11" t="inlineStr">
        <is>
          <t>Offshore mix %</t>
        </is>
      </c>
      <c r="C9" s="15" t="n">
        <v>0.6</v>
      </c>
    </row>
    <row r="10">
      <c r="B10" s="11" t="inlineStr">
        <is>
          <t>Onshore rate (SI-T1 Senior) $/hr</t>
        </is>
      </c>
      <c r="C10" s="22">
        <f>VLOOKUP("Senior",Assumptions!$B$50:$D$59,2,FALSE)*VLOOKUP("SI-T1",Assumptions!$B$27:$C$31,2,FALSE)</f>
        <v/>
      </c>
    </row>
    <row r="11">
      <c r="B11" s="11" t="inlineStr">
        <is>
          <t>Offshore rate (SI-T2 Senior) $/hr</t>
        </is>
      </c>
      <c r="C11" s="22">
        <f>VLOOKUP("Senior",Assumptions!$B$50:$D$59,2,FALSE)*VLOOKUP("SI-T2",Assumptions!$B$27:$C$31,2,FALSE)*INDEX(Assumptions!$C$36:$C$38,3)</f>
        <v/>
      </c>
    </row>
    <row r="12">
      <c r="B12" s="7" t="inlineStr">
        <is>
          <t>Blended rate $/hr</t>
        </is>
      </c>
      <c r="C12" s="29">
        <f>C8*C10+C9*C11</f>
        <v/>
      </c>
    </row>
    <row r="13">
      <c r="B13" s="11" t="inlineStr">
        <is>
          <t>AI agent platform</t>
        </is>
      </c>
      <c r="C13" s="28" t="inlineStr">
        <is>
          <t>AbarVa Agents</t>
        </is>
      </c>
    </row>
    <row r="14">
      <c r="B14" s="11" t="inlineStr">
        <is>
          <t>Agent equiv FTE / agent</t>
        </is>
      </c>
      <c r="C14" s="26">
        <f>VLOOKUP(C13,'Agent Economics'!$B$6:$K$10,5,FALSE)</f>
        <v/>
      </c>
    </row>
    <row r="15">
      <c r="B15" s="11" t="inlineStr">
        <is>
          <t>Agent utilization %</t>
        </is>
      </c>
      <c r="C15" s="30">
        <f>VLOOKUP(C13,'Agent Economics'!$B$6:$K$10,6,FALSE)</f>
        <v/>
      </c>
    </row>
    <row r="16">
      <c r="B16" s="11" t="inlineStr">
        <is>
          <t>Agent annual cost $</t>
        </is>
      </c>
      <c r="C16" s="22">
        <f>VLOOKUP(C13,'Agent Economics'!$B$6:$K$10,4,FALSE)</f>
        <v/>
      </c>
    </row>
    <row r="17">
      <c r="B17" s="11" t="inlineStr">
        <is>
          <t>Hours / FTE / month</t>
        </is>
      </c>
      <c r="C17" s="31" t="n">
        <v>173</v>
      </c>
    </row>
    <row r="19">
      <c r="B19" s="4" t="inlineStr">
        <is>
          <t>EFFORT SCOPE (work breakdown)</t>
        </is>
      </c>
    </row>
    <row r="20">
      <c r="B20" s="6" t="inlineStr">
        <is>
          <t>Estimate Category</t>
        </is>
      </c>
      <c r="C20" s="6" t="inlineStr">
        <is>
          <t>Effort Hours</t>
        </is>
      </c>
      <c r="D20" s="6" t="inlineStr">
        <is>
          <t>Agent-Amenable</t>
        </is>
      </c>
    </row>
    <row r="21">
      <c r="B21" s="11" t="inlineStr">
        <is>
          <t>Business Analysis</t>
        </is>
      </c>
      <c r="C21" s="31" t="n">
        <v>1200</v>
      </c>
      <c r="D21" s="21" t="inlineStr">
        <is>
          <t>High</t>
        </is>
      </c>
    </row>
    <row r="22">
      <c r="B22" s="11" t="inlineStr">
        <is>
          <t>Architecture</t>
        </is>
      </c>
      <c r="C22" s="31" t="n">
        <v>1400</v>
      </c>
      <c r="D22" s="21" t="inlineStr">
        <is>
          <t>Medium</t>
        </is>
      </c>
    </row>
    <row r="23">
      <c r="B23" s="11" t="inlineStr">
        <is>
          <t>Engineering</t>
        </is>
      </c>
      <c r="C23" s="31" t="n">
        <v>4500</v>
      </c>
      <c r="D23" s="21" t="inlineStr">
        <is>
          <t>High</t>
        </is>
      </c>
    </row>
    <row r="24">
      <c r="B24" s="11" t="inlineStr">
        <is>
          <t>Testing</t>
        </is>
      </c>
      <c r="C24" s="31" t="n">
        <v>2200</v>
      </c>
      <c r="D24" s="21" t="inlineStr">
        <is>
          <t>High</t>
        </is>
      </c>
    </row>
    <row r="25">
      <c r="B25" s="11" t="inlineStr">
        <is>
          <t>Security</t>
        </is>
      </c>
      <c r="C25" s="31" t="n">
        <v>600</v>
      </c>
      <c r="D25" s="21" t="inlineStr">
        <is>
          <t>Medium</t>
        </is>
      </c>
    </row>
    <row r="26">
      <c r="B26" s="11" t="inlineStr">
        <is>
          <t>Training</t>
        </is>
      </c>
      <c r="C26" s="31" t="n">
        <v>500</v>
      </c>
      <c r="D26" s="21" t="inlineStr">
        <is>
          <t>High</t>
        </is>
      </c>
    </row>
    <row r="27">
      <c r="B27" s="11" t="inlineStr">
        <is>
          <t>Change Management</t>
        </is>
      </c>
      <c r="C27" s="31" t="n">
        <v>500</v>
      </c>
      <c r="D27" s="21" t="inlineStr">
        <is>
          <t>Low</t>
        </is>
      </c>
    </row>
    <row r="28">
      <c r="B28" s="11" t="inlineStr">
        <is>
          <t>Deployment</t>
        </is>
      </c>
      <c r="C28" s="31" t="n">
        <v>700</v>
      </c>
      <c r="D28" s="21" t="inlineStr">
        <is>
          <t>Medium</t>
        </is>
      </c>
    </row>
    <row r="29">
      <c r="B29" s="11" t="inlineStr">
        <is>
          <t>Governance</t>
        </is>
      </c>
      <c r="C29" s="31" t="n">
        <v>400</v>
      </c>
      <c r="D29" s="21" t="inlineStr">
        <is>
          <t>Low</t>
        </is>
      </c>
    </row>
    <row r="30">
      <c r="B30" s="11" t="inlineStr">
        <is>
          <t>Program Management</t>
        </is>
      </c>
      <c r="C30" s="31" t="n">
        <v>1000</v>
      </c>
      <c r="D30" s="21" t="inlineStr">
        <is>
          <t>Low</t>
        </is>
      </c>
    </row>
    <row r="31">
      <c r="B31" s="7" t="inlineStr">
        <is>
          <t>TOTAL EFFORT (hrs)</t>
        </is>
      </c>
      <c r="C31" s="32">
        <f>SUM(C21:C30)</f>
        <v/>
      </c>
    </row>
    <row r="33">
      <c r="B33" s="4" t="inlineStr">
        <is>
          <t>SCENARIO COMPARISON</t>
        </is>
      </c>
    </row>
    <row r="34">
      <c r="B34" s="6" t="inlineStr">
        <is>
          <t>Metric</t>
        </is>
      </c>
      <c r="C34" s="6" t="inlineStr">
        <is>
          <t>Traditional</t>
        </is>
      </c>
      <c r="D34" s="6" t="inlineStr">
        <is>
          <t>AI-Native</t>
        </is>
      </c>
    </row>
    <row r="35">
      <c r="B35" s="7" t="inlineStr">
        <is>
          <t>Team — humans (FTE)</t>
        </is>
      </c>
      <c r="C35" s="31" t="n">
        <v>18</v>
      </c>
      <c r="D35" s="31" t="n">
        <v>8</v>
      </c>
    </row>
    <row r="36">
      <c r="B36" s="7" t="inlineStr">
        <is>
          <t>AI agents (count)</t>
        </is>
      </c>
      <c r="C36" s="33" t="inlineStr">
        <is>
          <t>-</t>
        </is>
      </c>
      <c r="D36" s="31" t="n">
        <v>12</v>
      </c>
    </row>
    <row r="37">
      <c r="B37" s="7" t="inlineStr">
        <is>
          <t>Effective capacity (FTE-equiv)</t>
        </is>
      </c>
      <c r="C37" s="34">
        <f>C35</f>
        <v/>
      </c>
      <c r="D37" s="34">
        <f>D35+D36*C14*C15</f>
        <v/>
      </c>
    </row>
    <row r="38">
      <c r="B38" s="7" t="inlineStr">
        <is>
          <t>Timeline (months)</t>
        </is>
      </c>
      <c r="C38" s="35">
        <f>C31/(C37*C17)</f>
        <v/>
      </c>
      <c r="D38" s="35">
        <f>C31/(D37*C17)</f>
        <v/>
      </c>
    </row>
    <row r="39">
      <c r="B39" s="7" t="inlineStr">
        <is>
          <t>Human effort billed (hrs)</t>
        </is>
      </c>
      <c r="C39" s="32">
        <f>C31</f>
        <v/>
      </c>
      <c r="D39" s="32">
        <f>D35*D38*C17</f>
        <v/>
      </c>
    </row>
    <row r="40">
      <c r="B40" s="7" t="inlineStr">
        <is>
          <t>Agent program cost $</t>
        </is>
      </c>
      <c r="C40" s="33" t="inlineStr">
        <is>
          <t>-</t>
        </is>
      </c>
      <c r="D40" s="36">
        <f>C16*D38/12</f>
        <v/>
      </c>
    </row>
    <row r="41">
      <c r="B41" s="7" t="inlineStr">
        <is>
          <t>TOTAL COST $</t>
        </is>
      </c>
      <c r="C41" s="36">
        <f>C39*C12</f>
        <v/>
      </c>
      <c r="D41" s="36">
        <f>D39*C12+D40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1765B"/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</cols>
  <sheetData>
    <row r="2">
      <c r="B2" s="14" t="inlineStr">
        <is>
          <t>BUSINESS CASE — Traditional vs AI-Native</t>
        </is>
      </c>
    </row>
    <row r="3">
      <c r="B3" s="9" t="inlineStr">
        <is>
          <t>Pulls live from the Estimation Engine. Edit benefit &amp; discount-rate inputs below.</t>
        </is>
      </c>
    </row>
    <row r="5">
      <c r="B5" s="4" t="inlineStr">
        <is>
          <t>INPUTS</t>
        </is>
      </c>
    </row>
    <row r="6">
      <c r="B6" s="11" t="inlineStr">
        <is>
          <t>Annual business benefit $</t>
        </is>
      </c>
      <c r="C6" s="19" t="n">
        <v>2400000</v>
      </c>
    </row>
    <row r="7">
      <c r="B7" s="11" t="inlineStr">
        <is>
          <t>Discount rate</t>
        </is>
      </c>
      <c r="C7" s="15" t="n">
        <v>0.1</v>
      </c>
    </row>
    <row r="8">
      <c r="B8" s="11" t="inlineStr">
        <is>
          <t>Horizon (years)</t>
        </is>
      </c>
      <c r="C8" s="31" t="n">
        <v>3</v>
      </c>
    </row>
    <row r="10">
      <c r="B10" s="6" t="inlineStr">
        <is>
          <t>Metric</t>
        </is>
      </c>
      <c r="C10" s="6" t="inlineStr">
        <is>
          <t>Traditional</t>
        </is>
      </c>
      <c r="D10" s="6" t="inlineStr">
        <is>
          <t>AI-Native</t>
        </is>
      </c>
      <c r="E10" s="6" t="inlineStr">
        <is>
          <t>Delta</t>
        </is>
      </c>
    </row>
    <row r="11">
      <c r="B11" s="7" t="inlineStr">
        <is>
          <t>Total cost $</t>
        </is>
      </c>
      <c r="C11" s="22">
        <f>'Estimation Engine'!$C$41</f>
        <v/>
      </c>
      <c r="D11" s="22">
        <f>'Estimation Engine'!$D$41</f>
        <v/>
      </c>
      <c r="E11" s="37">
        <f>'Estimation Engine'!$C$41-'Estimation Engine'!$D$41</f>
        <v/>
      </c>
    </row>
    <row r="12">
      <c r="B12" s="7" t="inlineStr">
        <is>
          <t>Cost reduction %</t>
        </is>
      </c>
      <c r="E12" s="38">
        <f>('Estimation Engine'!$C$41-'Estimation Engine'!$D$41)/'Estimation Engine'!$C$41</f>
        <v/>
      </c>
    </row>
    <row r="13">
      <c r="B13" s="7" t="inlineStr">
        <is>
          <t>Timeline (months)</t>
        </is>
      </c>
      <c r="C13" s="39">
        <f>'Estimation Engine'!$C$38</f>
        <v/>
      </c>
      <c r="D13" s="39">
        <f>'Estimation Engine'!$D$38</f>
        <v/>
      </c>
      <c r="E13" s="40">
        <f>('Estimation Engine'!$C$38-'Estimation Engine'!$D$38)/'Estimation Engine'!$C$38</f>
        <v/>
      </c>
    </row>
    <row r="14">
      <c r="B14" s="7" t="inlineStr">
        <is>
          <t>Effort (hours)</t>
        </is>
      </c>
      <c r="C14" s="41">
        <f>'Estimation Engine'!$C$39</f>
        <v/>
      </c>
      <c r="D14" s="41">
        <f>'Estimation Engine'!$D$39</f>
        <v/>
      </c>
      <c r="E14" s="42">
        <f>('Estimation Engine'!$C$39-'Estimation Engine'!$D$39)/'Estimation Engine'!$C$39</f>
        <v/>
      </c>
    </row>
    <row r="15">
      <c r="B15" s="7" t="inlineStr">
        <is>
          <t>Team (FTE)</t>
        </is>
      </c>
      <c r="C15" s="41">
        <f>'Estimation Engine'!$C$35</f>
        <v/>
      </c>
      <c r="D15" s="41">
        <f>'Estimation Engine'!$D$35</f>
        <v/>
      </c>
      <c r="E15" s="42">
        <f>'Estimation Engine'!$C$35-'Estimation Engine'!$D$35</f>
        <v/>
      </c>
    </row>
    <row r="16">
      <c r="B16" s="7" t="inlineStr">
        <is>
          <t>AI agents</t>
        </is>
      </c>
      <c r="D16" s="41">
        <f>'Estimation Engine'!$D$36</f>
        <v/>
      </c>
    </row>
    <row r="17">
      <c r="B17" s="7" t="inlineStr">
        <is>
          <t>Productivity gain (x)</t>
        </is>
      </c>
      <c r="E17" s="43">
        <f>'Estimation Engine'!$C$39/'Estimation Engine'!$D$39</f>
        <v/>
      </c>
    </row>
    <row r="19">
      <c r="B19" s="4" t="inlineStr">
        <is>
          <t>VALUE</t>
        </is>
      </c>
    </row>
    <row r="20">
      <c r="B20" s="7" t="inlineStr">
        <is>
          <t>Benefit over horizon $</t>
        </is>
      </c>
      <c r="C20" s="25">
        <f>C6*C8</f>
        <v/>
      </c>
      <c r="D20" s="25">
        <f>C6*C8</f>
        <v/>
      </c>
    </row>
    <row r="21">
      <c r="B21" s="7" t="inlineStr">
        <is>
          <t>ROI %</t>
        </is>
      </c>
      <c r="C21" s="44">
        <f>(C6*C8-'Estimation Engine'!$C$41)/'Estimation Engine'!$C$41</f>
        <v/>
      </c>
      <c r="D21" s="44">
        <f>(C6*C8-'Estimation Engine'!$D$41)/'Estimation Engine'!$D$41</f>
        <v/>
      </c>
    </row>
    <row r="22">
      <c r="B22" s="7" t="inlineStr">
        <is>
          <t>Payback (months)</t>
        </is>
      </c>
      <c r="C22" s="45">
        <f>'Estimation Engine'!$C$41/(C6/12)</f>
        <v/>
      </c>
      <c r="D22" s="45">
        <f>'Estimation Engine'!$D$41/(C6/12)</f>
        <v/>
      </c>
    </row>
    <row r="23">
      <c r="B23" s="7" t="inlineStr">
        <is>
          <t>NPV $</t>
        </is>
      </c>
      <c r="C23" s="25">
        <f>-'Estimation Engine'!$C$41+C6/(1+C7)+C6/(1+C7)^2+C6/(1+C7)^3</f>
        <v/>
      </c>
      <c r="D23" s="25">
        <f>-'Estimation Engine'!$D$41+C6/(1+C7)+C6/(1+C7)^2+C6/(1+C7)^3</f>
        <v/>
      </c>
    </row>
    <row r="25" ht="44" customHeight="1">
      <c r="B25" s="4" t="inlineStr">
        <is>
          <t>READ</t>
        </is>
      </c>
      <c r="C25" s="5" t="inlineStr">
        <is>
          <t>AI-native cuts cost and timeline while improving ROI and payback. All figures trace to the Estimation Engine and the taxonomy substrate — editable and auditable.</t>
        </is>
      </c>
      <c r="D25" s="46" t="n"/>
      <c r="E25" s="47" t="n"/>
    </row>
  </sheetData>
  <mergeCells count="1">
    <mergeCell ref="C25:E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E332E"/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60" customWidth="1" min="4" max="4"/>
  </cols>
  <sheetData>
    <row r="2">
      <c r="B2" s="14" t="inlineStr">
        <is>
          <t>MOVES ENGINE BINDING MAP</t>
        </is>
      </c>
    </row>
    <row r="3">
      <c r="B3" s="9" t="inlineStr">
        <is>
          <t>How this taxonomy binds to the AbarVa Move estimation/deliverable engine — one economics source of truth.</t>
        </is>
      </c>
    </row>
    <row r="5">
      <c r="B5" s="6" t="inlineStr">
        <is>
          <t>Taxonomy Entity</t>
        </is>
      </c>
      <c r="C5" s="6" t="inlineStr">
        <is>
          <t>Move Engine Entity</t>
        </is>
      </c>
      <c r="D5" s="6" t="inlineStr">
        <is>
          <t>Binding / Use in business case + roadmap</t>
        </is>
      </c>
    </row>
    <row r="6" ht="28" customHeight="1">
      <c r="B6" s="7" t="inlineStr">
        <is>
          <t>Capability</t>
        </is>
      </c>
      <c r="C6" s="11" t="inlineStr">
        <is>
          <t>WorkPackage / Capability scope</t>
        </is>
      </c>
      <c r="D6" s="5" t="inlineStr">
        <is>
          <t>Each Move capability scope resolves to one+ taxonomy capabilities; drives WBS</t>
        </is>
      </c>
    </row>
    <row r="7" ht="28" customHeight="1">
      <c r="B7" s="7" t="inlineStr">
        <is>
          <t>Role + Loaded $/hr</t>
        </is>
      </c>
      <c r="C7" s="11" t="inlineStr">
        <is>
          <t>Resource line in effort model</t>
        </is>
      </c>
      <c r="D7" s="5" t="inlineStr">
        <is>
          <t>Estimator multiplies WBS effort hours x role scarcity-adjusted rate</t>
        </is>
      </c>
    </row>
    <row r="8" ht="28" customHeight="1">
      <c r="B8" s="7" t="inlineStr">
        <is>
          <t>Delivery Pod</t>
        </is>
      </c>
      <c r="C8" s="11" t="inlineStr">
        <is>
          <t>Staffing model / squad</t>
        </is>
      </c>
      <c r="D8" s="5" t="inlineStr">
        <is>
          <t>Pods seed the resource model with a proven human+agent mix</t>
        </is>
      </c>
    </row>
    <row r="9" ht="28" customHeight="1">
      <c r="B9" s="7" t="inlineStr">
        <is>
          <t>Agent Economics</t>
        </is>
      </c>
      <c r="C9" s="11" t="inlineStr">
        <is>
          <t>AI-native scenario</t>
        </is>
      </c>
      <c r="D9" s="5" t="inlineStr">
        <is>
          <t>Agent multipliers compress effort hours; cost = agent annual + reduced human FTE</t>
        </is>
      </c>
    </row>
    <row r="10" ht="28" customHeight="1">
      <c r="B10" s="7" t="inlineStr">
        <is>
          <t>Rate Intelligence</t>
        </is>
      </c>
      <c r="C10" s="11" t="inlineStr">
        <is>
          <t>Sourcing / vendor benchmark</t>
        </is>
      </c>
      <c r="D10" s="5" t="inlineStr">
        <is>
          <t>Provider archetypes benchmark build vs buy and onshore/near/off mix</t>
        </is>
      </c>
    </row>
    <row r="11" ht="28" customHeight="1">
      <c r="B11" s="7" t="inlineStr">
        <is>
          <t>Geography</t>
        </is>
      </c>
      <c r="C11" s="11" t="inlineStr">
        <is>
          <t>Delivery model</t>
        </is>
      </c>
      <c r="D11" s="5" t="inlineStr">
        <is>
          <t>Geo mix sets blended rate and the onshore/nearshore/offshore split</t>
        </is>
      </c>
    </row>
    <row r="12" ht="28" customHeight="1">
      <c r="B12" s="7" t="inlineStr">
        <is>
          <t>Internal Cost Model</t>
        </is>
      </c>
      <c r="C12" s="11" t="inlineStr">
        <is>
          <t>Internal build option</t>
        </is>
      </c>
      <c r="D12" s="5" t="inlineStr">
        <is>
          <t>Fully-loaded internal cost = the in-house delivery scenario</t>
        </is>
      </c>
    </row>
    <row r="13" ht="28" customHeight="1">
      <c r="B13" s="7" t="inlineStr">
        <is>
          <t>Career Levels</t>
        </is>
      </c>
      <c r="C13" s="11" t="inlineStr">
        <is>
          <t>Seniority mix</t>
        </is>
      </c>
      <c r="D13" s="5" t="inlineStr">
        <is>
          <t>Level mix per WorkPackage drives blended cost and quality posture</t>
        </is>
      </c>
    </row>
    <row r="14" ht="28" customHeight="1">
      <c r="B14" s="7" t="inlineStr">
        <is>
          <t>Scarcity / Agent-Amenability</t>
        </is>
      </c>
      <c r="C14" s="11" t="inlineStr">
        <is>
          <t>Risk + AI-native compression</t>
        </is>
      </c>
      <c r="D14" s="5" t="inlineStr">
        <is>
          <t>Scarcity raises cost/risk; agent-amenability sets traditional vs AI-native delta</t>
        </is>
      </c>
    </row>
    <row r="16">
      <c r="B16" s="4" t="inlineStr">
        <is>
          <t>NOTE</t>
        </is>
      </c>
      <c r="C16" s="5" t="inlineStr">
        <is>
          <t>Workbook = editable reference substrate. The estimation/business-case/roadmap COMPUTE runs in-product, consuming these tables. Build that engine phase next.</t>
        </is>
      </c>
      <c r="D16" s="47" t="n"/>
    </row>
  </sheetData>
  <mergeCells count="1">
    <mergeCell ref="C16:D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25F58"/>
    <outlinePr summaryBelow="1" summaryRight="1"/>
    <pageSetUpPr/>
  </sheetPr>
  <dimension ref="B2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74" customWidth="1" min="3" max="3"/>
  </cols>
  <sheetData>
    <row r="2">
      <c r="B2" s="14" t="inlineStr">
        <is>
          <t>GLOSSARY</t>
        </is>
      </c>
    </row>
    <row r="4">
      <c r="B4" s="6" t="inlineStr">
        <is>
          <t>Term</t>
        </is>
      </c>
      <c r="C4" s="6" t="inlineStr">
        <is>
          <t>Definition</t>
        </is>
      </c>
    </row>
    <row r="5">
      <c r="B5" s="7" t="inlineStr">
        <is>
          <t>Fully-loaded cost</t>
        </is>
      </c>
      <c r="C5" s="5" t="inlineStr">
        <is>
          <t>Base salary plus all employer load (bonus, equity, benefits, taxes, overhead, bench).</t>
        </is>
      </c>
    </row>
    <row r="6">
      <c r="B6" s="7" t="inlineStr">
        <is>
          <t>Loaded hourly</t>
        </is>
      </c>
      <c r="C6" s="5" t="inlineStr">
        <is>
          <t>Fully-loaded annual cost / billable hours per year.</t>
        </is>
      </c>
    </row>
    <row r="7">
      <c r="B7" s="7" t="inlineStr">
        <is>
          <t>Provider archetype</t>
        </is>
      </c>
      <c r="C7" s="5" t="inlineStr">
        <is>
          <t>Anonymized provider category; no real firm names (liability + neutrality).</t>
        </is>
      </c>
    </row>
    <row r="8">
      <c r="B8" s="7" t="inlineStr">
        <is>
          <t>Shore</t>
        </is>
      </c>
      <c r="C8" s="5" t="inlineStr">
        <is>
          <t>Onshore / nearshore / offshore delivery location class.</t>
        </is>
      </c>
    </row>
    <row r="9">
      <c r="B9" s="7" t="inlineStr">
        <is>
          <t>Scarcity</t>
        </is>
      </c>
      <c r="C9" s="5" t="inlineStr">
        <is>
          <t>Talent-market scarcity tier (High/Med/Low) that adjusts rate and risk.</t>
        </is>
      </c>
    </row>
    <row r="10">
      <c r="B10" s="7" t="inlineStr">
        <is>
          <t>Agent-amenability</t>
        </is>
      </c>
      <c r="C10" s="5" t="inlineStr">
        <is>
          <t>1-5 score of how compressible a capability is by agents/AI; drives AI-native delta.</t>
        </is>
      </c>
    </row>
    <row r="11">
      <c r="B11" s="7" t="inlineStr">
        <is>
          <t>Equiv Eng FTE</t>
        </is>
      </c>
      <c r="C11" s="5" t="inlineStr">
        <is>
          <t>Human engineering capacity an agent platform approximates.</t>
        </is>
      </c>
    </row>
    <row r="12">
      <c r="B12" s="7" t="inlineStr">
        <is>
          <t>Productivity multiplier</t>
        </is>
      </c>
      <c r="C12" s="5" t="inlineStr">
        <is>
          <t>Capacity gain vs human-only baseline (1.00 = none).</t>
        </is>
      </c>
    </row>
    <row r="13">
      <c r="B13" s="7" t="inlineStr">
        <is>
          <t>AI-native delivery</t>
        </is>
      </c>
      <c r="C13" s="5" t="inlineStr">
        <is>
          <t>People + agents + AI platforms + automation, vs people-only traditional delivery.</t>
        </is>
      </c>
    </row>
    <row r="14">
      <c r="B14" s="7" t="inlineStr">
        <is>
          <t>Pod</t>
        </is>
      </c>
      <c r="C14" s="5" t="inlineStr">
        <is>
          <t>Reusable squad with a defined human+agent role mix and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2026-06-19T14:45:57Z</dcterms:created>
  <dcterms:modified xsi:type="dcterms:W3CDTF">2026-06-19T14:45:57Z</dcterms:modified>
</cp:coreProperties>
</file>