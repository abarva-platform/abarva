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 Spend RO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£#,##0.0"/>
  </numFmts>
  <fonts count="6">
    <font>
      <name val="Calibri"/>
      <family val="2"/>
      <color theme="1"/>
      <sz val="11"/>
      <scheme val="minor"/>
    </font>
    <font>
      <name val="Arial"/>
      <b val="1"/>
      <color rgb="001A3A5C"/>
      <sz val="12"/>
    </font>
    <font>
      <name val="Arial"/>
      <b val="1"/>
      <color rgb="00FFFFFF"/>
      <sz val="9"/>
    </font>
    <font>
      <name val="Arial"/>
      <b val="1"/>
      <sz val="9"/>
    </font>
    <font>
      <name val="Arial"/>
      <sz val="9"/>
    </font>
    <font>
      <name val="Arial"/>
      <b val="1"/>
      <color rgb="00FFFFFF"/>
      <sz val="10"/>
    </font>
  </fonts>
  <fills count="9">
    <fill>
      <patternFill/>
    </fill>
    <fill>
      <patternFill patternType="gray125"/>
    </fill>
    <fill>
      <patternFill patternType="solid">
        <fgColor rgb="00E8F0F8"/>
      </patternFill>
    </fill>
    <fill>
      <patternFill patternType="solid">
        <fgColor rgb="001A3A5C"/>
      </patternFill>
    </fill>
    <fill>
      <patternFill patternType="solid">
        <fgColor rgb="00FFFFFF"/>
      </patternFill>
    </fill>
    <fill>
      <patternFill patternType="solid">
        <fgColor rgb="00E8F5E9"/>
      </patternFill>
    </fill>
    <fill>
      <patternFill patternType="solid">
        <fgColor rgb="00FDE8E8"/>
      </patternFill>
    </fill>
    <fill>
      <patternFill patternType="solid">
        <fgColor rgb="00F2F7F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164" fontId="4" fillId="4" borderId="1" applyAlignment="1" pivotButton="0" quotePrefix="0" xfId="0">
      <alignment horizontal="center" vertical="center" wrapText="1"/>
    </xf>
    <xf numFmtId="164" fontId="4" fillId="5" borderId="1" applyAlignment="1" pivotButton="0" quotePrefix="0" xfId="0">
      <alignment horizontal="center" vertical="center" wrapText="1"/>
    </xf>
    <xf numFmtId="164" fontId="3" fillId="6" borderId="1" applyAlignment="1" pivotButton="0" quotePrefix="0" xfId="0">
      <alignment horizontal="center" vertical="center" wrapText="1"/>
    </xf>
    <xf numFmtId="164" fontId="4" fillId="6" borderId="1" applyAlignment="1" pivotButton="0" quotePrefix="0" xfId="0">
      <alignment horizontal="center" vertical="center" wrapText="1"/>
    </xf>
    <xf numFmtId="3" fontId="4" fillId="4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left" vertical="center" wrapText="1"/>
    </xf>
    <xf numFmtId="164" fontId="4" fillId="7" borderId="1" applyAlignment="1" pivotButton="0" quotePrefix="0" xfId="0">
      <alignment horizontal="center" vertical="center" wrapText="1"/>
    </xf>
    <xf numFmtId="3" fontId="4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164" fontId="5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2" customWidth="1" min="7" max="7"/>
    <col width="14" customWidth="1" min="8" max="8"/>
    <col width="28" customWidth="1" min="9" max="9"/>
  </cols>
  <sheetData>
    <row r="1" ht="16" customHeight="1">
      <c r="A1" s="1" t="inlineStr">
        <is>
          <t>ARCTURUS — AI Investment ROI Tracker (£94M Committed · £0 Verified Return)</t>
        </is>
      </c>
    </row>
    <row r="2" ht="32" customHeight="1">
      <c r="A2" s="2" t="inlineStr">
        <is>
          <t>Initiative</t>
        </is>
      </c>
      <c r="B2" s="2" t="inlineStr">
        <is>
          <t>Budget
Committed (£M)</t>
        </is>
      </c>
      <c r="C2" s="2" t="inlineStr">
        <is>
          <t>Spent
to Date (£M)</t>
        </is>
      </c>
      <c r="D2" s="2" t="inlineStr">
        <is>
          <t>Expected
ROI (£M pa)</t>
        </is>
      </c>
      <c r="E2" s="2" t="inlineStr">
        <is>
          <t>Verified
ROI (£M)</t>
        </is>
      </c>
      <c r="F2" s="2" t="inlineStr">
        <is>
          <t>ROI
Gap (£M)</t>
        </is>
      </c>
      <c r="G2" s="2" t="inlineStr">
        <is>
          <t>Months
Since Start</t>
        </is>
      </c>
      <c r="H2" s="2" t="inlineStr">
        <is>
          <t>Status</t>
        </is>
      </c>
      <c r="I2" s="2" t="inlineStr">
        <is>
          <t>Root Cause of Zero ROI</t>
        </is>
      </c>
    </row>
    <row r="3" ht="24" customHeight="1">
      <c r="A3" s="3" t="inlineStr">
        <is>
          <t>AI Trade Execution Optimisation</t>
        </is>
      </c>
      <c r="B3" s="4" t="n">
        <v>4.2</v>
      </c>
      <c r="C3" s="4" t="n">
        <v>3.8</v>
      </c>
      <c r="D3" s="5" t="n">
        <v>12</v>
      </c>
      <c r="E3" s="6" t="n">
        <v>0</v>
      </c>
      <c r="F3" s="7" t="n">
        <v>-12</v>
      </c>
      <c r="G3" s="8" t="n">
        <v>25</v>
      </c>
      <c r="H3" s="9" t="inlineStr">
        <is>
          <t>Pilot - Stalled</t>
        </is>
      </c>
      <c r="I3" s="10" t="inlineStr">
        <is>
          <t>No MLOps. No deployment infrastructure. Model trained, cannot serve.</t>
        </is>
      </c>
    </row>
    <row r="4" ht="24" customHeight="1">
      <c r="A4" s="11" t="inlineStr">
        <is>
          <t>Portfolio Rebalancing AI</t>
        </is>
      </c>
      <c r="B4" s="12" t="n">
        <v>3.1</v>
      </c>
      <c r="C4" s="12" t="n">
        <v>2.6</v>
      </c>
      <c r="D4" s="5" t="n">
        <v>8</v>
      </c>
      <c r="E4" s="6" t="n">
        <v>0</v>
      </c>
      <c r="F4" s="7" t="n">
        <v>-8</v>
      </c>
      <c r="G4" s="13" t="n">
        <v>27</v>
      </c>
      <c r="H4" s="9" t="inlineStr">
        <is>
          <t>Pilot - Stalled</t>
        </is>
      </c>
      <c r="I4" s="14" t="inlineStr">
        <is>
          <t>Bloomberg data latency. Manual override required. Cannot automate.</t>
        </is>
      </c>
    </row>
    <row r="5" ht="24" customHeight="1">
      <c r="A5" s="3" t="inlineStr">
        <is>
          <t>ESG Scoring Automation</t>
        </is>
      </c>
      <c r="B5" s="4" t="n">
        <v>2.4</v>
      </c>
      <c r="C5" s="4" t="n">
        <v>1.8</v>
      </c>
      <c r="D5" s="5" t="n">
        <v>4</v>
      </c>
      <c r="E5" s="6" t="n">
        <v>0</v>
      </c>
      <c r="F5" s="7" t="n">
        <v>-4</v>
      </c>
      <c r="G5" s="8" t="n">
        <v>19</v>
      </c>
      <c r="H5" s="15" t="inlineStr">
        <is>
          <t>In Development</t>
        </is>
      </c>
      <c r="I5" s="10" t="inlineStr">
        <is>
          <t>ESG data inconsistent. No golden record. Model not trained on reliable data.</t>
        </is>
      </c>
    </row>
    <row r="6" ht="24" customHeight="1">
      <c r="A6" s="11" t="inlineStr">
        <is>
          <t>Client Sentiment Analysis</t>
        </is>
      </c>
      <c r="B6" s="12" t="n">
        <v>1.8</v>
      </c>
      <c r="C6" s="12" t="n">
        <v>1.4</v>
      </c>
      <c r="D6" s="5" t="n">
        <v>6</v>
      </c>
      <c r="E6" s="6" t="n">
        <v>0</v>
      </c>
      <c r="F6" s="7" t="n">
        <v>-6</v>
      </c>
      <c r="G6" s="13" t="n">
        <v>24</v>
      </c>
      <c r="H6" s="9" t="inlineStr">
        <is>
          <t>Pilot - Stalled</t>
        </is>
      </c>
      <c r="I6" s="14" t="inlineStr">
        <is>
          <t>CDO vacant. No governance. FSC data sparse. Cannot build model.</t>
        </is>
      </c>
    </row>
    <row r="7" ht="24" customHeight="1">
      <c r="A7" s="3" t="inlineStr">
        <is>
          <t>MAS FEAT Compliance AI</t>
        </is>
      </c>
      <c r="B7" s="4" t="n">
        <v>3.6</v>
      </c>
      <c r="C7" s="4" t="n">
        <v>2.9</v>
      </c>
      <c r="D7" s="5" t="n">
        <v>18</v>
      </c>
      <c r="E7" s="6" t="n">
        <v>0</v>
      </c>
      <c r="F7" s="7" t="n">
        <v>-18</v>
      </c>
      <c r="G7" s="8" t="n">
        <v>21</v>
      </c>
      <c r="H7" s="9" t="inlineStr">
        <is>
          <t>BREACH — Overdue</t>
        </is>
      </c>
      <c r="I7" s="10" t="inlineStr">
        <is>
          <t>Deployed too late. Manual process continued. Now regulatory breach.</t>
        </is>
      </c>
    </row>
    <row r="8" ht="24" customHeight="1">
      <c r="A8" s="11" t="inlineStr">
        <is>
          <t>Risk Model Automation</t>
        </is>
      </c>
      <c r="B8" s="12" t="n">
        <v>4.8</v>
      </c>
      <c r="C8" s="12" t="n">
        <v>4.1</v>
      </c>
      <c r="D8" s="5" t="n">
        <v>9</v>
      </c>
      <c r="E8" s="6" t="n">
        <v>0</v>
      </c>
      <c r="F8" s="7" t="n">
        <v>-9</v>
      </c>
      <c r="G8" s="13" t="n">
        <v>31</v>
      </c>
      <c r="H8" s="9" t="inlineStr">
        <is>
          <t>Pilot - Stalled</t>
        </is>
      </c>
      <c r="I8" s="14" t="inlineStr">
        <is>
          <t>CDO vacant for 11 months. No model risk sign-off possible.</t>
        </is>
      </c>
    </row>
    <row r="9" ht="24" customHeight="1">
      <c r="A9" s="3" t="inlineStr">
        <is>
          <t>NL Client Reporting</t>
        </is>
      </c>
      <c r="B9" s="4" t="n">
        <v>2.1</v>
      </c>
      <c r="C9" s="4" t="n">
        <v>1.2</v>
      </c>
      <c r="D9" s="5" t="n">
        <v>5</v>
      </c>
      <c r="E9" s="6" t="n">
        <v>0</v>
      </c>
      <c r="F9" s="7" t="n">
        <v>-5</v>
      </c>
      <c r="G9" s="8" t="n">
        <v>15</v>
      </c>
      <c r="H9" s="15" t="inlineStr">
        <is>
          <t>In Development</t>
        </is>
      </c>
      <c r="I9" s="10" t="inlineStr">
        <is>
          <t>3-day data lag. Reports on stale data. Useless for clients.</t>
        </is>
      </c>
    </row>
    <row r="10" ht="24" customHeight="1">
      <c r="A10" s="11" t="inlineStr">
        <is>
          <t>Fraud Detection AI</t>
        </is>
      </c>
      <c r="B10" s="12" t="n">
        <v>2.8</v>
      </c>
      <c r="C10" s="12" t="n">
        <v>2.3</v>
      </c>
      <c r="D10" s="5" t="n">
        <v>7</v>
      </c>
      <c r="E10" s="6" t="n">
        <v>0</v>
      </c>
      <c r="F10" s="7" t="n">
        <v>-7</v>
      </c>
      <c r="G10" s="13" t="n">
        <v>26</v>
      </c>
      <c r="H10" s="9" t="inlineStr">
        <is>
          <t>Pilot - Stalled</t>
        </is>
      </c>
      <c r="I10" s="14" t="inlineStr">
        <is>
          <t>Transaction data in 5 systems. No unified feed. Cannot train reliably.</t>
        </is>
      </c>
    </row>
    <row r="11" ht="24" customHeight="1">
      <c r="A11" s="3" t="inlineStr">
        <is>
          <t>AI Trade Surveillance</t>
        </is>
      </c>
      <c r="B11" s="4" t="n">
        <v>4.1</v>
      </c>
      <c r="C11" s="4" t="n">
        <v>3.4</v>
      </c>
      <c r="D11" s="5" t="n">
        <v>14</v>
      </c>
      <c r="E11" s="6" t="n">
        <v>0</v>
      </c>
      <c r="F11" s="7" t="n">
        <v>-14</v>
      </c>
      <c r="G11" s="8" t="n">
        <v>24</v>
      </c>
      <c r="H11" s="9" t="inlineStr">
        <is>
          <t>Pilot - Stalled</t>
        </is>
      </c>
      <c r="I11" s="10" t="inlineStr">
        <is>
          <t>FCA model validation required. No framework. CDO vacant.</t>
        </is>
      </c>
    </row>
    <row r="12" ht="24" customHeight="1">
      <c r="A12" s="11" t="inlineStr">
        <is>
          <t>Real-Time Performance Attribution</t>
        </is>
      </c>
      <c r="B12" s="12" t="n">
        <v>3.8</v>
      </c>
      <c r="C12" s="12" t="n">
        <v>3.2</v>
      </c>
      <c r="D12" s="5" t="n">
        <v>8</v>
      </c>
      <c r="E12" s="6" t="n">
        <v>0</v>
      </c>
      <c r="F12" s="7" t="n">
        <v>-8</v>
      </c>
      <c r="G12" s="13" t="n">
        <v>27</v>
      </c>
      <c r="H12" s="9" t="inlineStr">
        <is>
          <t>Pilot - Stalled</t>
        </is>
      </c>
      <c r="I12" s="14" t="inlineStr">
        <is>
          <t>Bloomberg latency. No streaming infrastructure. T+1 at best.</t>
        </is>
      </c>
    </row>
    <row r="13" ht="24" customHeight="1">
      <c r="A13" s="3" t="inlineStr">
        <is>
          <t>Predictive Cash Flow</t>
        </is>
      </c>
      <c r="B13" s="4" t="n">
        <v>1.9</v>
      </c>
      <c r="C13" s="4" t="n">
        <v>1.1</v>
      </c>
      <c r="D13" s="5" t="n">
        <v>6</v>
      </c>
      <c r="E13" s="6" t="n">
        <v>0</v>
      </c>
      <c r="F13" s="7" t="n">
        <v>-6</v>
      </c>
      <c r="G13" s="8" t="n">
        <v>15</v>
      </c>
      <c r="H13" s="15" t="inlineStr">
        <is>
          <t>In Development</t>
        </is>
      </c>
      <c r="I13" s="10" t="inlineStr">
        <is>
          <t>3-day data lag makes 30-day forecasts inaccurate.</t>
        </is>
      </c>
    </row>
    <row r="14" ht="24" customHeight="1">
      <c r="A14" s="11" t="inlineStr">
        <is>
          <t>AI Regulatory Capital</t>
        </is>
      </c>
      <c r="B14" s="12" t="n">
        <v>2.9</v>
      </c>
      <c r="C14" s="12" t="n">
        <v>2.4</v>
      </c>
      <c r="D14" s="5" t="n">
        <v>12</v>
      </c>
      <c r="E14" s="6" t="n">
        <v>0</v>
      </c>
      <c r="F14" s="7" t="n">
        <v>-12</v>
      </c>
      <c r="G14" s="13" t="n">
        <v>24</v>
      </c>
      <c r="H14" s="9" t="inlineStr">
        <is>
          <t>Pilot - Stalled</t>
        </is>
      </c>
      <c r="I14" s="14" t="inlineStr">
        <is>
          <t>Model validation absent. CDO vacant. Cannot deploy.</t>
        </is>
      </c>
    </row>
    <row r="15" ht="24" customHeight="1">
      <c r="A15" s="3" t="inlineStr">
        <is>
          <t>AI Investment Research (AI-023)</t>
        </is>
      </c>
      <c r="B15" s="4" t="n">
        <v>1.8</v>
      </c>
      <c r="C15" s="4" t="n">
        <v>1</v>
      </c>
      <c r="D15" s="5" t="n">
        <v>6</v>
      </c>
      <c r="E15" s="6" t="n">
        <v>0</v>
      </c>
      <c r="F15" s="7" t="n">
        <v>-6</v>
      </c>
      <c r="G15" s="8" t="n">
        <v>15</v>
      </c>
      <c r="H15" s="15" t="inlineStr">
        <is>
          <t>In Development</t>
        </is>
      </c>
      <c r="I15" s="10" t="inlineStr">
        <is>
          <t>Best chance at production. Needs serving infrastructure only.</t>
        </is>
      </c>
    </row>
    <row r="16" ht="24" customHeight="1">
      <c r="A16" s="11" t="inlineStr">
        <is>
          <t>AI Trade Matching</t>
        </is>
      </c>
      <c r="B16" s="12" t="n">
        <v>3.4</v>
      </c>
      <c r="C16" s="12" t="n">
        <v>2.9</v>
      </c>
      <c r="D16" s="5" t="n">
        <v>9</v>
      </c>
      <c r="E16" s="6" t="n">
        <v>0</v>
      </c>
      <c r="F16" s="7" t="n">
        <v>-9</v>
      </c>
      <c r="G16" s="13" t="n">
        <v>26</v>
      </c>
      <c r="H16" s="9" t="inlineStr">
        <is>
          <t>Pilot - Stalled</t>
        </is>
      </c>
      <c r="I16" s="14" t="inlineStr">
        <is>
          <t>Custodian data fragmented. No unified settlement feed.</t>
        </is>
      </c>
    </row>
    <row r="17" ht="24" customHeight="1">
      <c r="A17" s="3" t="inlineStr">
        <is>
          <t>Automated Client Onboarding</t>
        </is>
      </c>
      <c r="B17" s="4" t="n">
        <v>3.2</v>
      </c>
      <c r="C17" s="4" t="n">
        <v>2.7</v>
      </c>
      <c r="D17" s="5" t="n">
        <v>11</v>
      </c>
      <c r="E17" s="6" t="n">
        <v>0</v>
      </c>
      <c r="F17" s="7" t="n">
        <v>-11</v>
      </c>
      <c r="G17" s="8" t="n">
        <v>22</v>
      </c>
      <c r="H17" s="9" t="inlineStr">
        <is>
          <t>Pilot - Stalled</t>
        </is>
      </c>
      <c r="I17" s="10" t="inlineStr">
        <is>
          <t>CDO vacant. Regulatory AI framework undefined.</t>
        </is>
      </c>
    </row>
    <row r="18" ht="24" customHeight="1">
      <c r="A18" s="11" t="inlineStr">
        <is>
          <t>Earnings Call Analysis (AI-026)</t>
        </is>
      </c>
      <c r="B18" s="12" t="n">
        <v>1.4</v>
      </c>
      <c r="C18" s="12" t="n">
        <v>0.8</v>
      </c>
      <c r="D18" s="5" t="n">
        <v>4</v>
      </c>
      <c r="E18" s="6" t="n">
        <v>0</v>
      </c>
      <c r="F18" s="7" t="n">
        <v>-4</v>
      </c>
      <c r="G18" s="13" t="n">
        <v>15</v>
      </c>
      <c r="H18" s="15" t="inlineStr">
        <is>
          <t>In Development</t>
        </is>
      </c>
      <c r="I18" s="14" t="inlineStr">
        <is>
          <t>External data. Near production. Needs serving layer only.</t>
        </is>
      </c>
    </row>
    <row r="19" ht="24" customHeight="1">
      <c r="A19" s="3" t="inlineStr">
        <is>
          <t>Automated Compliance Monitoring</t>
        </is>
      </c>
      <c r="B19" s="4" t="n">
        <v>2.8</v>
      </c>
      <c r="C19" s="4" t="n">
        <v>2.3</v>
      </c>
      <c r="D19" s="5" t="n">
        <v>10</v>
      </c>
      <c r="E19" s="6" t="n">
        <v>0</v>
      </c>
      <c r="F19" s="7" t="n">
        <v>-10</v>
      </c>
      <c r="G19" s="8" t="n">
        <v>22</v>
      </c>
      <c r="H19" s="9" t="inlineStr">
        <is>
          <t>Pilot - Stalled</t>
        </is>
      </c>
      <c r="I19" s="10" t="inlineStr">
        <is>
          <t>Mandate data in 14 formats. No unified compliance layer.</t>
        </is>
      </c>
    </row>
    <row r="20" ht="24" customHeight="1">
      <c r="A20" s="11" t="inlineStr">
        <is>
          <t>Dynamic Asset Allocation</t>
        </is>
      </c>
      <c r="B20" s="12" t="n">
        <v>5.6</v>
      </c>
      <c r="C20" s="12" t="n">
        <v>0.8</v>
      </c>
      <c r="D20" s="5" t="n">
        <v>22</v>
      </c>
      <c r="E20" s="6" t="n">
        <v>0</v>
      </c>
      <c r="F20" s="7" t="n">
        <v>-22</v>
      </c>
      <c r="G20" s="13" t="n">
        <v>6</v>
      </c>
      <c r="H20" s="16" t="inlineStr">
        <is>
          <t>Concept</t>
        </is>
      </c>
      <c r="I20" s="14" t="inlineStr">
        <is>
          <t>Foundation not in place. Should not have been started.</t>
        </is>
      </c>
    </row>
    <row r="21" ht="24" customHeight="1">
      <c r="A21" s="3" t="inlineStr">
        <is>
          <t>Remaining initiatives (10)</t>
        </is>
      </c>
      <c r="B21" s="4" t="n">
        <v>38.4</v>
      </c>
      <c r="C21" s="4" t="n">
        <v>24.6</v>
      </c>
      <c r="D21" s="5" t="n">
        <v>63</v>
      </c>
      <c r="E21" s="6" t="n">
        <v>0</v>
      </c>
      <c r="F21" s="7" t="n">
        <v>-63</v>
      </c>
      <c r="G21" s="16" t="inlineStr">
        <is>
          <t>Various</t>
        </is>
      </c>
      <c r="H21" s="16" t="inlineStr">
        <is>
          <t>Various stalled</t>
        </is>
      </c>
      <c r="I21" s="10" t="inlineStr">
        <is>
          <t>All blocked by same root causes: MLOps, data quality, CDO vacancy.</t>
        </is>
      </c>
    </row>
    <row r="22">
      <c r="A22" s="17" t="inlineStr">
        <is>
          <t>TOTALS</t>
        </is>
      </c>
      <c r="B22" s="18">
        <f>SUM(B3:B21)</f>
        <v/>
      </c>
      <c r="C22" s="18">
        <f>SUM(C3:C21)</f>
        <v/>
      </c>
      <c r="D22" s="18">
        <f>SUM(D3:D21)</f>
        <v/>
      </c>
      <c r="E22" s="18">
        <f>SUM(E3:E21)</f>
        <v/>
      </c>
      <c r="F22" s="18">
        <f>SUM(F3:F21)</f>
        <v/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2026-04-15T01:16:47Z</dcterms:created>
  <dcterms:modified xsi:type="dcterms:W3CDTF">2026-04-15T01:16:47Z</dcterms:modified>
</cp:coreProperties>
</file>