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color rgb="00333333"/>
      <sz val="9"/>
    </font>
    <font>
      <name val="Arial"/>
      <b val="1"/>
      <color rgb="00333333"/>
      <sz val="10"/>
    </font>
    <font>
      <name val="Arial"/>
      <b val="1"/>
      <color rgb="00CC0000"/>
      <sz val="9"/>
    </font>
    <font>
      <name val="Arial"/>
      <b val="1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center"/>
    </xf>
    <xf numFmtId="0" fontId="6" fillId="0" borderId="0" pivotButton="0" quotePrefix="0" xfId="0"/>
    <xf numFmtId="3" fontId="7" fillId="0" borderId="0" applyAlignment="1" pivotButton="0" quotePrefix="0" xfId="0">
      <alignment horizontal="center"/>
    </xf>
    <xf numFmtId="0" fontId="8" fillId="0" borderId="0" pivotButton="0" quotePrefix="0" xfId="0"/>
    <xf numFmtId="3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4" customWidth="1" min="9" max="9"/>
    <col width="28" customWidth="1" min="10" max="10"/>
  </cols>
  <sheetData>
    <row r="1" ht="16" customHeight="1">
      <c r="A1" s="1" t="inlineStr">
        <is>
          <t>Arcturus Financial Group — Engineering Cost Breakdown FY2025 (£000s)</t>
        </is>
      </c>
    </row>
    <row r="2" ht="32" customHeight="1">
      <c r="A2" s="2" t="inlineStr">
        <is>
          <t>Squad / Function</t>
        </is>
      </c>
      <c r="B2" s="2" t="inlineStr">
        <is>
          <t>Internal FTE Cost</t>
        </is>
      </c>
      <c r="C2" s="2" t="inlineStr">
        <is>
          <t>Contractor Cost</t>
        </is>
      </c>
      <c r="D2" s="2" t="inlineStr">
        <is>
          <t>Consulting Vendor</t>
        </is>
      </c>
      <c r="E2" s="2" t="inlineStr">
        <is>
          <t>Licence/Infra</t>
        </is>
      </c>
      <c r="F2" s="2" t="inlineStr">
        <is>
          <t>Total Cost £000s</t>
        </is>
      </c>
      <c r="G2" s="2" t="inlineStr">
        <is>
          <t>Story Pts Delivered</t>
        </is>
      </c>
      <c r="H2" s="2" t="inlineStr">
        <is>
          <t>Cost Per SP £</t>
        </is>
      </c>
      <c r="I2" s="2" t="inlineStr">
        <is>
          <t>vs Peer</t>
        </is>
      </c>
      <c r="J2" s="2" t="inlineStr">
        <is>
          <t>Notes</t>
        </is>
      </c>
    </row>
    <row r="3" ht="22" customHeight="1">
      <c r="A3" s="3" t="inlineStr">
        <is>
          <t>OMS Core Engineering</t>
        </is>
      </c>
      <c r="B3" s="4" t="n">
        <v>2100</v>
      </c>
      <c r="C3" s="4" t="n">
        <v>1680</v>
      </c>
      <c r="D3" s="4" t="n">
        <v>3360</v>
      </c>
      <c r="E3" s="4" t="n">
        <v>8400</v>
      </c>
      <c r="F3" s="5">
        <f>B3+C3+D3+E3</f>
        <v/>
      </c>
      <c r="G3" s="4" t="n">
        <v>120</v>
      </c>
      <c r="H3" s="6">
        <f>F3/G3</f>
        <v/>
      </c>
      <c r="I3" s="7" t="inlineStr">
        <is>
          <t>+£6.2k/SP</t>
        </is>
      </c>
      <c r="J3" s="8" t="inlineStr">
        <is>
          <t>Bloomberg licence dominates. Peers pay £2M for equivalent OMS.</t>
        </is>
      </c>
    </row>
    <row r="4" ht="22" customHeight="1">
      <c r="A4" s="9" t="inlineStr">
        <is>
          <t>OMS Integration &amp; APIs</t>
        </is>
      </c>
      <c r="B4" s="10" t="n">
        <v>1680</v>
      </c>
      <c r="C4" s="10" t="n">
        <v>840</v>
      </c>
      <c r="D4" s="10" t="n">
        <v>2240</v>
      </c>
      <c r="E4" s="10" t="n">
        <v>400</v>
      </c>
      <c r="F4" s="11">
        <f>B4+C4+D4+E4</f>
        <v/>
      </c>
      <c r="G4" s="10" t="n">
        <v>90</v>
      </c>
      <c r="H4" s="12">
        <f>F4/G4</f>
        <v/>
      </c>
      <c r="I4" s="7" t="inlineStr">
        <is>
          <t>+£4.1k/SP</t>
        </is>
      </c>
      <c r="J4" s="13" t="inlineStr">
        <is>
          <t>Integration complexity. Bloomberg dependency inflates.</t>
        </is>
      </c>
    </row>
    <row r="5" ht="22" customHeight="1">
      <c r="A5" s="3" t="inlineStr">
        <is>
          <t>Risk Technology</t>
        </is>
      </c>
      <c r="B5" s="4" t="n">
        <v>1680</v>
      </c>
      <c r="C5" s="4" t="n">
        <v>840</v>
      </c>
      <c r="D5" s="4" t="n">
        <v>1120</v>
      </c>
      <c r="E5" s="4" t="n">
        <v>4200</v>
      </c>
      <c r="F5" s="5">
        <f>B5+C5+D5+E5</f>
        <v/>
      </c>
      <c r="G5" s="4" t="n">
        <v>167</v>
      </c>
      <c r="H5" s="6">
        <f>F5/G5</f>
        <v/>
      </c>
      <c r="I5" s="14" t="inlineStr">
        <is>
          <t>Near peer</t>
        </is>
      </c>
      <c r="J5" s="8" t="inlineStr">
        <is>
          <t>Aladdin licence reasonable. Internal team cost-efficient.</t>
        </is>
      </c>
    </row>
    <row r="6" ht="22" customHeight="1">
      <c r="A6" s="9" t="inlineStr">
        <is>
          <t>Client Data Platform</t>
        </is>
      </c>
      <c r="B6" s="10" t="n">
        <v>1120</v>
      </c>
      <c r="C6" s="10" t="n">
        <v>1400</v>
      </c>
      <c r="D6" s="10" t="n">
        <v>2520</v>
      </c>
      <c r="E6" s="10" t="n">
        <v>400</v>
      </c>
      <c r="F6" s="11">
        <f>B6+C6+D6+E6</f>
        <v/>
      </c>
      <c r="G6" s="10" t="n">
        <v>75</v>
      </c>
      <c r="H6" s="12">
        <f>F6/G6</f>
        <v/>
      </c>
      <c r="I6" s="7" t="inlineStr">
        <is>
          <t>+£5.8k/SP</t>
        </is>
      </c>
      <c r="J6" s="13" t="inlineStr">
        <is>
          <t>Wipro + vacant lead. Zero golden record progress.</t>
        </is>
      </c>
    </row>
    <row r="7" ht="22" customHeight="1">
      <c r="A7" s="3" t="inlineStr">
        <is>
          <t>Portfolio Analytics</t>
        </is>
      </c>
      <c r="B7" s="4" t="n">
        <v>1960</v>
      </c>
      <c r="C7" s="4" t="n">
        <v>560</v>
      </c>
      <c r="D7" s="4" t="n">
        <v>840</v>
      </c>
      <c r="E7" s="4" t="n">
        <v>2900</v>
      </c>
      <c r="F7" s="5">
        <f>B7+C7+D7+E7</f>
        <v/>
      </c>
      <c r="G7" s="4" t="n">
        <v>248</v>
      </c>
      <c r="H7" s="6">
        <f>F7/G7</f>
        <v/>
      </c>
      <c r="I7" s="14" t="inlineStr">
        <is>
          <t>Best performer</t>
        </is>
      </c>
      <c r="J7" s="8" t="inlineStr">
        <is>
          <t>Best value. Highest output. Recommend investment.</t>
        </is>
      </c>
    </row>
    <row r="8" ht="22" customHeight="1">
      <c r="A8" s="9" t="inlineStr">
        <is>
          <t>Compliance &amp; Regulatory</t>
        </is>
      </c>
      <c r="B8" s="10" t="n">
        <v>1400</v>
      </c>
      <c r="C8" s="10" t="n">
        <v>280</v>
      </c>
      <c r="D8" s="10" t="n">
        <v>1400</v>
      </c>
      <c r="E8" s="10" t="n">
        <v>800</v>
      </c>
      <c r="F8" s="11">
        <f>B8+C8+D8+E8</f>
        <v/>
      </c>
      <c r="G8" s="10" t="n">
        <v>54</v>
      </c>
      <c r="H8" s="12">
        <f>F8/G8</f>
        <v/>
      </c>
      <c r="I8" s="7" t="inlineStr">
        <is>
          <t>+£3.2k/SP</t>
        </is>
      </c>
      <c r="J8" s="13" t="inlineStr">
        <is>
          <t>Deloitte advisory + waterfall inefficiency.</t>
        </is>
      </c>
    </row>
    <row r="9" ht="22" customHeight="1">
      <c r="A9" s="3" t="inlineStr">
        <is>
          <t>Client Portal (FSC)</t>
        </is>
      </c>
      <c r="B9" s="4" t="n">
        <v>1120</v>
      </c>
      <c r="C9" s="4" t="n">
        <v>840</v>
      </c>
      <c r="D9" s="4" t="n">
        <v>1960</v>
      </c>
      <c r="E9" s="4" t="n">
        <v>3100</v>
      </c>
      <c r="F9" s="5">
        <f>B9+C9+D9+E9</f>
        <v/>
      </c>
      <c r="G9" s="4" t="n">
        <v>96</v>
      </c>
      <c r="H9" s="6">
        <f>F9/G9</f>
        <v/>
      </c>
      <c r="I9" s="7" t="inlineStr">
        <is>
          <t>+£2.4k/SP</t>
        </is>
      </c>
      <c r="J9" s="8" t="inlineStr">
        <is>
          <t>Wipro + Salesforce PS. Duplication.</t>
        </is>
      </c>
    </row>
    <row r="10" ht="22" customHeight="1">
      <c r="A10" s="9" t="inlineStr">
        <is>
          <t>Data Engineering</t>
        </is>
      </c>
      <c r="B10" s="10" t="n">
        <v>1680</v>
      </c>
      <c r="C10" s="10" t="n">
        <v>1120</v>
      </c>
      <c r="D10" s="10" t="n">
        <v>1680</v>
      </c>
      <c r="E10" s="10" t="n">
        <v>400</v>
      </c>
      <c r="F10" s="11">
        <f>B10+C10+D10+E10</f>
        <v/>
      </c>
      <c r="G10" s="10" t="n">
        <v>71</v>
      </c>
      <c r="H10" s="12">
        <f>F10/G10</f>
        <v/>
      </c>
      <c r="I10" s="7" t="inlineStr">
        <is>
          <t>+£3.1k/SP</t>
        </is>
      </c>
      <c r="J10" s="13" t="inlineStr">
        <is>
          <t>Manual ETL dominates. No automation ROI.</t>
        </is>
      </c>
    </row>
    <row r="11" ht="22" customHeight="1">
      <c r="A11" s="3" t="inlineStr">
        <is>
          <t>AI/ML Platform</t>
        </is>
      </c>
      <c r="B11" s="4" t="n">
        <v>1120</v>
      </c>
      <c r="C11" s="4" t="n">
        <v>560</v>
      </c>
      <c r="D11" s="4" t="n">
        <v>2240</v>
      </c>
      <c r="E11" s="4" t="n">
        <v>280</v>
      </c>
      <c r="F11" s="5">
        <f>B11+C11+D11+E11</f>
        <v/>
      </c>
      <c r="G11" s="15" t="inlineStr">
        <is>
          <t>N/A</t>
        </is>
      </c>
      <c r="H11" s="15" t="inlineStr">
        <is>
          <t>£∞</t>
        </is>
      </c>
      <c r="I11" s="14" t="inlineStr">
        <is>
          <t>£1.8M / 0 output</t>
        </is>
      </c>
      <c r="J11" s="8" t="inlineStr">
        <is>
          <t>Zero production deployments in 12 months.</t>
        </is>
      </c>
    </row>
    <row r="12" ht="22" customHeight="1">
      <c r="A12" s="9" t="inlineStr">
        <is>
          <t>Singapore Technology</t>
        </is>
      </c>
      <c r="B12" s="10" t="n">
        <v>1680</v>
      </c>
      <c r="C12" s="10" t="n">
        <v>840</v>
      </c>
      <c r="D12" s="10" t="n">
        <v>1120</v>
      </c>
      <c r="E12" s="10" t="n">
        <v>600</v>
      </c>
      <c r="F12" s="11">
        <f>B12+C12+D12+E12</f>
        <v/>
      </c>
      <c r="G12" s="10" t="n">
        <v>108</v>
      </c>
      <c r="H12" s="12">
        <f>F12/G12</f>
        <v/>
      </c>
      <c r="I12" s="14" t="inlineStr">
        <is>
          <t>At benchmark</t>
        </is>
      </c>
      <c r="J12" s="13" t="inlineStr">
        <is>
          <t>TCS relationship reasonable for APAC.</t>
        </is>
      </c>
    </row>
    <row r="13" ht="22" customHeight="1">
      <c r="A13" s="3" t="inlineStr">
        <is>
          <t>New York Markets</t>
        </is>
      </c>
      <c r="B13" s="4" t="n">
        <v>1400</v>
      </c>
      <c r="C13" s="4" t="n">
        <v>560</v>
      </c>
      <c r="D13" s="4" t="n">
        <v>1400</v>
      </c>
      <c r="E13" s="4" t="n">
        <v>600</v>
      </c>
      <c r="F13" s="5">
        <f>B13+C13+D13+E13</f>
        <v/>
      </c>
      <c r="G13" s="4" t="n">
        <v>132</v>
      </c>
      <c r="H13" s="6">
        <f>F13/G13</f>
        <v/>
      </c>
      <c r="I13" s="16" t="inlineStr">
        <is>
          <t>Slight above</t>
        </is>
      </c>
      <c r="J13" s="8" t="inlineStr">
        <is>
          <t>Bloomberg dependency moderate. Good team.</t>
        </is>
      </c>
    </row>
    <row r="14" ht="22" customHeight="1">
      <c r="A14" s="9" t="inlineStr">
        <is>
          <t>Infrastructure &amp; Cloud</t>
        </is>
      </c>
      <c r="B14" s="10" t="n">
        <v>1400</v>
      </c>
      <c r="C14" s="10" t="n">
        <v>840</v>
      </c>
      <c r="D14" s="10" t="n">
        <v>840</v>
      </c>
      <c r="E14" s="10" t="n">
        <v>1200</v>
      </c>
      <c r="F14" s="11">
        <f>B14+C14+D14+E14</f>
        <v/>
      </c>
      <c r="G14" s="10" t="n">
        <v>180</v>
      </c>
      <c r="H14" s="12">
        <f>F14/G14</f>
        <v/>
      </c>
      <c r="I14" s="14" t="inlineStr">
        <is>
          <t>At benchmark</t>
        </is>
      </c>
      <c r="J14" s="13" t="inlineStr">
        <is>
          <t>Solid. ML pipeline absent.</t>
        </is>
      </c>
    </row>
    <row r="15" ht="22" customHeight="1">
      <c r="A15" s="3" t="inlineStr">
        <is>
          <t>Enterprise Architecture</t>
        </is>
      </c>
      <c r="B15" s="4" t="n">
        <v>560</v>
      </c>
      <c r="C15" s="4" t="n">
        <v>1120</v>
      </c>
      <c r="D15" s="4" t="n">
        <v>560</v>
      </c>
      <c r="E15" s="4" t="n">
        <v>0</v>
      </c>
      <c r="F15" s="5">
        <f>B15+C15+D15+E15</f>
        <v/>
      </c>
      <c r="G15" s="15" t="inlineStr">
        <is>
          <t>N/A</t>
        </is>
      </c>
      <c r="H15" s="15" t="inlineStr">
        <is>
          <t>£∞</t>
        </is>
      </c>
      <c r="I15" s="7" t="inlineStr">
        <is>
          <t>+£0.8k overhead</t>
        </is>
      </c>
      <c r="J15" s="8" t="inlineStr">
        <is>
          <t>Contractor EA. No permanent leadership.</t>
        </is>
      </c>
    </row>
    <row r="16" ht="22" customHeight="1">
      <c r="A16" s="9" t="inlineStr">
        <is>
          <t>IT Management &amp; Governance</t>
        </is>
      </c>
      <c r="B16" s="10" t="n">
        <v>1960</v>
      </c>
      <c r="C16" s="10" t="n">
        <v>280</v>
      </c>
      <c r="D16" s="10" t="n">
        <v>840</v>
      </c>
      <c r="E16" s="10" t="n">
        <v>200</v>
      </c>
      <c r="F16" s="11">
        <f>B16+C16+D16+E16</f>
        <v/>
      </c>
      <c r="G16" s="15" t="inlineStr">
        <is>
          <t>N/A</t>
        </is>
      </c>
      <c r="H16" s="15" t="inlineStr">
        <is>
          <t>N/A</t>
        </is>
      </c>
      <c r="I16" s="14" t="inlineStr">
        <is>
          <t>At benchmark</t>
        </is>
      </c>
      <c r="J16" s="13" t="inlineStr">
        <is>
          <t>CDO vacancy saves £400k in salary. Costs £94M in blocked AI value.</t>
        </is>
      </c>
    </row>
    <row r="17">
      <c r="A17" s="17" t="inlineStr">
        <is>
          <t>TOTAL ENGINEERING COST</t>
        </is>
      </c>
      <c r="B17" s="18" t="n">
        <v>20860</v>
      </c>
      <c r="C17" s="18" t="n">
        <v>11760</v>
      </c>
      <c r="D17" s="18" t="n">
        <v>22120</v>
      </c>
      <c r="E17" s="18" t="n">
        <v>23480</v>
      </c>
      <c r="F17" s="18" t="n">
        <v>78220</v>
      </c>
    </row>
    <row r="19">
      <c r="A19" s="19" t="inlineStr">
        <is>
          <t>Peer Benchmark (£000s):</t>
        </is>
      </c>
      <c r="F19" s="20" t="n">
        <v>22400</v>
      </c>
    </row>
    <row r="20">
      <c r="A20" s="21" t="inlineStr">
        <is>
          <t>Arcturus Overspend (£000s):</t>
        </is>
      </c>
      <c r="F20" s="22" t="n">
        <v>55820</v>
      </c>
    </row>
    <row r="21">
      <c r="A21" s="21" t="inlineStr">
        <is>
          <t>Overspend as % of peer:</t>
        </is>
      </c>
      <c r="F21" s="23">
        <f>(F17-22400)/22400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