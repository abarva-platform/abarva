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uad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b val="1"/>
      <color rgb="00CC0000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F2F7F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8" customWidth="1" min="4" max="4"/>
    <col width="10" customWidth="1" min="5" max="5"/>
    <col width="10" customWidth="1" min="6" max="6"/>
    <col width="8" customWidth="1" min="7" max="7"/>
    <col width="11" customWidth="1" min="8" max="8"/>
    <col width="16" customWidth="1" min="9" max="9"/>
    <col width="10" customWidth="1" min="10" max="10"/>
    <col width="10" customWidth="1" min="11" max="11"/>
    <col width="13" customWidth="1" min="12" max="12"/>
    <col width="13" customWidth="1" min="13" max="13"/>
    <col width="10" customWidth="1" min="14" max="14"/>
    <col width="10" customWidth="1" min="15" max="15"/>
  </cols>
  <sheetData>
    <row r="1" ht="16" customHeight="1">
      <c r="A1" s="1" t="inlineStr">
        <is>
          <t>Arcturus Financial Group — Engineering Organisation &amp; Squad Structure FY2025</t>
        </is>
      </c>
    </row>
    <row r="2" ht="32" customHeight="1">
      <c r="A2" s="2" t="inlineStr">
        <is>
          <t>Squad</t>
        </is>
      </c>
      <c r="B2" s="2" t="inlineStr">
        <is>
          <t>Domain</t>
        </is>
      </c>
      <c r="C2" s="2" t="inlineStr">
        <is>
          <t>Squad Lead</t>
        </is>
      </c>
      <c r="D2" s="2" t="inlineStr">
        <is>
          <t>FTE</t>
        </is>
      </c>
      <c r="E2" s="2" t="inlineStr">
        <is>
          <t>Contractors</t>
        </is>
      </c>
      <c r="F2" s="2" t="inlineStr">
        <is>
          <t>Vendor Staff</t>
        </is>
      </c>
      <c r="G2" s="2" t="inlineStr">
        <is>
          <t>Total</t>
        </is>
      </c>
      <c r="H2" s="2" t="inlineStr">
        <is>
          <t>Vendor Dep %</t>
        </is>
      </c>
      <c r="I2" s="2" t="inlineStr">
        <is>
          <t>Primary Vendor</t>
        </is>
      </c>
      <c r="J2" s="2" t="inlineStr">
        <is>
          <t>Mtg Hrs/Wk</t>
        </is>
      </c>
      <c r="K2" s="2" t="inlineStr">
        <is>
          <t>Build Hrs/Wk</t>
        </is>
      </c>
      <c r="L2" s="2" t="inlineStr">
        <is>
          <t>Sprint Method</t>
        </is>
      </c>
      <c r="M2" s="2" t="inlineStr">
        <is>
          <t>Cycle Time Days</t>
        </is>
      </c>
      <c r="N2" s="2" t="inlineStr">
        <is>
          <t>DORA Level</t>
        </is>
      </c>
      <c r="O2" s="2" t="inlineStr">
        <is>
          <t>Status</t>
        </is>
      </c>
    </row>
    <row r="3" ht="22" customHeight="1">
      <c r="A3" s="3" t="inlineStr">
        <is>
          <t>OMS Core Engineering</t>
        </is>
      </c>
      <c r="B3" s="4" t="inlineStr">
        <is>
          <t>Technology - Trading Systems</t>
        </is>
      </c>
      <c r="C3" s="4" t="inlineStr">
        <is>
          <t>James Whitfield</t>
        </is>
      </c>
      <c r="D3" s="5" t="n">
        <v>8</v>
      </c>
      <c r="E3" s="5" t="n">
        <v>4</v>
      </c>
      <c r="F3" s="5" t="n">
        <v>6</v>
      </c>
      <c r="G3" s="5">
        <f>D3+E3+F3</f>
        <v/>
      </c>
      <c r="H3" s="6">
        <f>(E3+F3)/G3</f>
        <v/>
      </c>
      <c r="I3" s="4" t="inlineStr">
        <is>
          <t>Bloomberg LP</t>
        </is>
      </c>
      <c r="J3" s="7" t="n">
        <v>22</v>
      </c>
      <c r="K3" s="5" t="n">
        <v>18</v>
      </c>
      <c r="L3" s="8" t="inlineStr">
        <is>
          <t>Scrum</t>
        </is>
      </c>
      <c r="M3" s="9" t="n">
        <v>127</v>
      </c>
      <c r="N3" s="9" t="inlineStr">
        <is>
          <t>Low</t>
        </is>
      </c>
      <c r="O3" s="10" t="inlineStr">
        <is>
          <t>Critical</t>
        </is>
      </c>
    </row>
    <row r="4" ht="22" customHeight="1">
      <c r="A4" s="11" t="inlineStr">
        <is>
          <t>OMS Integration &amp; APIs</t>
        </is>
      </c>
      <c r="B4" s="12" t="inlineStr">
        <is>
          <t>Technology - Trading Systems</t>
        </is>
      </c>
      <c r="C4" s="12" t="inlineStr">
        <is>
          <t>Priya Nambiar</t>
        </is>
      </c>
      <c r="D4" s="13" t="n">
        <v>5</v>
      </c>
      <c r="E4" s="13" t="n">
        <v>2</v>
      </c>
      <c r="F4" s="13" t="n">
        <v>8</v>
      </c>
      <c r="G4" s="13">
        <f>D4+E4+F4</f>
        <v/>
      </c>
      <c r="H4" s="6">
        <f>(E4+F4)/G4</f>
        <v/>
      </c>
      <c r="I4" s="12" t="inlineStr">
        <is>
          <t>Bloomberg LP</t>
        </is>
      </c>
      <c r="J4" s="14" t="n">
        <v>24</v>
      </c>
      <c r="K4" s="13" t="n">
        <v>16</v>
      </c>
      <c r="L4" s="15" t="inlineStr">
        <is>
          <t>Scrum</t>
        </is>
      </c>
      <c r="M4" s="9" t="n">
        <v>145</v>
      </c>
      <c r="N4" s="9" t="inlineStr">
        <is>
          <t>Low</t>
        </is>
      </c>
      <c r="O4" s="10" t="inlineStr">
        <is>
          <t>Critical</t>
        </is>
      </c>
    </row>
    <row r="5" ht="22" customHeight="1">
      <c r="A5" s="3" t="inlineStr">
        <is>
          <t>Risk Technology</t>
        </is>
      </c>
      <c r="B5" s="4" t="inlineStr">
        <is>
          <t>Technology - Risk</t>
        </is>
      </c>
      <c r="C5" s="4" t="inlineStr">
        <is>
          <t>Marcus Webb</t>
        </is>
      </c>
      <c r="D5" s="5" t="n">
        <v>6</v>
      </c>
      <c r="E5" s="5" t="n">
        <v>3</v>
      </c>
      <c r="F5" s="5" t="n">
        <v>4</v>
      </c>
      <c r="G5" s="5">
        <f>D5+E5+F5</f>
        <v/>
      </c>
      <c r="H5" s="16">
        <f>(E5+F5)/G5</f>
        <v/>
      </c>
      <c r="I5" s="4" t="inlineStr">
        <is>
          <t>Infosys</t>
        </is>
      </c>
      <c r="J5" s="7" t="n">
        <v>18</v>
      </c>
      <c r="K5" s="5" t="n">
        <v>22</v>
      </c>
      <c r="L5" s="8" t="inlineStr">
        <is>
          <t>Scrum</t>
        </is>
      </c>
      <c r="M5" s="17" t="n">
        <v>98</v>
      </c>
      <c r="N5" s="17" t="inlineStr">
        <is>
          <t>Medium</t>
        </is>
      </c>
      <c r="O5" s="18" t="inlineStr">
        <is>
          <t>Amber</t>
        </is>
      </c>
    </row>
    <row r="6" ht="22" customHeight="1">
      <c r="A6" s="11" t="inlineStr">
        <is>
          <t>Client Data Platform</t>
        </is>
      </c>
      <c r="B6" s="12" t="inlineStr">
        <is>
          <t>Technology - Data</t>
        </is>
      </c>
      <c r="C6" s="19" t="inlineStr">
        <is>
          <t>-VACANT-</t>
        </is>
      </c>
      <c r="D6" s="13" t="n">
        <v>3</v>
      </c>
      <c r="E6" s="13" t="n">
        <v>5</v>
      </c>
      <c r="F6" s="13" t="n">
        <v>9</v>
      </c>
      <c r="G6" s="13">
        <f>D6+E6+F6</f>
        <v/>
      </c>
      <c r="H6" s="6">
        <f>(E6+F6)/G6</f>
        <v/>
      </c>
      <c r="I6" s="12" t="inlineStr">
        <is>
          <t>Wipro</t>
        </is>
      </c>
      <c r="J6" s="14" t="n">
        <v>26</v>
      </c>
      <c r="K6" s="13" t="n">
        <v>14</v>
      </c>
      <c r="L6" s="15" t="inlineStr">
        <is>
          <t>Kanban</t>
        </is>
      </c>
      <c r="M6" s="9" t="n">
        <v>189</v>
      </c>
      <c r="N6" s="9" t="inlineStr">
        <is>
          <t>Low</t>
        </is>
      </c>
      <c r="O6" s="10" t="inlineStr">
        <is>
          <t>Critical</t>
        </is>
      </c>
    </row>
    <row r="7" ht="22" customHeight="1">
      <c r="A7" s="3" t="inlineStr">
        <is>
          <t>Portfolio Analytics</t>
        </is>
      </c>
      <c r="B7" s="4" t="inlineStr">
        <is>
          <t>Technology - Investments</t>
        </is>
      </c>
      <c r="C7" s="4" t="inlineStr">
        <is>
          <t>Rachel Kim</t>
        </is>
      </c>
      <c r="D7" s="5" t="n">
        <v>7</v>
      </c>
      <c r="E7" s="5" t="n">
        <v>2</v>
      </c>
      <c r="F7" s="5" t="n">
        <v>3</v>
      </c>
      <c r="G7" s="5">
        <f>D7+E7+F7</f>
        <v/>
      </c>
      <c r="H7" s="16">
        <f>(E7+F7)/G7</f>
        <v/>
      </c>
      <c r="I7" s="4" t="inlineStr">
        <is>
          <t>Infosys</t>
        </is>
      </c>
      <c r="J7" s="7" t="n">
        <v>19</v>
      </c>
      <c r="K7" s="5" t="n">
        <v>21</v>
      </c>
      <c r="L7" s="8" t="inlineStr">
        <is>
          <t>Scrum</t>
        </is>
      </c>
      <c r="M7" s="17" t="n">
        <v>88</v>
      </c>
      <c r="N7" s="17" t="inlineStr">
        <is>
          <t>Medium</t>
        </is>
      </c>
      <c r="O7" s="20" t="inlineStr">
        <is>
          <t>Green</t>
        </is>
      </c>
    </row>
    <row r="8" ht="22" customHeight="1">
      <c r="A8" s="11" t="inlineStr">
        <is>
          <t>Compliance &amp; Regulatory</t>
        </is>
      </c>
      <c r="B8" s="12" t="inlineStr">
        <is>
          <t>Technology - Compliance</t>
        </is>
      </c>
      <c r="C8" s="12" t="inlineStr">
        <is>
          <t>Thomas Brennan (CCO-interim)</t>
        </is>
      </c>
      <c r="D8" s="13" t="n">
        <v>5</v>
      </c>
      <c r="E8" s="13" t="n">
        <v>1</v>
      </c>
      <c r="F8" s="13" t="n">
        <v>5</v>
      </c>
      <c r="G8" s="13">
        <f>D8+E8+F8</f>
        <v/>
      </c>
      <c r="H8" s="16">
        <f>(E8+F8)/G8</f>
        <v/>
      </c>
      <c r="I8" s="12" t="inlineStr">
        <is>
          <t>Deloitte</t>
        </is>
      </c>
      <c r="J8" s="14" t="n">
        <v>28</v>
      </c>
      <c r="K8" s="13" t="n">
        <v>12</v>
      </c>
      <c r="L8" s="15" t="inlineStr">
        <is>
          <t>Waterfall</t>
        </is>
      </c>
      <c r="M8" s="9" t="n">
        <v>210</v>
      </c>
      <c r="N8" s="9" t="inlineStr">
        <is>
          <t>Low</t>
        </is>
      </c>
      <c r="O8" s="10" t="inlineStr">
        <is>
          <t>Critical</t>
        </is>
      </c>
    </row>
    <row r="9" ht="22" customHeight="1">
      <c r="A9" s="3" t="inlineStr">
        <is>
          <t>Client Portal (FSC)</t>
        </is>
      </c>
      <c r="B9" s="4" t="inlineStr">
        <is>
          <t>Technology - Client</t>
        </is>
      </c>
      <c r="C9" s="4" t="inlineStr">
        <is>
          <t>Anna Johansson (MD)</t>
        </is>
      </c>
      <c r="D9" s="5" t="n">
        <v>4</v>
      </c>
      <c r="E9" s="5" t="n">
        <v>3</v>
      </c>
      <c r="F9" s="5" t="n">
        <v>7</v>
      </c>
      <c r="G9" s="5">
        <f>D9+E9+F9</f>
        <v/>
      </c>
      <c r="H9" s="6">
        <f>(E9+F9)/G9</f>
        <v/>
      </c>
      <c r="I9" s="4" t="inlineStr">
        <is>
          <t>Wipro/Salesforce</t>
        </is>
      </c>
      <c r="J9" s="14" t="n">
        <v>25</v>
      </c>
      <c r="K9" s="5" t="n">
        <v>15</v>
      </c>
      <c r="L9" s="8" t="inlineStr">
        <is>
          <t>Scrum</t>
        </is>
      </c>
      <c r="M9" s="9" t="n">
        <v>134</v>
      </c>
      <c r="N9" s="9" t="inlineStr">
        <is>
          <t>Low</t>
        </is>
      </c>
      <c r="O9" s="18" t="inlineStr">
        <is>
          <t>Amber</t>
        </is>
      </c>
    </row>
    <row r="10" ht="22" customHeight="1">
      <c r="A10" s="11" t="inlineStr">
        <is>
          <t>Data Engineering</t>
        </is>
      </c>
      <c r="B10" s="12" t="inlineStr">
        <is>
          <t>Technology - Data</t>
        </is>
      </c>
      <c r="C10" s="12" t="inlineStr">
        <is>
          <t>Raj Sharma</t>
        </is>
      </c>
      <c r="D10" s="13" t="n">
        <v>6</v>
      </c>
      <c r="E10" s="13" t="n">
        <v>4</v>
      </c>
      <c r="F10" s="13" t="n">
        <v>6</v>
      </c>
      <c r="G10" s="13">
        <f>D10+E10+F10</f>
        <v/>
      </c>
      <c r="H10" s="6">
        <f>(E10+F10)/G10</f>
        <v/>
      </c>
      <c r="I10" s="12" t="inlineStr">
        <is>
          <t>Wipro</t>
        </is>
      </c>
      <c r="J10" s="7" t="n">
        <v>22</v>
      </c>
      <c r="K10" s="13" t="n">
        <v>18</v>
      </c>
      <c r="L10" s="15" t="inlineStr">
        <is>
          <t>Kanban</t>
        </is>
      </c>
      <c r="M10" s="9" t="n">
        <v>156</v>
      </c>
      <c r="N10" s="9" t="inlineStr">
        <is>
          <t>Low</t>
        </is>
      </c>
      <c r="O10" s="10" t="inlineStr">
        <is>
          <t>Critical</t>
        </is>
      </c>
    </row>
    <row r="11" ht="22" customHeight="1">
      <c r="A11" s="3" t="inlineStr">
        <is>
          <t>AI/ML Platform</t>
        </is>
      </c>
      <c r="B11" s="4" t="inlineStr">
        <is>
          <t>Technology - Innovation</t>
        </is>
      </c>
      <c r="C11" s="4" t="inlineStr">
        <is>
          <t>Dr. Fatima Al-Hassan</t>
        </is>
      </c>
      <c r="D11" s="5" t="n">
        <v>4</v>
      </c>
      <c r="E11" s="5" t="n">
        <v>2</v>
      </c>
      <c r="F11" s="5" t="n">
        <v>8</v>
      </c>
      <c r="G11" s="5">
        <f>D11+E11+F11</f>
        <v/>
      </c>
      <c r="H11" s="6">
        <f>(E11+F11)/G11</f>
        <v/>
      </c>
      <c r="I11" s="4" t="inlineStr">
        <is>
          <t>Google/Infosys</t>
        </is>
      </c>
      <c r="J11" s="7" t="n">
        <v>20</v>
      </c>
      <c r="K11" s="5" t="n">
        <v>20</v>
      </c>
      <c r="L11" s="8" t="inlineStr">
        <is>
          <t>Scrum</t>
        </is>
      </c>
      <c r="M11" s="9" t="inlineStr">
        <is>
          <t>Not tracked</t>
        </is>
      </c>
      <c r="N11" s="9" t="inlineStr">
        <is>
          <t>None</t>
        </is>
      </c>
      <c r="O11" s="10" t="inlineStr">
        <is>
          <t>Critical</t>
        </is>
      </c>
    </row>
    <row r="12" ht="22" customHeight="1">
      <c r="A12" s="11" t="inlineStr">
        <is>
          <t>Singapore Technology</t>
        </is>
      </c>
      <c r="B12" s="12" t="inlineStr">
        <is>
          <t>Technology - APAC</t>
        </is>
      </c>
      <c r="C12" s="12" t="inlineStr">
        <is>
          <t>Wei Chen</t>
        </is>
      </c>
      <c r="D12" s="13" t="n">
        <v>6</v>
      </c>
      <c r="E12" s="13" t="n">
        <v>3</v>
      </c>
      <c r="F12" s="13" t="n">
        <v>4</v>
      </c>
      <c r="G12" s="13">
        <f>D12+E12+F12</f>
        <v/>
      </c>
      <c r="H12" s="16">
        <f>(E12+F12)/G12</f>
        <v/>
      </c>
      <c r="I12" s="12" t="inlineStr">
        <is>
          <t>TCS</t>
        </is>
      </c>
      <c r="J12" s="7" t="n">
        <v>18</v>
      </c>
      <c r="K12" s="13" t="n">
        <v>22</v>
      </c>
      <c r="L12" s="15" t="inlineStr">
        <is>
          <t>Scrum</t>
        </is>
      </c>
      <c r="M12" s="17" t="n">
        <v>112</v>
      </c>
      <c r="N12" s="9" t="inlineStr">
        <is>
          <t>Low</t>
        </is>
      </c>
      <c r="O12" s="18" t="inlineStr">
        <is>
          <t>Amber</t>
        </is>
      </c>
    </row>
    <row r="13" ht="22" customHeight="1">
      <c r="A13" s="3" t="inlineStr">
        <is>
          <t>New York Markets</t>
        </is>
      </c>
      <c r="B13" s="4" t="inlineStr">
        <is>
          <t>Technology - Americas</t>
        </is>
      </c>
      <c r="C13" s="4" t="inlineStr">
        <is>
          <t>Carlos Rivera</t>
        </is>
      </c>
      <c r="D13" s="5" t="n">
        <v>5</v>
      </c>
      <c r="E13" s="5" t="n">
        <v>2</v>
      </c>
      <c r="F13" s="5" t="n">
        <v>5</v>
      </c>
      <c r="G13" s="5">
        <f>D13+E13+F13</f>
        <v/>
      </c>
      <c r="H13" s="6">
        <f>(E13+F13)/G13</f>
        <v/>
      </c>
      <c r="I13" s="4" t="inlineStr">
        <is>
          <t>Infosys</t>
        </is>
      </c>
      <c r="J13" s="7" t="n">
        <v>21</v>
      </c>
      <c r="K13" s="5" t="n">
        <v>19</v>
      </c>
      <c r="L13" s="8" t="inlineStr">
        <is>
          <t>Scrum</t>
        </is>
      </c>
      <c r="M13" s="17" t="n">
        <v>95</v>
      </c>
      <c r="N13" s="17" t="inlineStr">
        <is>
          <t>Medium</t>
        </is>
      </c>
      <c r="O13" s="18" t="inlineStr">
        <is>
          <t>Amber</t>
        </is>
      </c>
    </row>
    <row r="14" ht="22" customHeight="1">
      <c r="A14" s="11" t="inlineStr">
        <is>
          <t>Enterprise Architecture</t>
        </is>
      </c>
      <c r="B14" s="12" t="inlineStr">
        <is>
          <t>Technology - Architecture</t>
        </is>
      </c>
      <c r="C14" s="12" t="inlineStr">
        <is>
          <t>CONTRACTOR (rolling)</t>
        </is>
      </c>
      <c r="D14" s="13" t="n">
        <v>2</v>
      </c>
      <c r="E14" s="13" t="n">
        <v>4</v>
      </c>
      <c r="F14" s="13" t="n">
        <v>2</v>
      </c>
      <c r="G14" s="13">
        <f>D14+E14+F14</f>
        <v/>
      </c>
      <c r="H14" s="6">
        <f>(E14+F14)/G14</f>
        <v/>
      </c>
      <c r="I14" s="12" t="inlineStr">
        <is>
          <t>Wipro</t>
        </is>
      </c>
      <c r="J14" s="14" t="n">
        <v>30</v>
      </c>
      <c r="K14" s="13" t="n">
        <v>10</v>
      </c>
      <c r="L14" s="15" t="inlineStr">
        <is>
          <t>N/A</t>
        </is>
      </c>
      <c r="M14" s="9" t="inlineStr">
        <is>
          <t>Not tracked</t>
        </is>
      </c>
      <c r="N14" s="9" t="inlineStr">
        <is>
          <t>None</t>
        </is>
      </c>
      <c r="O14" s="10" t="inlineStr">
        <is>
          <t>Critical</t>
        </is>
      </c>
    </row>
    <row r="15" ht="22" customHeight="1">
      <c r="A15" s="3" t="inlineStr">
        <is>
          <t>DevOps &amp; Infrastructure</t>
        </is>
      </c>
      <c r="B15" s="4" t="inlineStr">
        <is>
          <t>Technology - Platform</t>
        </is>
      </c>
      <c r="C15" s="4" t="inlineStr">
        <is>
          <t>Amir Patel</t>
        </is>
      </c>
      <c r="D15" s="5" t="n">
        <v>5</v>
      </c>
      <c r="E15" s="5" t="n">
        <v>3</v>
      </c>
      <c r="F15" s="5" t="n">
        <v>3</v>
      </c>
      <c r="G15" s="5">
        <f>D15+E15+F15</f>
        <v/>
      </c>
      <c r="H15" s="16">
        <f>(E15+F15)/G15</f>
        <v/>
      </c>
      <c r="I15" s="4" t="inlineStr">
        <is>
          <t>AWS ProServe</t>
        </is>
      </c>
      <c r="J15" s="21" t="n">
        <v>16</v>
      </c>
      <c r="K15" s="5" t="n">
        <v>24</v>
      </c>
      <c r="L15" s="8" t="inlineStr">
        <is>
          <t>Kanban</t>
        </is>
      </c>
      <c r="M15" s="9" t="inlineStr">
        <is>
          <t>Not tracked</t>
        </is>
      </c>
      <c r="N15" s="17" t="inlineStr">
        <is>
          <t>Medium</t>
        </is>
      </c>
      <c r="O15" s="18" t="inlineStr">
        <is>
          <t>Amber</t>
        </is>
      </c>
    </row>
    <row r="16" ht="22" customHeight="1">
      <c r="A16" s="11" t="inlineStr">
        <is>
          <t>Digital Innovation Lab</t>
        </is>
      </c>
      <c r="B16" s="12" t="inlineStr">
        <is>
          <t>Technology - Innovation</t>
        </is>
      </c>
      <c r="C16" s="19" t="inlineStr">
        <is>
          <t>(VACANT — 11 months)</t>
        </is>
      </c>
      <c r="D16" s="13" t="n">
        <v>3</v>
      </c>
      <c r="E16" s="13" t="n">
        <v>2</v>
      </c>
      <c r="F16" s="13" t="n">
        <v>6</v>
      </c>
      <c r="G16" s="13">
        <f>D16+E16+F16</f>
        <v/>
      </c>
      <c r="H16" s="6">
        <f>(E16+F16)/G16</f>
        <v/>
      </c>
      <c r="I16" s="12" t="inlineStr">
        <is>
          <t>Various</t>
        </is>
      </c>
      <c r="J16" s="14" t="n">
        <v>24</v>
      </c>
      <c r="K16" s="13" t="n">
        <v>16</v>
      </c>
      <c r="L16" s="15" t="inlineStr">
        <is>
          <t>Agile</t>
        </is>
      </c>
      <c r="M16" s="9" t="inlineStr">
        <is>
          <t>Not tracked</t>
        </is>
      </c>
      <c r="N16" s="9" t="inlineStr">
        <is>
          <t>None</t>
        </is>
      </c>
      <c r="O16" s="10" t="inlineStr">
        <is>
          <t>Critical</t>
        </is>
      </c>
    </row>
    <row r="17">
      <c r="A17" s="22" t="inlineStr">
        <is>
          <t>TOTALS — 185 headcount</t>
        </is>
      </c>
      <c r="D17" s="23" t="n">
        <v>69</v>
      </c>
      <c r="E17" s="23" t="n">
        <v>40</v>
      </c>
      <c r="F17" s="23" t="n">
        <v>76</v>
      </c>
      <c r="G17" s="23" t="n">
        <v>185</v>
      </c>
      <c r="H17" s="24" t="n">
        <v>0.6270270270270271</v>
      </c>
    </row>
    <row r="19" ht="18" customHeight="1">
      <c r="A19" s="25" t="inlineStr">
        <is>
          <t>KEY INSIGHT: Vendor dependency ratio 63%. VACANT — 11 months. 14 of 28 AI initiatives blocked. Annual consulting spend £42M.</t>
        </is>
      </c>
    </row>
  </sheetData>
  <mergeCells count="2">
    <mergeCell ref="A19:O1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