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Velo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2" customWidth="1" min="10" max="10"/>
    <col width="11" customWidth="1" min="11" max="11"/>
    <col width="8" customWidth="1" min="12" max="12"/>
    <col width="32" customWidth="1" min="13" max="13"/>
  </cols>
  <sheetData>
    <row r="1" ht="16" customHeight="1">
      <c r="A1" s="1" t="inlineStr">
        <is>
          <t>Arcturus Financial Group — Sprint Velocity &amp; DORA Metrics (Apr 2025–Mar 2026)</t>
        </is>
      </c>
    </row>
    <row r="2" ht="32" customHeight="1">
      <c r="A2" s="2" t="inlineStr">
        <is>
          <t>Squad</t>
        </is>
      </c>
      <c r="B2" s="2" t="inlineStr">
        <is>
          <t>Quarter</t>
        </is>
      </c>
      <c r="C2" s="2" t="inlineStr">
        <is>
          <t>Planned Pts</t>
        </is>
      </c>
      <c r="D2" s="2" t="inlineStr">
        <is>
          <t>Completed Pts</t>
        </is>
      </c>
      <c r="E2" s="2" t="inlineStr">
        <is>
          <t>Velocity %</t>
        </is>
      </c>
      <c r="F2" s="2" t="inlineStr">
        <is>
          <t>Unplanned %</t>
        </is>
      </c>
      <c r="G2" s="2" t="inlineStr">
        <is>
          <t>Carryover %</t>
        </is>
      </c>
      <c r="H2" s="2" t="inlineStr">
        <is>
          <t>Deployments</t>
        </is>
      </c>
      <c r="I2" s="2" t="inlineStr">
        <is>
          <t>Incidents</t>
        </is>
      </c>
      <c r="J2" s="2" t="inlineStr">
        <is>
          <t>Vendor Blocked</t>
        </is>
      </c>
      <c r="K2" s="2" t="inlineStr">
        <is>
          <t>CDO Blocked</t>
        </is>
      </c>
      <c r="L2" s="2" t="inlineStr">
        <is>
          <t>RAG</t>
        </is>
      </c>
      <c r="M2" s="2" t="inlineStr">
        <is>
          <t>Notes</t>
        </is>
      </c>
    </row>
    <row r="3" ht="22" customHeight="1">
      <c r="A3" s="3" t="inlineStr">
        <is>
          <t>OMS Core Engineering</t>
        </is>
      </c>
      <c r="B3" s="4" t="inlineStr">
        <is>
          <t>Q1 2025</t>
        </is>
      </c>
      <c r="C3" s="5" t="n">
        <v>42</v>
      </c>
      <c r="D3" s="5" t="n">
        <v>31</v>
      </c>
      <c r="E3" s="6">
        <f>D3/C3</f>
        <v/>
      </c>
      <c r="F3" s="6" t="n">
        <v>0.28</v>
      </c>
      <c r="G3" s="6" t="n">
        <v>0.22</v>
      </c>
      <c r="H3" s="5" t="n">
        <v>0</v>
      </c>
      <c r="I3" s="5" t="n">
        <v>3</v>
      </c>
      <c r="J3" s="7" t="n">
        <v>4</v>
      </c>
      <c r="K3" s="5" t="n">
        <v>0</v>
      </c>
      <c r="L3" s="8" t="inlineStr">
        <is>
          <t>Red</t>
        </is>
      </c>
      <c r="M3" s="9" t="inlineStr">
        <is>
          <t>2 sprints blocked by Bloomberg release freeze. Emergency AIM-OMS sync patch.</t>
        </is>
      </c>
    </row>
    <row r="4" ht="22" customHeight="1">
      <c r="A4" s="10" t="inlineStr">
        <is>
          <t>OMS Core Engineering</t>
        </is>
      </c>
      <c r="B4" s="11" t="inlineStr">
        <is>
          <t>Q2 2025</t>
        </is>
      </c>
      <c r="C4" s="12" t="n">
        <v>40</v>
      </c>
      <c r="D4" s="12" t="n">
        <v>28</v>
      </c>
      <c r="E4" s="13">
        <f>D4/C4</f>
        <v/>
      </c>
      <c r="F4" s="13" t="n">
        <v>0.31</v>
      </c>
      <c r="G4" s="13" t="n">
        <v>0.28</v>
      </c>
      <c r="H4" s="12" t="n">
        <v>0</v>
      </c>
      <c r="I4" s="12" t="n">
        <v>4</v>
      </c>
      <c r="J4" s="7" t="n">
        <v>5</v>
      </c>
      <c r="K4" s="12" t="n">
        <v>0</v>
      </c>
      <c r="L4" s="8" t="inlineStr">
        <is>
          <t>Red</t>
        </is>
      </c>
      <c r="M4" s="14" t="inlineStr">
        <is>
          <t>Bloomberg upgrade required 6-week regression. Zero feature delivery.</t>
        </is>
      </c>
    </row>
    <row r="5" ht="22" customHeight="1">
      <c r="A5" s="3" t="inlineStr">
        <is>
          <t>OMS Core Engineering</t>
        </is>
      </c>
      <c r="B5" s="4" t="inlineStr">
        <is>
          <t>Q3 2025</t>
        </is>
      </c>
      <c r="C5" s="5" t="n">
        <v>44</v>
      </c>
      <c r="D5" s="5" t="n">
        <v>32</v>
      </c>
      <c r="E5" s="6">
        <f>D5/C5</f>
        <v/>
      </c>
      <c r="F5" s="6" t="n">
        <v>0.26</v>
      </c>
      <c r="G5" s="6" t="n">
        <v>0.24</v>
      </c>
      <c r="H5" s="5" t="n">
        <v>1</v>
      </c>
      <c r="I5" s="5" t="n">
        <v>2</v>
      </c>
      <c r="J5" s="7" t="n">
        <v>4</v>
      </c>
      <c r="K5" s="5" t="n">
        <v>0</v>
      </c>
      <c r="L5" s="15" t="inlineStr">
        <is>
          <t>Amber</t>
        </is>
      </c>
      <c r="M5" s="9" t="inlineStr">
        <is>
          <t>1 deployment — hotfix only. Vendor controls all change windows.</t>
        </is>
      </c>
    </row>
    <row r="6" ht="22" customHeight="1">
      <c r="A6" s="10" t="inlineStr">
        <is>
          <t>OMS Core Engineering</t>
        </is>
      </c>
      <c r="B6" s="11" t="inlineStr">
        <is>
          <t>Q4 2025</t>
        </is>
      </c>
      <c r="C6" s="12" t="n">
        <v>42</v>
      </c>
      <c r="D6" s="12" t="n">
        <v>29</v>
      </c>
      <c r="E6" s="13">
        <f>D6/C6</f>
        <v/>
      </c>
      <c r="F6" s="13" t="n">
        <v>0.3</v>
      </c>
      <c r="G6" s="13" t="n">
        <v>0.25</v>
      </c>
      <c r="H6" s="12" t="n">
        <v>0</v>
      </c>
      <c r="I6" s="12" t="n">
        <v>3</v>
      </c>
      <c r="J6" s="7" t="n">
        <v>5</v>
      </c>
      <c r="K6" s="12" t="n">
        <v>0</v>
      </c>
      <c r="L6" s="8" t="inlineStr">
        <is>
          <t>Red</t>
        </is>
      </c>
      <c r="M6" s="14" t="inlineStr">
        <is>
          <t>Year-end freeze. Bloomberg governs all windows. Squad in maintenance mode.</t>
        </is>
      </c>
    </row>
    <row r="7" ht="22" customHeight="1">
      <c r="A7" s="3" t="inlineStr">
        <is>
          <t>Portfolio Analytics</t>
        </is>
      </c>
      <c r="B7" s="4" t="inlineStr">
        <is>
          <t>Q1 2025</t>
        </is>
      </c>
      <c r="C7" s="5" t="n">
        <v>65</v>
      </c>
      <c r="D7" s="5" t="n">
        <v>61</v>
      </c>
      <c r="E7" s="6">
        <f>D7/C7</f>
        <v/>
      </c>
      <c r="F7" s="6" t="n">
        <v>0.08</v>
      </c>
      <c r="G7" s="6" t="n">
        <v>0.05</v>
      </c>
      <c r="H7" s="5" t="n">
        <v>8</v>
      </c>
      <c r="I7" s="5" t="n">
        <v>1</v>
      </c>
      <c r="J7" s="5" t="n">
        <v>0</v>
      </c>
      <c r="K7" s="5" t="n">
        <v>0</v>
      </c>
      <c r="L7" s="16" t="inlineStr">
        <is>
          <t>Green</t>
        </is>
      </c>
      <c r="M7" s="9" t="inlineStr">
        <is>
          <t>Strong. 8 production deployments. Factor model updated.</t>
        </is>
      </c>
    </row>
    <row r="8" ht="22" customHeight="1">
      <c r="A8" s="10" t="inlineStr">
        <is>
          <t>Portfolio Analytics</t>
        </is>
      </c>
      <c r="B8" s="11" t="inlineStr">
        <is>
          <t>Q2 2025</t>
        </is>
      </c>
      <c r="C8" s="12" t="n">
        <v>68</v>
      </c>
      <c r="D8" s="12" t="n">
        <v>64</v>
      </c>
      <c r="E8" s="13">
        <f>D8/C8</f>
        <v/>
      </c>
      <c r="F8" s="13" t="n">
        <v>0.07000000000000001</v>
      </c>
      <c r="G8" s="13" t="n">
        <v>0.04</v>
      </c>
      <c r="H8" s="12" t="n">
        <v>9</v>
      </c>
      <c r="I8" s="12" t="n">
        <v>1</v>
      </c>
      <c r="J8" s="12" t="n">
        <v>0</v>
      </c>
      <c r="K8" s="17" t="n">
        <v>1</v>
      </c>
      <c r="L8" s="16" t="inlineStr">
        <is>
          <t>Green</t>
        </is>
      </c>
      <c r="M8" s="14" t="inlineStr">
        <is>
          <t>CDO vacancy blocked 1 AI feature. Otherwise excellent.</t>
        </is>
      </c>
    </row>
    <row r="9" ht="22" customHeight="1">
      <c r="A9" s="3" t="inlineStr">
        <is>
          <t>Portfolio Analytics</t>
        </is>
      </c>
      <c r="B9" s="4" t="inlineStr">
        <is>
          <t>Q3 2025</t>
        </is>
      </c>
      <c r="C9" s="5" t="n">
        <v>66</v>
      </c>
      <c r="D9" s="5" t="n">
        <v>63</v>
      </c>
      <c r="E9" s="6">
        <f>D9/C9</f>
        <v/>
      </c>
      <c r="F9" s="6" t="n">
        <v>0.09</v>
      </c>
      <c r="G9" s="6" t="n">
        <v>0.06</v>
      </c>
      <c r="H9" s="5" t="n">
        <v>10</v>
      </c>
      <c r="I9" s="5" t="n">
        <v>0</v>
      </c>
      <c r="J9" s="5" t="n">
        <v>0</v>
      </c>
      <c r="K9" s="5" t="n">
        <v>0</v>
      </c>
      <c r="L9" s="16" t="inlineStr">
        <is>
          <t>Green</t>
        </is>
      </c>
      <c r="M9" s="9" t="inlineStr">
        <is>
          <t>Best quarter. ESG data integration delivered.</t>
        </is>
      </c>
    </row>
    <row r="10" ht="22" customHeight="1">
      <c r="A10" s="10" t="inlineStr">
        <is>
          <t>Portfolio Analytics</t>
        </is>
      </c>
      <c r="B10" s="11" t="inlineStr">
        <is>
          <t>Q4 2025</t>
        </is>
      </c>
      <c r="C10" s="12" t="n">
        <v>64</v>
      </c>
      <c r="D10" s="12" t="n">
        <v>60</v>
      </c>
      <c r="E10" s="13">
        <f>D10/C10</f>
        <v/>
      </c>
      <c r="F10" s="13" t="n">
        <v>0.1</v>
      </c>
      <c r="G10" s="13" t="n">
        <v>0.07000000000000001</v>
      </c>
      <c r="H10" s="12" t="n">
        <v>8</v>
      </c>
      <c r="I10" s="12" t="n">
        <v>1</v>
      </c>
      <c r="J10" s="12" t="n">
        <v>0</v>
      </c>
      <c r="K10" s="17" t="n">
        <v>2</v>
      </c>
      <c r="L10" s="16" t="inlineStr">
        <is>
          <t>Green</t>
        </is>
      </c>
      <c r="M10" s="14" t="inlineStr">
        <is>
          <t>2 items awaiting AI governance (CDO vacant).</t>
        </is>
      </c>
    </row>
    <row r="11" ht="22" customHeight="1">
      <c r="A11" s="3" t="inlineStr">
        <is>
          <t>AI/ML Platform</t>
        </is>
      </c>
      <c r="B11" s="4" t="inlineStr">
        <is>
          <t>Q1 2025</t>
        </is>
      </c>
      <c r="C11" s="5" t="n">
        <v>30</v>
      </c>
      <c r="D11" s="5" t="n">
        <v>18</v>
      </c>
      <c r="E11" s="6">
        <f>D11/C11</f>
        <v/>
      </c>
      <c r="F11" s="6" t="n">
        <v>0.45</v>
      </c>
      <c r="G11" s="6" t="n">
        <v>0.4</v>
      </c>
      <c r="H11" s="5" t="n">
        <v>0</v>
      </c>
      <c r="I11" s="5" t="n">
        <v>0</v>
      </c>
      <c r="J11" s="5" t="n">
        <v>0</v>
      </c>
      <c r="K11" s="7" t="n">
        <v>6</v>
      </c>
      <c r="L11" s="8" t="inlineStr">
        <is>
          <t>Red</t>
        </is>
      </c>
      <c r="M11" s="9" t="inlineStr">
        <is>
          <t>6 features blocked by absent CDO sponsor. Zero production deployments.</t>
        </is>
      </c>
    </row>
    <row r="12" ht="22" customHeight="1">
      <c r="A12" s="10" t="inlineStr">
        <is>
          <t>AI/ML Platform</t>
        </is>
      </c>
      <c r="B12" s="11" t="inlineStr">
        <is>
          <t>Q2 2025</t>
        </is>
      </c>
      <c r="C12" s="12" t="n">
        <v>28</v>
      </c>
      <c r="D12" s="12" t="n">
        <v>14</v>
      </c>
      <c r="E12" s="13">
        <f>D12/C12</f>
        <v/>
      </c>
      <c r="F12" s="13" t="n">
        <v>0.48</v>
      </c>
      <c r="G12" s="13" t="n">
        <v>0.44</v>
      </c>
      <c r="H12" s="12" t="n">
        <v>0</v>
      </c>
      <c r="I12" s="12" t="n">
        <v>0</v>
      </c>
      <c r="J12" s="12" t="n">
        <v>0</v>
      </c>
      <c r="K12" s="7" t="n">
        <v>8</v>
      </c>
      <c r="L12" s="8" t="inlineStr">
        <is>
          <t>Red</t>
        </is>
      </c>
      <c r="M12" s="14" t="inlineStr">
        <is>
          <t>Google PSO engagement ended. Knowledge transfer incomplete.</t>
        </is>
      </c>
    </row>
    <row r="13" ht="22" customHeight="1">
      <c r="A13" s="3" t="inlineStr">
        <is>
          <t>AI/ML Platform</t>
        </is>
      </c>
      <c r="B13" s="4" t="inlineStr">
        <is>
          <t>Q3 2025</t>
        </is>
      </c>
      <c r="C13" s="5" t="n">
        <v>25</v>
      </c>
      <c r="D13" s="5" t="n">
        <v>12</v>
      </c>
      <c r="E13" s="6">
        <f>D13/C13</f>
        <v/>
      </c>
      <c r="F13" s="6" t="n">
        <v>0.52</v>
      </c>
      <c r="G13" s="6" t="n">
        <v>0.48</v>
      </c>
      <c r="H13" s="5" t="n">
        <v>0</v>
      </c>
      <c r="I13" s="5" t="n">
        <v>0</v>
      </c>
      <c r="J13" s="5" t="n">
        <v>0</v>
      </c>
      <c r="K13" s="7" t="n">
        <v>9</v>
      </c>
      <c r="L13" s="8" t="inlineStr">
        <is>
          <t>Red</t>
        </is>
      </c>
      <c r="M13" s="9" t="inlineStr">
        <is>
          <t>9 items require CDO approval. Interim CDO refuses to sign off.</t>
        </is>
      </c>
    </row>
    <row r="14" ht="22" customHeight="1">
      <c r="A14" s="10" t="inlineStr">
        <is>
          <t>AI/ML Platform</t>
        </is>
      </c>
      <c r="B14" s="11" t="inlineStr">
        <is>
          <t>Q4 2025</t>
        </is>
      </c>
      <c r="C14" s="12" t="n">
        <v>22</v>
      </c>
      <c r="D14" s="12" t="n">
        <v>10</v>
      </c>
      <c r="E14" s="13">
        <f>D14/C14</f>
        <v/>
      </c>
      <c r="F14" s="13" t="n">
        <v>0.55</v>
      </c>
      <c r="G14" s="13" t="n">
        <v>0.5</v>
      </c>
      <c r="H14" s="12" t="n">
        <v>0</v>
      </c>
      <c r="I14" s="12" t="n">
        <v>0</v>
      </c>
      <c r="J14" s="12" t="n">
        <v>0</v>
      </c>
      <c r="K14" s="7" t="n">
        <v>11</v>
      </c>
      <c r="L14" s="8" t="inlineStr">
        <is>
          <t>Red</t>
        </is>
      </c>
      <c r="M14" s="14" t="inlineStr">
        <is>
          <t>11 CDO-blocked items. 0 deliveries in 12 months. 3 engineers interviewing elsewhere.</t>
        </is>
      </c>
    </row>
    <row r="15" ht="22" customHeight="1">
      <c r="A15" s="3" t="inlineStr">
        <is>
          <t>Client Data Platform</t>
        </is>
      </c>
      <c r="B15" s="4" t="inlineStr">
        <is>
          <t>Q1 2025</t>
        </is>
      </c>
      <c r="C15" s="5" t="n">
        <v>35</v>
      </c>
      <c r="D15" s="5" t="n">
        <v>22</v>
      </c>
      <c r="E15" s="6">
        <f>D15/C15</f>
        <v/>
      </c>
      <c r="F15" s="6" t="n">
        <v>0.38</v>
      </c>
      <c r="G15" s="6" t="n">
        <v>0.34</v>
      </c>
      <c r="H15" s="5" t="n">
        <v>0</v>
      </c>
      <c r="I15" s="5" t="n">
        <v>2</v>
      </c>
      <c r="J15" s="5" t="n">
        <v>0</v>
      </c>
      <c r="K15" s="5" t="n">
        <v>0</v>
      </c>
      <c r="L15" s="8" t="inlineStr">
        <is>
          <t>Red</t>
        </is>
      </c>
      <c r="M15" s="9" t="inlineStr">
        <is>
          <t>Team lead vacancy month 2. Wipro PM running squad.</t>
        </is>
      </c>
    </row>
    <row r="16" ht="22" customHeight="1">
      <c r="A16" s="10" t="inlineStr">
        <is>
          <t>Client Data Platform</t>
        </is>
      </c>
      <c r="B16" s="11" t="inlineStr">
        <is>
          <t>Q2 2025</t>
        </is>
      </c>
      <c r="C16" s="12" t="n">
        <v>32</v>
      </c>
      <c r="D16" s="12" t="n">
        <v>19</v>
      </c>
      <c r="E16" s="13">
        <f>D16/C16</f>
        <v/>
      </c>
      <c r="F16" s="13" t="n">
        <v>0.4</v>
      </c>
      <c r="G16" s="13" t="n">
        <v>0.36</v>
      </c>
      <c r="H16" s="12" t="n">
        <v>0</v>
      </c>
      <c r="I16" s="12" t="n">
        <v>3</v>
      </c>
      <c r="J16" s="12" t="n">
        <v>0</v>
      </c>
      <c r="K16" s="12" t="n">
        <v>0</v>
      </c>
      <c r="L16" s="8" t="inlineStr">
        <is>
          <t>Red</t>
        </is>
      </c>
      <c r="M16" s="14" t="inlineStr">
        <is>
          <t>Golden record stalled. Wipro scope change added cost without delivery.</t>
        </is>
      </c>
    </row>
    <row r="17" ht="22" customHeight="1">
      <c r="A17" s="3" t="inlineStr">
        <is>
          <t>Client Data Platform</t>
        </is>
      </c>
      <c r="B17" s="4" t="inlineStr">
        <is>
          <t>Q3 2025</t>
        </is>
      </c>
      <c r="C17" s="5" t="n">
        <v>30</v>
      </c>
      <c r="D17" s="5" t="n">
        <v>18</v>
      </c>
      <c r="E17" s="6">
        <f>D17/C17</f>
        <v/>
      </c>
      <c r="F17" s="6" t="n">
        <v>0.42</v>
      </c>
      <c r="G17" s="6" t="n">
        <v>0.38</v>
      </c>
      <c r="H17" s="5" t="n">
        <v>0</v>
      </c>
      <c r="I17" s="5" t="n">
        <v>2</v>
      </c>
      <c r="J17" s="5" t="n">
        <v>0</v>
      </c>
      <c r="K17" s="5" t="n">
        <v>0</v>
      </c>
      <c r="L17" s="8" t="inlineStr">
        <is>
          <t>Red</t>
        </is>
      </c>
      <c r="M17" s="9" t="inlineStr">
        <is>
          <t>Data pipeline POC attempted. Wipro delivered incomplete.</t>
        </is>
      </c>
    </row>
    <row r="18" ht="22" customHeight="1">
      <c r="A18" s="10" t="inlineStr">
        <is>
          <t>Client Data Platform</t>
        </is>
      </c>
      <c r="B18" s="11" t="inlineStr">
        <is>
          <t>Q4 2025</t>
        </is>
      </c>
      <c r="C18" s="12" t="n">
        <v>28</v>
      </c>
      <c r="D18" s="12" t="n">
        <v>16</v>
      </c>
      <c r="E18" s="13">
        <f>D18/C18</f>
        <v/>
      </c>
      <c r="F18" s="13" t="n">
        <v>0.44</v>
      </c>
      <c r="G18" s="13" t="n">
        <v>0.4</v>
      </c>
      <c r="H18" s="12" t="n">
        <v>0</v>
      </c>
      <c r="I18" s="12" t="n">
        <v>4</v>
      </c>
      <c r="J18" s="12" t="n">
        <v>0</v>
      </c>
      <c r="K18" s="12" t="n">
        <v>0</v>
      </c>
      <c r="L18" s="8" t="inlineStr">
        <is>
          <t>Red</t>
        </is>
      </c>
      <c r="M18" s="14" t="inlineStr">
        <is>
          <t>3-day reporting lag unresolved. Same root cause as Q1. No progress.</t>
        </is>
      </c>
    </row>
    <row r="19" ht="22" customHeight="1">
      <c r="A19" s="3" t="inlineStr">
        <is>
          <t>Compliance &amp; Regulatory</t>
        </is>
      </c>
      <c r="B19" s="4" t="inlineStr">
        <is>
          <t>Q1 2025</t>
        </is>
      </c>
      <c r="C19" s="5" t="n">
        <v>20</v>
      </c>
      <c r="D19" s="5" t="n">
        <v>14</v>
      </c>
      <c r="E19" s="6">
        <f>D19/C19</f>
        <v/>
      </c>
      <c r="F19" s="6" t="n">
        <v>0.22</v>
      </c>
      <c r="G19" s="6" t="n">
        <v>0.18</v>
      </c>
      <c r="H19" s="5" t="n">
        <v>0</v>
      </c>
      <c r="I19" s="5" t="n">
        <v>1</v>
      </c>
      <c r="J19" s="5" t="n">
        <v>0</v>
      </c>
      <c r="K19" s="5" t="n">
        <v>0</v>
      </c>
      <c r="L19" s="15" t="inlineStr">
        <is>
          <t>Amber</t>
        </is>
      </c>
      <c r="M19" s="9" t="inlineStr">
        <is>
          <t>MAS FEAT gap analysis delivered (Deloitte). No implementation started.</t>
        </is>
      </c>
    </row>
    <row r="20" ht="22" customHeight="1">
      <c r="A20" s="10" t="inlineStr">
        <is>
          <t>Compliance &amp; Regulatory</t>
        </is>
      </c>
      <c r="B20" s="11" t="inlineStr">
        <is>
          <t>Q2 2025</t>
        </is>
      </c>
      <c r="C20" s="12" t="n">
        <v>18</v>
      </c>
      <c r="D20" s="12" t="n">
        <v>12</v>
      </c>
      <c r="E20" s="13">
        <f>D20/C20</f>
        <v/>
      </c>
      <c r="F20" s="13" t="n">
        <v>0.24</v>
      </c>
      <c r="G20" s="13" t="n">
        <v>0.2</v>
      </c>
      <c r="H20" s="12" t="n">
        <v>0</v>
      </c>
      <c r="I20" s="12" t="n">
        <v>1</v>
      </c>
      <c r="J20" s="12" t="n">
        <v>0</v>
      </c>
      <c r="K20" s="12" t="n">
        <v>0</v>
      </c>
      <c r="L20" s="8" t="inlineStr">
        <is>
          <t>Red</t>
        </is>
      </c>
      <c r="M20" s="14" t="inlineStr">
        <is>
          <t>MAS deadline Dec 2025 confirmed. Deloitte 180-page requirements doc.</t>
        </is>
      </c>
    </row>
    <row r="21" ht="22" customHeight="1">
      <c r="A21" s="3" t="inlineStr">
        <is>
          <t>Compliance &amp; Regulatory</t>
        </is>
      </c>
      <c r="B21" s="4" t="inlineStr">
        <is>
          <t>Q3 2025</t>
        </is>
      </c>
      <c r="C21" s="5" t="n">
        <v>22</v>
      </c>
      <c r="D21" s="5" t="n">
        <v>15</v>
      </c>
      <c r="E21" s="6">
        <f>D21/C21</f>
        <v/>
      </c>
      <c r="F21" s="6" t="n">
        <v>0.2</v>
      </c>
      <c r="G21" s="6" t="n">
        <v>0.16</v>
      </c>
      <c r="H21" s="5" t="n">
        <v>0</v>
      </c>
      <c r="I21" s="5" t="n">
        <v>0</v>
      </c>
      <c r="J21" s="5" t="n">
        <v>0</v>
      </c>
      <c r="K21" s="5" t="n">
        <v>0</v>
      </c>
      <c r="L21" s="8" t="inlineStr">
        <is>
          <t>Red</t>
        </is>
      </c>
      <c r="M21" s="9" t="inlineStr">
        <is>
          <t>Implementation sprint started. 8 weeks behind plan.</t>
        </is>
      </c>
    </row>
    <row r="22" ht="22" customHeight="1">
      <c r="A22" s="10" t="inlineStr">
        <is>
          <t>Compliance &amp; Regulatory</t>
        </is>
      </c>
      <c r="B22" s="11" t="inlineStr">
        <is>
          <t>Q4 2025</t>
        </is>
      </c>
      <c r="C22" s="12" t="n">
        <v>20</v>
      </c>
      <c r="D22" s="12" t="n">
        <v>13</v>
      </c>
      <c r="E22" s="13">
        <f>D22/C22</f>
        <v/>
      </c>
      <c r="F22" s="13" t="n">
        <v>0.26</v>
      </c>
      <c r="G22" s="13" t="n">
        <v>0.22</v>
      </c>
      <c r="H22" s="12" t="n">
        <v>0</v>
      </c>
      <c r="I22" s="12" t="n">
        <v>1</v>
      </c>
      <c r="J22" s="12" t="n">
        <v>0</v>
      </c>
      <c r="K22" s="12" t="n">
        <v>0</v>
      </c>
      <c r="L22" s="8" t="inlineStr">
        <is>
          <t>Red</t>
        </is>
      </c>
      <c r="M22" s="14" t="inlineStr">
        <is>
          <t>MAS deadline MISSED. Dec 2025. Regulatory notice received.</t>
        </is>
      </c>
    </row>
    <row r="23" ht="22" customHeight="1">
      <c r="A23" s="3" t="inlineStr">
        <is>
          <t>Risk Technology</t>
        </is>
      </c>
      <c r="B23" s="4" t="inlineStr">
        <is>
          <t>Q1 2025</t>
        </is>
      </c>
      <c r="C23" s="5" t="n">
        <v>48</v>
      </c>
      <c r="D23" s="5" t="n">
        <v>42</v>
      </c>
      <c r="E23" s="6">
        <f>D23/C23</f>
        <v/>
      </c>
      <c r="F23" s="6" t="n">
        <v>0.14</v>
      </c>
      <c r="G23" s="6" t="n">
        <v>0.1</v>
      </c>
      <c r="H23" s="5" t="n">
        <v>4</v>
      </c>
      <c r="I23" s="5" t="n">
        <v>1</v>
      </c>
      <c r="J23" s="5" t="n">
        <v>0</v>
      </c>
      <c r="K23" s="17" t="n">
        <v>2</v>
      </c>
      <c r="L23" s="16" t="inlineStr">
        <is>
          <t>Green</t>
        </is>
      </c>
      <c r="M23" s="9" t="inlineStr">
        <is>
          <t>Solid. 2 CDO-dependent AI features blocked.</t>
        </is>
      </c>
    </row>
    <row r="24" ht="22" customHeight="1">
      <c r="A24" s="10" t="inlineStr">
        <is>
          <t>Risk Technology</t>
        </is>
      </c>
      <c r="B24" s="11" t="inlineStr">
        <is>
          <t>Q2 2025</t>
        </is>
      </c>
      <c r="C24" s="12" t="n">
        <v>50</v>
      </c>
      <c r="D24" s="12" t="n">
        <v>44</v>
      </c>
      <c r="E24" s="13">
        <f>D24/C24</f>
        <v/>
      </c>
      <c r="F24" s="13" t="n">
        <v>0.12</v>
      </c>
      <c r="G24" s="13" t="n">
        <v>0.08</v>
      </c>
      <c r="H24" s="12" t="n">
        <v>5</v>
      </c>
      <c r="I24" s="12" t="n">
        <v>1</v>
      </c>
      <c r="J24" s="12" t="n">
        <v>0</v>
      </c>
      <c r="K24" s="17" t="n">
        <v>3</v>
      </c>
      <c r="L24" s="15" t="inlineStr">
        <is>
          <t>Amber</t>
        </is>
      </c>
      <c r="M24" s="14" t="inlineStr">
        <is>
          <t>Model validation backlog growing.</t>
        </is>
      </c>
    </row>
    <row r="25" ht="22" customHeight="1">
      <c r="A25" s="3" t="inlineStr">
        <is>
          <t>Risk Technology</t>
        </is>
      </c>
      <c r="B25" s="4" t="inlineStr">
        <is>
          <t>Q3 2025</t>
        </is>
      </c>
      <c r="C25" s="5" t="n">
        <v>46</v>
      </c>
      <c r="D25" s="5" t="n">
        <v>40</v>
      </c>
      <c r="E25" s="6">
        <f>D25/C25</f>
        <v/>
      </c>
      <c r="F25" s="6" t="n">
        <v>0.15</v>
      </c>
      <c r="G25" s="6" t="n">
        <v>0.12</v>
      </c>
      <c r="H25" s="5" t="n">
        <v>4</v>
      </c>
      <c r="I25" s="5" t="n">
        <v>2</v>
      </c>
      <c r="J25" s="5" t="n">
        <v>0</v>
      </c>
      <c r="K25" s="17" t="n">
        <v>4</v>
      </c>
      <c r="L25" s="15" t="inlineStr">
        <is>
          <t>Amber</t>
        </is>
      </c>
      <c r="M25" s="9" t="inlineStr">
        <is>
          <t>4 AI risk overlays blocked pending CDO.</t>
        </is>
      </c>
    </row>
    <row r="26" ht="22" customHeight="1">
      <c r="A26" s="10" t="inlineStr">
        <is>
          <t>Risk Technology</t>
        </is>
      </c>
      <c r="B26" s="11" t="inlineStr">
        <is>
          <t>Q4 2025</t>
        </is>
      </c>
      <c r="C26" s="12" t="n">
        <v>48</v>
      </c>
      <c r="D26" s="12" t="n">
        <v>41</v>
      </c>
      <c r="E26" s="13">
        <f>D26/C26</f>
        <v/>
      </c>
      <c r="F26" s="13" t="n">
        <v>0.14</v>
      </c>
      <c r="G26" s="13" t="n">
        <v>0.11</v>
      </c>
      <c r="H26" s="12" t="n">
        <v>5</v>
      </c>
      <c r="I26" s="12" t="n">
        <v>1</v>
      </c>
      <c r="J26" s="12" t="n">
        <v>0</v>
      </c>
      <c r="K26" s="17" t="n">
        <v>5</v>
      </c>
      <c r="L26" s="15" t="inlineStr">
        <is>
          <t>Amber</t>
        </is>
      </c>
      <c r="M26" s="14" t="inlineStr">
        <is>
          <t>5 features awaiting CDO. Regulatory model validation deadline Q1 2026 at risk.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