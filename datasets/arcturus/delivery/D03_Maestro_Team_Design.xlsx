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estro Team Desig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£#,##0.0"/>
  </numFmts>
  <fonts count="6">
    <font>
      <name val="Calibri"/>
      <family val="2"/>
      <color theme="1"/>
      <sz val="11"/>
      <scheme val="minor"/>
    </font>
    <font>
      <name val="Arial"/>
      <b val="1"/>
      <color rgb="001A3A5C"/>
      <sz val="12"/>
    </font>
    <font>
      <name val="Arial"/>
      <b val="1"/>
      <color rgb="00FFFFFF"/>
      <sz val="9"/>
    </font>
    <font>
      <name val="Arial"/>
      <b val="1"/>
      <sz val="9"/>
    </font>
    <font>
      <name val="Arial"/>
      <sz val="9"/>
    </font>
    <font>
      <name val="Arial"/>
      <b val="1"/>
      <color rgb="001A3A5C"/>
      <sz val="11"/>
    </font>
  </fonts>
  <fills count="8">
    <fill>
      <patternFill/>
    </fill>
    <fill>
      <patternFill patternType="gray125"/>
    </fill>
    <fill>
      <patternFill patternType="solid">
        <fgColor rgb="00E8F0F8"/>
      </patternFill>
    </fill>
    <fill>
      <patternFill patternType="solid">
        <fgColor rgb="001A3A5C"/>
      </patternFill>
    </fill>
    <fill>
      <patternFill patternType="solid">
        <fgColor rgb="00FFFFFF"/>
      </patternFill>
    </fill>
    <fill>
      <patternFill patternType="solid">
        <fgColor rgb="00E8F5E9"/>
      </patternFill>
    </fill>
    <fill>
      <patternFill patternType="solid">
        <fgColor rgb="00F2F7F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164" fontId="3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164" fontId="5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24" customWidth="1" min="1" max="1"/>
    <col width="32" customWidth="1" min="2" max="2"/>
    <col width="24" customWidth="1" min="3" max="3"/>
    <col width="16" customWidth="1" min="4" max="4"/>
    <col width="24" customWidth="1" min="5" max="5"/>
    <col width="10" customWidth="1" min="6" max="6"/>
    <col width="14" customWidth="1" min="7" max="7"/>
    <col width="24" customWidth="1" min="8" max="8"/>
  </cols>
  <sheetData>
    <row r="1" ht="16" customHeight="1">
      <c r="A1" s="1" t="inlineStr">
        <is>
          <t>ARCTURUS — Proposed Maestro Team Design (Replaces 50+ Consultants)</t>
        </is>
      </c>
    </row>
    <row r="2" ht="32" customHeight="1">
      <c r="A2" s="2" t="inlineStr">
        <is>
          <t>Maestro Role</t>
        </is>
      </c>
      <c r="B2" s="2" t="inlineStr">
        <is>
          <t>Scope</t>
        </is>
      </c>
      <c r="C2" s="2" t="inlineStr">
        <is>
          <t>Replaces</t>
        </is>
      </c>
      <c r="D2" s="2" t="inlineStr">
        <is>
          <t>Annual
Cost Replaced (£M)</t>
        </is>
      </c>
      <c r="E2" s="2" t="inlineStr">
        <is>
          <t>Knowledge
Area</t>
        </is>
      </c>
      <c r="F2" s="2" t="inlineStr">
        <is>
          <t>Wave</t>
        </is>
      </c>
      <c r="G2" s="2" t="inlineStr">
        <is>
          <t>Engagement
Duration</t>
        </is>
      </c>
      <c r="H2" s="2" t="inlineStr">
        <is>
          <t>Success Metric</t>
        </is>
      </c>
    </row>
    <row r="3" ht="28" customHeight="1">
      <c r="A3" s="3" t="inlineStr">
        <is>
          <t>Delivery Maestro — OMS</t>
        </is>
      </c>
      <c r="B3" s="4" t="inlineStr">
        <is>
          <t>Govern Bloomberg AIM relationship. Build internal OMS capability. Reduce vendor dependency.</t>
        </is>
      </c>
      <c r="C3" s="4" t="inlineStr">
        <is>
          <t>12-14 Bloomberg LP engineers</t>
        </is>
      </c>
      <c r="D3" s="5" t="n">
        <v>7.2</v>
      </c>
      <c r="E3" s="4" t="inlineStr">
        <is>
          <t>OMS architecture, Bloomberg AIM API, trade lifecycle</t>
        </is>
      </c>
      <c r="F3" s="6" t="inlineStr">
        <is>
          <t>Wave 1</t>
        </is>
      </c>
      <c r="G3" s="4" t="inlineStr">
        <is>
          <t>18 months</t>
        </is>
      </c>
      <c r="H3" s="4" t="inlineStr">
        <is>
          <t>OMS change capability internal. Bloomberg dependency ratio &lt;40%.</t>
        </is>
      </c>
    </row>
    <row r="4" ht="28" customHeight="1">
      <c r="A4" s="7" t="inlineStr">
        <is>
          <t>Delivery Maestro — Data &amp; AI</t>
        </is>
      </c>
      <c r="B4" s="8" t="inlineStr">
        <is>
          <t>Build MLOps foundation. Govern AI initiative delivery. Establish golden record.</t>
        </is>
      </c>
      <c r="C4" s="8" t="inlineStr">
        <is>
          <t>8-10 Wipro + Google PSO</t>
        </is>
      </c>
      <c r="D4" s="5" t="n">
        <v>5.6</v>
      </c>
      <c r="E4" s="8" t="inlineStr">
        <is>
          <t>MLOps, data engineering, AI governance, golden record</t>
        </is>
      </c>
      <c r="F4" s="6" t="inlineStr">
        <is>
          <t>Wave 1</t>
        </is>
      </c>
      <c r="G4" s="8" t="inlineStr">
        <is>
          <t>24 months</t>
        </is>
      </c>
      <c r="H4" s="8" t="inlineStr">
        <is>
          <t>3 AI initiatives in production. Data pipeline automated. Reporting lag &lt;4hrs.</t>
        </is>
      </c>
    </row>
    <row r="5" ht="28" customHeight="1">
      <c r="A5" s="3" t="inlineStr">
        <is>
          <t>Delivery Maestro — Client Platform</t>
        </is>
      </c>
      <c r="B5" s="4" t="inlineStr">
        <is>
          <t>Transfer FSC capability internally. Exit Wipro. Build internal Salesforce admin.</t>
        </is>
      </c>
      <c r="C5" s="4" t="inlineStr">
        <is>
          <t>7 Wipro Salesforce team</t>
        </is>
      </c>
      <c r="D5" s="5" t="n">
        <v>3.2</v>
      </c>
      <c r="E5" s="4" t="inlineStr">
        <is>
          <t>Salesforce FSC, CRM, client data, adoption programmes</t>
        </is>
      </c>
      <c r="F5" s="6" t="inlineStr">
        <is>
          <t>Wave 1</t>
        </is>
      </c>
      <c r="G5" s="4" t="inlineStr">
        <is>
          <t>12 months</t>
        </is>
      </c>
      <c r="H5" s="4" t="inlineStr">
        <is>
          <t>FSC adoption &gt;70%. Internal team owns all deployments. Wipro exited.</t>
        </is>
      </c>
    </row>
    <row r="6" ht="28" customHeight="1">
      <c r="A6" s="7" t="inlineStr">
        <is>
          <t>Delivery Maestro — Regulatory Tech</t>
        </is>
      </c>
      <c r="B6" s="8" t="inlineStr">
        <is>
          <t>Build internal MAS FEAT compliance capability. Exit Deloitte dependency.</t>
        </is>
      </c>
      <c r="C6" s="8" t="inlineStr">
        <is>
          <t>5 Deloitte consultants</t>
        </is>
      </c>
      <c r="D6" s="5" t="n">
        <v>2.6</v>
      </c>
      <c r="E6" s="8" t="inlineStr">
        <is>
          <t>MAS regulatory, compliance automation, FCA requirements</t>
        </is>
      </c>
      <c r="F6" s="6" t="inlineStr">
        <is>
          <t>Wave 1</t>
        </is>
      </c>
      <c r="G6" s="8" t="inlineStr">
        <is>
          <t>12 months</t>
        </is>
      </c>
      <c r="H6" s="8" t="inlineStr">
        <is>
          <t>MAS FEAT compliant. Internal team capable of next audit without external support.</t>
        </is>
      </c>
    </row>
    <row r="7" ht="28" customHeight="1">
      <c r="A7" s="3" t="inlineStr">
        <is>
          <t>Delivery Maestro — Risk Technology</t>
        </is>
      </c>
      <c r="B7" s="4" t="inlineStr">
        <is>
          <t>Establish model risk governance. Support CDO appointment. Unblock AI-006.</t>
        </is>
      </c>
      <c r="C7" s="4" t="inlineStr">
        <is>
          <t>4 Infosys risk tech</t>
        </is>
      </c>
      <c r="D7" s="5" t="n">
        <v>1.8</v>
      </c>
      <c r="E7" s="4" t="inlineStr">
        <is>
          <t>Model risk, Aladdin enhancement, regulatory model validation</t>
        </is>
      </c>
      <c r="F7" s="9" t="inlineStr">
        <is>
          <t>Wave 2</t>
        </is>
      </c>
      <c r="G7" s="4" t="inlineStr">
        <is>
          <t>18 months</t>
        </is>
      </c>
      <c r="H7" s="4" t="inlineStr">
        <is>
          <t>Model risk framework established. 5 AI initiatives unblocked.</t>
        </is>
      </c>
    </row>
    <row r="8" ht="28" customHeight="1">
      <c r="A8" s="7" t="inlineStr">
        <is>
          <t>Architecture Maestro</t>
        </is>
      </c>
      <c r="B8" s="8" t="inlineStr">
        <is>
          <t>Replace contractor EA leadership. Establish permanent architecture governance.</t>
        </is>
      </c>
      <c r="C8" s="8" t="inlineStr">
        <is>
          <t>4 contractors (EA function)</t>
        </is>
      </c>
      <c r="D8" s="5" t="n">
        <v>1.8</v>
      </c>
      <c r="E8" s="8" t="inlineStr">
        <is>
          <t>Enterprise architecture, technology strategy, vendor governance</t>
        </is>
      </c>
      <c r="F8" s="6" t="inlineStr">
        <is>
          <t>Wave 1</t>
        </is>
      </c>
      <c r="G8" s="8" t="inlineStr">
        <is>
          <t>Permanent knowledge transfer, 12 months active</t>
        </is>
      </c>
      <c r="H8" s="8" t="inlineStr">
        <is>
          <t>Architecture decisions documented. No contractor in permanent role.</t>
        </is>
      </c>
    </row>
    <row r="9">
      <c r="A9" s="10" t="inlineStr">
        <is>
          <t>TOTAL CONSULTING SPEND RECOVERABLE</t>
        </is>
      </c>
      <c r="D9" s="11">
        <f>SUM(D3:D8)</f>
        <v/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2026-04-15T01:16:47Z</dcterms:created>
  <dcterms:modified xsi:type="dcterms:W3CDTF">2026-04-15T01:16:47Z</dcterms:modified>
</cp:coreProperties>
</file>