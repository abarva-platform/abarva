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a763f3b62468c" /></Relationships>
</file>

<file path=xl/workbook.xml><?xml version="1.0" encoding="utf-8"?>
<workbook xmlns="http://schemas.openxmlformats.org/spreadsheetml/2006/main">
  <sheets>
    <sheet xmlns:r="http://schemas.openxmlformats.org/officeDocument/2006/relationships" name="Finance" sheetId="1" r:id="R91cba1d89ba340f2"/>
    <sheet xmlns:r="http://schemas.openxmlformats.org/officeDocument/2006/relationships" name="Quarter finance" sheetId="2" r:id="R292713ad4dbe486d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5">
    <numFmt numFmtId="200" formatCode="#,#0.00"/>
    <numFmt numFmtId="201" formatCode="#,##0.00"/>
    <numFmt numFmtId="202" formatCode="&quot;$&quot;#,##0;(&quot;$&quot;#,##0);&quot;-&quot;"/>
    <numFmt numFmtId="203" formatCode="#,##0"/>
    <numFmt numFmtId="204" formatCode="0.0%"/>
  </numFmts>
  <fonts count="8">
    <font>
      <sz val="11"/>
      <name val="Carlito"/>
    </font>
    <font>
      <sz val="10"/>
      <color rgb="FF17283C"/>
      <name val="Arial"/>
    </font>
    <font>
      <b/>
      <sz val="14"/>
      <color rgb="FF000000"/>
      <name val="Arial"/>
    </font>
    <font>
      <i/>
      <sz val="10"/>
      <color rgb="FF5D6877"/>
      <name val="Arial"/>
    </font>
    <font>
      <b/>
      <sz val="10"/>
      <color rgb="FFFFFFFF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728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0" borderId="0" xfId="0" applyNumberFormat="1" applyFont="1" applyFill="1" applyBorder="1"/>
    <xf numFmtId="0" fontId="1" fillId="2" borderId="0" xfId="0" applyNumberFormat="1" applyFont="1" applyFill="1" applyBorder="1"/>
    <xf numFmtId="0" fontId="4" fillId="2" borderId="0" xfId="0" applyNumberFormat="1" applyFont="1" applyFill="1" applyBorder="1"/>
    <xf numFmtId="0" fontId="4" fillId="2" borderId="0" xfId="0" applyNumberFormat="1" applyFont="1" applyFill="1" applyBorder="1" applyAlignment="1">
      <alignment wrapText="1"/>
    </xf>
    <xf numFmtId="0" fontId="4" fillId="2" borderId="0" xfId="0" applyNumberFormat="1" applyFont="1" applyFill="1" applyBorder="1" applyAlignment="1">
      <alignment horizont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201" fontId="1" fillId="0" borderId="0" xfId="0" applyNumberFormat="1" applyFont="1" applyFill="1" applyBorder="1" applyAlignment="1">
      <alignment vertical="center"/>
    </xf>
    <xf numFmtId="202" fontId="1" fillId="0" borderId="0" xfId="0" applyNumberFormat="1" applyFont="1" applyFill="1" applyBorder="1" applyAlignment="1">
      <alignment vertical="center"/>
    </xf>
    <xf numFmtId="203" fontId="1" fillId="0" borderId="0" xfId="0" applyNumberFormat="1" applyFont="1" applyFill="1" applyBorder="1" applyAlignment="1">
      <alignment vertical="center"/>
    </xf>
    <xf numFmtId="204" fontId="1" fillId="0" borderId="0" xfId="0" applyNumberFormat="1" applyFont="1" applyFill="1" applyBorder="1" applyAlignment="1">
      <alignment vertical="center"/>
    </xf>
    <xf numFmtId="203" fontId="5" fillId="0" borderId="0" xfId="0" applyNumberFormat="1" applyFont="1" applyFill="1" applyBorder="1" applyAlignment="1">
      <alignment vertical="center"/>
    </xf>
    <xf numFmtId="202" fontId="5" fillId="0" borderId="0" xfId="0" applyNumberFormat="1" applyFont="1" applyFill="1" applyBorder="1" applyAlignment="1">
      <alignment vertical="center"/>
    </xf>
    <xf numFmtId="201" fontId="5" fillId="0" borderId="0" xfId="0" applyNumberFormat="1" applyFont="1" applyFill="1" applyBorder="1" applyAlignment="1">
      <alignment vertical="center"/>
    </xf>
    <xf numFmtId="204" fontId="5" fillId="0" borderId="0" xfId="0" applyNumberFormat="1" applyFont="1" applyFill="1" applyBorder="1" applyAlignment="1">
      <alignment vertical="center"/>
    </xf>
    <xf numFmtId="202" fontId="6" fillId="0" borderId="0" xfId="0" applyNumberFormat="1" applyFont="1" applyFill="1" applyBorder="1" applyAlignment="1">
      <alignment vertical="center"/>
    </xf>
    <xf numFmtId="201" fontId="6" fillId="0" borderId="0" xfId="0" applyNumberFormat="1" applyFont="1" applyFill="1" applyBorder="1" applyAlignment="1">
      <alignment vertical="center"/>
    </xf>
    <xf numFmtId="201" fontId="7" fillId="0" borderId="0" xfId="0" applyNumberFormat="1" applyFont="1" applyFill="1" applyBorder="1" applyAlignment="1">
      <alignment vertical="center"/>
    </xf>
    <xf numFmtId="202" fontId="7" fillId="0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8ce3078394484a" /><Relationship Type="http://schemas.openxmlformats.org/officeDocument/2006/relationships/theme" Target="/xl/theme/theme1.xml" Id="R1231ae3b6c4d4fbc" /><Relationship Type="http://schemas.openxmlformats.org/officeDocument/2006/relationships/sharedStrings" Target="/xl/sharedStrings.xml" Id="R6997928b80954a71" /><Relationship Type="http://schemas.openxmlformats.org/officeDocument/2006/relationships/worksheet" Target="/xl/worksheets/sheet1.xml" Id="R91cba1d89ba340f2" /><Relationship Type="http://schemas.openxmlformats.org/officeDocument/2006/relationships/worksheet" Target="/xl/worksheets/sheet2.xml" Id="R292713ad4dbe48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15"/>
  <cols>
    <col min="1" max="1" width="47" hidden="0" customWidth="1"/>
    <col min="2" max="2" width="24" hidden="0" customWidth="1"/>
    <col min="3" max="3" width="27" hidden="0" customWidth="1"/>
    <col min="4" max="4" width="83" hidden="0" customWidth="1"/>
  </cols>
  <sheetData>
    <row r="1">
      <c r="A1" s="1"/>
      <c r="B1" s="1"/>
      <c r="C1" s="1"/>
      <c r="D1" s="1"/>
    </row>
    <row r="2">
      <c r="A2" s="2" t="str">
        <v>Synthetic finance baseline and planning hypotheses</v>
      </c>
      <c r="B2" s="1"/>
      <c r="C2" s="1"/>
      <c r="D2" s="1"/>
    </row>
    <row r="3">
      <c r="A3" s="3" t="str">
        <v>Synthetic — not real data — AbarVa demo</v>
      </c>
      <c r="B3" s="1"/>
      <c r="C3" s="1"/>
      <c r="D3" s="1"/>
    </row>
    <row r="4">
      <c r="A4" s="1"/>
      <c r="B4" s="1"/>
      <c r="C4" s="1"/>
      <c r="D4" s="1"/>
    </row>
    <row r="5" ht="32" customHeight="1">
      <c r="A5" s="8" t="str">
        <v>Measure</v>
      </c>
      <c r="B5" s="8" t="str">
        <v>Value</v>
      </c>
      <c r="C5" s="8" t="str">
        <v>Unit</v>
      </c>
      <c r="D5" s="8" t="str">
        <v>Basis</v>
      </c>
    </row>
    <row r="6" ht="24" customHeight="1">
      <c r="A6" s="10" t="str">
        <v>Original claims trailing year</v>
      </c>
      <c r="B6" s="15" t="n">
        <v>618000</v>
      </c>
      <c r="C6" s="10" t="str">
        <v>claims</v>
      </c>
      <c r="D6" s="10" t="str">
        <v>Cohort baseline, last four submission quarters</v>
      </c>
    </row>
    <row r="7" ht="24" customHeight="1">
      <c r="A7" s="10" t="str">
        <v>Initial denials trailing year</v>
      </c>
      <c r="B7" s="15" t="n">
        <v>97942</v>
      </c>
      <c r="C7" s="10" t="str">
        <v>denials</v>
      </c>
      <c r="D7" s="10" t="str">
        <v>First denial only, original submissions</v>
      </c>
    </row>
    <row r="8" ht="24" customHeight="1">
      <c r="A8" s="10" t="str">
        <v>Write offs trailing year</v>
      </c>
      <c r="B8" s="19" t="n">
        <f>SUM('Quarter finance'!B10:B13)</f>
        <v>48785087.5</v>
      </c>
      <c r="C8" s="10" t="str">
        <v>USD</v>
      </c>
      <c r="D8" s="10" t="str">
        <v>Denial-quarter schedule; net allowed exposure</v>
      </c>
    </row>
    <row r="9" ht="24" customHeight="1">
      <c r="A9" s="10" t="str">
        <v>Recovered cash trailing year</v>
      </c>
      <c r="B9" s="19" t="n">
        <f>SUM('Quarter finance'!C10:C13)</f>
        <v>126841227.5</v>
      </c>
      <c r="C9" s="10" t="str">
        <v>USD</v>
      </c>
      <c r="D9" s="10" t="str">
        <v>Collected receipts from previously denied allowed amounts</v>
      </c>
    </row>
    <row r="10" ht="24" customHeight="1">
      <c r="A10" s="10" t="str">
        <v>Rework hours trailing year</v>
      </c>
      <c r="B10" s="20" t="n">
        <f>SUM('Quarter finance'!D10:D13)</f>
        <v>83250.70000000001</v>
      </c>
      <c r="C10" s="10" t="str">
        <v>hours</v>
      </c>
      <c r="D10" s="10" t="str">
        <v>Denial-quarter schedule</v>
      </c>
    </row>
    <row r="11" ht="24" customHeight="1">
      <c r="A11" s="10" t="str">
        <v>Loaded administrative labour cost</v>
      </c>
      <c r="B11" s="16" t="n">
        <v>41</v>
      </c>
      <c r="C11" s="10" t="str">
        <v>USD per hour</v>
      </c>
      <c r="D11" s="10" t="str">
        <v>Invented internal administrative expense; NOT a ROM delivery rate</v>
      </c>
    </row>
    <row r="12" ht="24" customHeight="1">
      <c r="A12" s="10" t="str">
        <v>Rework labour expense</v>
      </c>
      <c r="B12" s="22" t="n">
        <f>B10*B11</f>
        <v>3413278.7000000007</v>
      </c>
      <c r="C12" s="10" t="str">
        <v>USD</v>
      </c>
      <c r="D12" s="10" t="str">
        <v>Rework hours times loaded administrative labour cost</v>
      </c>
    </row>
    <row r="13" ht="24" customHeight="1">
      <c r="A13" s="10" t="str">
        <v>Collection vendor annual spend</v>
      </c>
      <c r="B13" s="16" t="n">
        <v>385000</v>
      </c>
      <c r="C13" s="10" t="str">
        <v>USD</v>
      </c>
      <c r="D13" s="10" t="str">
        <v>Invented fixed contracted expense; no release proposed</v>
      </c>
    </row>
    <row r="14" ht="24" customHeight="1">
      <c r="A14" s="10" t="str">
        <v>Annual discount rate</v>
      </c>
      <c r="B14" s="18" t="n">
        <v>0.09</v>
      </c>
      <c r="C14" s="10" t="str">
        <v>annual fraction</v>
      </c>
      <c r="D14" s="10" t="str">
        <v>Invented finance planning hypothesis</v>
      </c>
    </row>
    <row r="15" ht="24" customHeight="1">
      <c r="A15" s="10" t="str">
        <v>Days in accounts receivable</v>
      </c>
      <c r="B15" s="15" t="n">
        <v>58</v>
      </c>
      <c r="C15" s="10" t="str">
        <v>days</v>
      </c>
      <c r="D15" s="10" t="str">
        <v>Invented current collection observation</v>
      </c>
    </row>
    <row r="16" ht="24" customHeight="1">
      <c r="A16" s="10" t="str">
        <v>Target days in accounts receivable</v>
      </c>
      <c r="B16" s="15" t="n">
        <v>50</v>
      </c>
      <c r="C16" s="10" t="str">
        <v>days</v>
      </c>
      <c r="D16" s="10" t="str">
        <v>Proposed hypothesis; no realized cash claim</v>
      </c>
    </row>
    <row r="17" ht="24" customHeight="1">
      <c r="A17" s="10" t="str">
        <v>Rework hours per denial</v>
      </c>
      <c r="B17" s="17" t="n">
        <v>0.85</v>
      </c>
      <c r="C17" s="10" t="str">
        <v>hours</v>
      </c>
      <c r="D17" s="10" t="str">
        <v>Invented administrative queue observation</v>
      </c>
    </row>
    <row r="18" ht="24" customHeight="1">
      <c r="A18" s="10" t="str">
        <v>Write off prevention share</v>
      </c>
      <c r="B18" s="18" t="n">
        <v>0.18</v>
      </c>
      <c r="C18" s="10" t="str">
        <v>fraction</v>
      </c>
      <c r="D18" s="10" t="str">
        <v>Proposed hypothesis, owner review required</v>
      </c>
    </row>
    <row r="19" ht="24" customHeight="1">
      <c r="A19" s="10" t="str">
        <v>Attribution</v>
      </c>
      <c r="B19" s="18" t="n">
        <v>0.65</v>
      </c>
      <c r="C19" s="10" t="str">
        <v>fraction</v>
      </c>
      <c r="D19" s="10" t="str">
        <v>Proposed hypothesis, owner review required</v>
      </c>
    </row>
    <row r="20" ht="24" customHeight="1">
      <c r="A20" s="10" t="str">
        <v>Probability</v>
      </c>
      <c r="B20" s="18" t="n">
        <v>0.75</v>
      </c>
      <c r="C20" s="10" t="str">
        <v>fraction</v>
      </c>
      <c r="D20" s="10" t="str">
        <v>Proposed hypothesis, owner review required</v>
      </c>
    </row>
    <row r="21" ht="24" customHeight="1">
      <c r="A21" s="10" t="str">
        <v>Rework reduction share</v>
      </c>
      <c r="B21" s="18" t="n">
        <v>0.22</v>
      </c>
      <c r="C21" s="10" t="str">
        <v>fraction</v>
      </c>
      <c r="D21" s="10" t="str">
        <v>Proposed capacity hypothesis</v>
      </c>
    </row>
    <row r="22" ht="24" customHeight="1">
      <c r="A22" s="10" t="str">
        <v>Benefit start</v>
      </c>
      <c r="B22" s="15" t="n">
        <v>8</v>
      </c>
      <c r="C22" s="10" t="str">
        <v>horizon month</v>
      </c>
      <c r="D22" s="10" t="str">
        <v>Proposed ramp begins after discovery and readiness</v>
      </c>
    </row>
    <row r="23" ht="24" customHeight="1">
      <c r="A23" s="10" t="str">
        <v>Ramp duration</v>
      </c>
      <c r="B23" s="15" t="n">
        <v>6</v>
      </c>
      <c r="C23" s="10" t="str">
        <v>months</v>
      </c>
      <c r="D23" s="10" t="str">
        <v>Proposed linear ramp</v>
      </c>
    </row>
    <row r="24" ht="24" customHeight="1">
      <c r="A24" s="10" t="str">
        <v>Conservative collection lag</v>
      </c>
      <c r="B24" s="15" t="n">
        <v>2</v>
      </c>
      <c r="C24" s="10" t="str">
        <v>whole months</v>
      </c>
      <c r="D24" s="10" t="str">
        <v>Engine cannot price an eight-day difference as a full month</v>
      </c>
    </row>
    <row r="25" ht="24" customHeight="1">
      <c r="A25" s="10" t="str">
        <v>Program budget ceiling</v>
      </c>
      <c r="B25" s="16" t="n">
        <v>2200000</v>
      </c>
      <c r="C25" s="10" t="str">
        <v>USD</v>
      </c>
      <c r="D25" s="10" t="str">
        <v>Ceiling only; investment cost waits for approved ROM</v>
      </c>
    </row>
    <row r="26" ht="24" customHeight="1">
      <c r="A26" s="10" t="str">
        <v>Rework cash value without release</v>
      </c>
      <c r="B26" s="16" t="n">
        <v>0</v>
      </c>
      <c r="C26" s="10" t="str">
        <v>USD</v>
      </c>
      <c r="D26" s="10" t="str">
        <v>No role or contract release exists</v>
      </c>
    </row>
    <row r="27" ht="24" customHeight="1">
      <c r="A27" s="10" t="str">
        <v>Target rework hours per denial</v>
      </c>
      <c r="B27" s="21" t="n">
        <f>B17*(1-B21)</f>
        <v>0.663</v>
      </c>
      <c r="C27" s="10" t="str">
        <v>hours</v>
      </c>
      <c r="D27" s="10" t="str">
        <v>Baseline times one minus proposed reduction</v>
      </c>
    </row>
    <row r="28" ht="24" customHeight="1">
      <c r="A28" s="10" t="str">
        <v>Net receipt conversion</v>
      </c>
      <c r="B28" s="17" t="n">
        <v>1</v>
      </c>
      <c r="C28" s="10" t="str">
        <v>USD per USD</v>
      </c>
      <c r="D28" s="10" t="str">
        <v>Write-offs are already net allowed dollars; not a gross-charge margin</v>
      </c>
    </row>
    <row r="29" ht="24" customHeight="1">
      <c r="A29" s="10" t="str">
        <v>Starting prevention share</v>
      </c>
      <c r="B29" s="18" t="n">
        <v>0</v>
      </c>
      <c r="C29" s="10" t="str">
        <v>fraction</v>
      </c>
      <c r="D29" s="10" t="str">
        <v>Proposed comparator; no existing prevention benefit credited</v>
      </c>
    </row>
    <row r="30" ht="24" customHeight="1">
      <c r="A30" s="10" t="str">
        <v>Write-off share of denied allowed</v>
      </c>
      <c r="B30" s="18" t="n">
        <v>0.25</v>
      </c>
      <c r="C30" s="10" t="str">
        <v>fraction</v>
      </c>
      <c r="D30" s="10" t="str">
        <v>Mature denied allowed disposition, separate from adjustments</v>
      </c>
    </row>
    <row r="31" ht="24" customHeight="1">
      <c r="A31" s="10" t="str">
        <v>Recovery share of denied allowed</v>
      </c>
      <c r="B31" s="18" t="n">
        <v>0.65</v>
      </c>
      <c r="C31" s="10" t="str">
        <v>fraction</v>
      </c>
      <c r="D31" s="10" t="str">
        <v>Existing recovered cash; not incremental benefit</v>
      </c>
    </row>
    <row r="32" ht="24" customHeight="1">
      <c r="A32" s="10" t="str">
        <v>Adjustment share of denied allowed</v>
      </c>
      <c r="B32" s="18" t="n">
        <v>0.1</v>
      </c>
      <c r="C32" s="10" t="str">
        <v>fraction</v>
      </c>
      <c r="D32" s="10" t="str">
        <v>Contractual adjustments; not preventable cash value</v>
      </c>
    </row>
    <row r="35">
      <c r="A35" t="str">
        <v>Prevented write-offs count only when incremental cash is collected; existing recoveries are not counted again.</v>
      </c>
    </row>
    <row r="36">
      <c r="A36" t="str">
        <v>No NPV, ROI or approved investment is asserted before the owner-approved ROM and governed value-engine evaluation.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0" hidden="0" customWidth="1"/>
    <col min="2" max="2" width="24" hidden="0" customWidth="1"/>
    <col min="3" max="3" width="24" hidden="0" customWidth="1"/>
    <col min="4" max="4" width="23" hidden="0" customWidth="1"/>
    <col min="5" max="5" width="25" hidden="0" customWidth="1"/>
    <col min="6" max="6" width="25" hidden="0" customWidth="1"/>
    <col min="7" max="7" width="29" hidden="0" customWidth="1"/>
  </cols>
  <sheetData>
    <row r="1">
      <c r="A1" s="1"/>
      <c r="B1" s="1"/>
      <c r="C1" s="1"/>
      <c r="D1" s="1"/>
      <c r="E1" s="1"/>
      <c r="F1" s="1"/>
      <c r="G1" s="1"/>
    </row>
    <row r="2">
      <c r="A2" s="2" t="str">
        <v>Final denial dispositions by cohort quarter</v>
      </c>
      <c r="B2" s="1"/>
      <c r="C2" s="1"/>
      <c r="D2" s="1"/>
      <c r="E2" s="1"/>
      <c r="F2" s="1"/>
      <c r="G2" s="1"/>
    </row>
    <row r="3">
      <c r="A3" s="3" t="str">
        <v>Synthetic — not real data — AbarVa demo</v>
      </c>
      <c r="B3" s="1"/>
      <c r="C3" s="1"/>
      <c r="D3" s="1"/>
      <c r="E3" s="1"/>
      <c r="F3" s="1"/>
      <c r="G3" s="1"/>
    </row>
    <row r="4">
      <c r="A4" s="1"/>
      <c r="B4" s="1"/>
      <c r="C4" s="1"/>
      <c r="D4" s="1"/>
      <c r="E4" s="1"/>
      <c r="F4" s="1"/>
      <c r="G4" s="1"/>
    </row>
    <row r="5" ht="32" customHeight="1">
      <c r="A5" s="8" t="str">
        <v>Quarter</v>
      </c>
      <c r="B5" s="8" t="str">
        <v>Write offs USD</v>
      </c>
      <c r="C5" s="8" t="str">
        <v>Recovered cash USD</v>
      </c>
      <c r="D5" s="8" t="str">
        <v>Rework hours</v>
      </c>
      <c r="E5" s="8" t="str">
        <v>Labour expense USD</v>
      </c>
      <c r="F5" s="8" t="str">
        <v>Vendor spend USD</v>
      </c>
      <c r="G5" s="8" t="str">
        <v>Net revenue impact USD</v>
      </c>
    </row>
    <row r="6" ht="24" customHeight="1">
      <c r="A6" s="10" t="str">
        <v>2024-Q3</v>
      </c>
      <c r="B6" s="16" t="n">
        <v>10133800</v>
      </c>
      <c r="C6" s="16" t="n">
        <v>26347880</v>
      </c>
      <c r="D6" s="17" t="n">
        <v>17296.65</v>
      </c>
      <c r="E6" s="19" t="n">
        <f>D6*'Finance'!$B$11</f>
        <v>709162.65</v>
      </c>
      <c r="F6" s="12" t="n">
        <v>96250</v>
      </c>
      <c r="G6" s="22" t="n">
        <f>-B6</f>
        <v>-10133800</v>
      </c>
    </row>
    <row r="7" ht="24" customHeight="1">
      <c r="A7" s="10" t="str">
        <v>2024-Q4</v>
      </c>
      <c r="B7" s="16" t="n">
        <v>10496990</v>
      </c>
      <c r="C7" s="16" t="n">
        <v>27292174</v>
      </c>
      <c r="D7" s="17" t="n">
        <v>17911.2</v>
      </c>
      <c r="E7" s="19" t="n">
        <f>D7*'Finance'!$B$11</f>
        <v>734359.2000000001</v>
      </c>
      <c r="F7" s="12" t="n">
        <v>96250</v>
      </c>
      <c r="G7" s="22" t="n">
        <f>-B7</f>
        <v>-10496990</v>
      </c>
    </row>
    <row r="8" ht="24" customHeight="1">
      <c r="A8" s="10" t="str">
        <v>2025-Q1</v>
      </c>
      <c r="B8" s="16" t="n">
        <v>10861717.5</v>
      </c>
      <c r="C8" s="16" t="n">
        <v>28240465.5</v>
      </c>
      <c r="D8" s="17" t="n">
        <v>18535.95</v>
      </c>
      <c r="E8" s="19" t="n">
        <f>D8*'Finance'!$B$11</f>
        <v>759973.9500000001</v>
      </c>
      <c r="F8" s="12" t="n">
        <v>96250</v>
      </c>
      <c r="G8" s="22" t="n">
        <f>-B8</f>
        <v>-10861717.5</v>
      </c>
    </row>
    <row r="9" ht="24" customHeight="1">
      <c r="A9" s="10" t="str">
        <v>2025-Q2</v>
      </c>
      <c r="B9" s="16" t="n">
        <v>11235970</v>
      </c>
      <c r="C9" s="16" t="n">
        <v>29213522</v>
      </c>
      <c r="D9" s="17" t="n">
        <v>19172.6</v>
      </c>
      <c r="E9" s="19" t="n">
        <f>D9*'Finance'!$B$11</f>
        <v>786076.6</v>
      </c>
      <c r="F9" s="12" t="n">
        <v>96250</v>
      </c>
      <c r="G9" s="22" t="n">
        <f>-B9</f>
        <v>-11235970</v>
      </c>
    </row>
    <row r="10" ht="24" customHeight="1">
      <c r="A10" s="10" t="str">
        <v>2025-Q3</v>
      </c>
      <c r="B10" s="16" t="n">
        <v>11613625</v>
      </c>
      <c r="C10" s="16" t="n">
        <v>30195425</v>
      </c>
      <c r="D10" s="17" t="n">
        <v>19818.6</v>
      </c>
      <c r="E10" s="19" t="n">
        <f>D10*'Finance'!$B$11</f>
        <v>812562.6</v>
      </c>
      <c r="F10" s="12" t="n">
        <v>96250</v>
      </c>
      <c r="G10" s="22" t="n">
        <f>-B10</f>
        <v>-11613625</v>
      </c>
    </row>
    <row r="11" ht="24" customHeight="1">
      <c r="A11" s="10" t="str">
        <v>2025-Q4</v>
      </c>
      <c r="B11" s="16" t="n">
        <v>11996567.5</v>
      </c>
      <c r="C11" s="16" t="n">
        <v>31191075.5</v>
      </c>
      <c r="D11" s="17" t="n">
        <v>20472.25</v>
      </c>
      <c r="E11" s="19" t="n">
        <f>D11*'Finance'!$B$11</f>
        <v>839362.25</v>
      </c>
      <c r="F11" s="12" t="n">
        <v>96250</v>
      </c>
      <c r="G11" s="22" t="n">
        <f>-B11</f>
        <v>-11996567.5</v>
      </c>
    </row>
    <row r="12" ht="24" customHeight="1">
      <c r="A12" s="10" t="str">
        <v>2026-Q1</v>
      </c>
      <c r="B12" s="16" t="n">
        <v>12388277.5</v>
      </c>
      <c r="C12" s="16" t="n">
        <v>32209521.5</v>
      </c>
      <c r="D12" s="17" t="n">
        <v>21141.2</v>
      </c>
      <c r="E12" s="19" t="n">
        <f>D12*'Finance'!$B$11</f>
        <v>866789.2000000001</v>
      </c>
      <c r="F12" s="12" t="n">
        <v>96250</v>
      </c>
      <c r="G12" s="22" t="n">
        <f>-B12</f>
        <v>-12388277.5</v>
      </c>
    </row>
    <row r="13" ht="24" customHeight="1">
      <c r="A13" s="10" t="str">
        <v>2026-Q2</v>
      </c>
      <c r="B13" s="16" t="n">
        <v>12786617.5</v>
      </c>
      <c r="C13" s="16" t="n">
        <v>33245205.5</v>
      </c>
      <c r="D13" s="17" t="n">
        <v>21818.65</v>
      </c>
      <c r="E13" s="19" t="n">
        <f>D13*'Finance'!$B$11</f>
        <v>894564.65</v>
      </c>
      <c r="F13" s="12" t="n">
        <v>96250</v>
      </c>
      <c r="G13" s="22" t="n">
        <f>-B13</f>
        <v>-12786617.5</v>
      </c>
    </row>
  </sheetData>
  <pageMargins left="0.7" right="0.7" top="0.75" bottom="0.75" header="0.3" footer="0.3"/>
</worksheet>
</file>