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baf4190b8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804b8401ad49e9"/>
    <x:sheet xmlns:r="http://schemas.openxmlformats.org/officeDocument/2006/relationships" name="Coverage" sheetId="2" r:id="Rcad4fbabf9954ec6"/>
    <x:sheet xmlns:r="http://schemas.openxmlformats.org/officeDocument/2006/relationships" name="Opportunities" sheetId="3" r:id="Re9cc21951b004ea8"/>
    <x:sheet xmlns:r="http://schemas.openxmlformats.org/officeDocument/2006/relationships" name="Levers" sheetId="4" r:id="R89ab7623f0af42bf"/>
    <x:sheet xmlns:r="http://schemas.openxmlformats.org/officeDocument/2006/relationships" name="Sources" sheetId="5" r:id="R498e596ab1324581"/>
    <x:sheet xmlns:r="http://schemas.openxmlformats.org/officeDocument/2006/relationships" name="Checks" sheetId="6" r:id="R45852dbf6189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10">
    <x:font>
      <x:sz val="11"/>
      <x:name val="Carlito"/>
    </x:font>
    <x:font>
      <x:b/>
      <x:sz val="16"/>
      <x:color rgb="FF111827"/>
      <x:name val="Arial"/>
    </x:font>
    <x:font>
      <x:b/>
      <x:sz val="11"/>
      <x:color rgb="FF374151"/>
      <x:name val="Arial"/>
    </x:font>
    <x:font>
      <x:b/>
      <x:sz val="11"/>
      <x:color rgb="FFFFFFFF"/>
      <x:name val="Arial"/>
    </x:font>
    <x:font>
      <x:b/>
      <x:sz val="14"/>
      <x:name val="Arial"/>
    </x:font>
    <x:font>
      <x:b/>
      <x:sz val="10"/>
      <x:color rgb="FF111827"/>
      <x:name val="Arial"/>
    </x:font>
    <x:font>
      <x:sz val="10"/>
      <x:name val="Arial"/>
    </x:font>
    <x:font>
      <x:b/>
      <x:sz val="10"/>
      <x:color rgb="FF374151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55C7D"/>
      </x:patternFill>
    </x:fill>
    <x:fill>
      <x:patternFill patternType="solid">
        <x:fgColor rgb="FF78350F"/>
      </x:patternFill>
    </x:fill>
    <x:fill>
      <x:patternFill patternType="solid">
        <x:fgColor rgb="FF065F46"/>
      </x:patternFill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380c48b804456" /><Relationship Type="http://schemas.openxmlformats.org/officeDocument/2006/relationships/theme" Target="/xl/theme/theme1.xml" Id="R031c9ab1f301410f" /><Relationship Type="http://schemas.openxmlformats.org/officeDocument/2006/relationships/sharedStrings" Target="/xl/sharedStrings.xml" Id="Rb45a819780c44442" /><Relationship Type="http://schemas.openxmlformats.org/officeDocument/2006/relationships/worksheet" Target="/xl/worksheets/sheet1.xml" Id="R29804b8401ad49e9" /><Relationship Type="http://schemas.openxmlformats.org/officeDocument/2006/relationships/worksheet" Target="/xl/worksheets/sheet2.xml" Id="Rcad4fbabf9954ec6" /><Relationship Type="http://schemas.openxmlformats.org/officeDocument/2006/relationships/worksheet" Target="/xl/worksheets/sheet3.xml" Id="Re9cc21951b004ea8" /><Relationship Type="http://schemas.openxmlformats.org/officeDocument/2006/relationships/worksheet" Target="/xl/worksheets/sheet4.xml" Id="R89ab7623f0af42bf" /><Relationship Type="http://schemas.openxmlformats.org/officeDocument/2006/relationships/worksheet" Target="/xl/worksheets/sheet5.xml" Id="R498e596ab1324581" /><Relationship Type="http://schemas.openxmlformats.org/officeDocument/2006/relationships/worksheet" Target="/xl/worksheets/sheet6.xml" Id="R45852dbf61894d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a27eaae8734e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Actual Usage vs Commitment Run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usage</c:v>
          </c:tx>
          <c:marker>
            <c:symbol val="none"/>
          </c:marker>
          <c:cat>
            <c:strRef>
              <c:f>'Summary'!$D$5:$D$16</c:f>
              <c:strCache>
                <c:ptCount val="0"/>
              </c:strCache>
            </c:strRef>
          </c:cat>
          <c:val>
            <c:numRef>
              <c:f>'Summary'!$E$5:$E$16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Commitment run rate</c:v>
          </c:tx>
          <c:marker>
            <c:symbol val="none"/>
          </c:marker>
          <c:cat>
            <c:strRef>
              <c:f>'Summary'!$D$5:$D$16</c:f>
              <c:strCache>
                <c:ptCount val="0"/>
              </c:strCache>
            </c:strRef>
          </c:cat>
          <c:val>
            <c:numRef>
              <c:f>'Summary'!$F$5:$F$16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a27eaae8734e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adf48e348c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560001373291016" hidden="0" customWidth="1"/>
    <x:col min="2" max="2" width="14.779999732971191" hidden="0" customWidth="1"/>
    <x:col min="4" max="4" width="5.889999866485596" hidden="0" customWidth="1"/>
    <x:col min="5" max="5" width="9.670000076293945" hidden="0" customWidth="1"/>
    <x:col min="6" max="6" width="15.4399995803833" hidden="0" customWidth="1"/>
    <x:col min="7" max="7" width="7.559999942779541" hidden="0" customWidth="1"/>
  </x:cols>
  <x:sheetData>
    <x:row r="2" ht="15" hidden="0" customHeight="1">
      <x:c r="A2" s="16" t="str">
        <x:v>Meridian Databricks consumption commitment</x:v>
      </x:c>
      <x:c r="B2" s="17"/>
      <x:c r="C2" s="17"/>
      <x:c r="D2" s="17"/>
      <x:c r="E2" s="17"/>
      <x:c r="F2" s="17"/>
      <x:c r="G2" s="17"/>
    </x:row>
    <x:row r="3" ht="15" hidden="0" customHeight="1">
      <x:c r="A3" s="17"/>
      <x:c r="B3" s="17"/>
      <x:c r="C3" s="17"/>
      <x:c r="D3" s="17"/>
      <x:c r="E3" s="17"/>
      <x:c r="F3" s="17"/>
      <x:c r="G3" s="17"/>
    </x:row>
    <x:row r="4" ht="15" hidden="0" customHeight="1">
      <x:c r="A4" s="18" t="str">
        <x:v>Contract ID</x:v>
      </x:c>
      <x:c r="B4" s="17" t="str">
        <x:v>MER-TECH-DBX-001</x:v>
      </x:c>
      <x:c r="C4" s="17"/>
      <x:c r="D4" s="19" t="str">
        <x:v>Month</x:v>
      </x:c>
      <x:c r="E4" s="19" t="str">
        <x:v>Actual usage</x:v>
      </x:c>
      <x:c r="F4" s="19" t="str">
        <x:v>Commitment run rate</x:v>
      </x:c>
      <x:c r="G4" s="19" t="str">
        <x:v>Utilization</x:v>
      </x:c>
    </x:row>
    <x:row r="5" ht="15" hidden="0" customHeight="1">
      <x:c r="A5" s="18" t="str">
        <x:v>Vendor</x:v>
      </x:c>
      <x:c r="B5" s="17" t="str">
        <x:v>Databricks, Inc.</x:v>
      </x:c>
      <x:c r="C5" s="17"/>
      <x:c r="D5" s="17" t="str">
        <x:v>2025-10</x:v>
      </x:c>
      <x:c r="E5" s="20" t="n">
        <x:v>1400</x:v>
      </x:c>
      <x:c r="F5" s="20" t="n">
        <x:v>129167</x:v>
      </x:c>
      <x:c r="G5" s="21" t="n">
        <x:v>0.0108</x:v>
      </x:c>
    </x:row>
    <x:row r="6" ht="15" hidden="0" customHeight="1">
      <x:c r="A6" s="18" t="str">
        <x:v>Annual commitment</x:v>
      </x:c>
      <x:c r="B6" s="20" t="n">
        <x:v>1550000</x:v>
      </x:c>
      <x:c r="C6" s="17"/>
      <x:c r="D6" s="17" t="str">
        <x:v>2025-11</x:v>
      </x:c>
      <x:c r="E6" s="20" t="n">
        <x:v>1900</x:v>
      </x:c>
      <x:c r="F6" s="20" t="n">
        <x:v>129167</x:v>
      </x:c>
      <x:c r="G6" s="21" t="n">
        <x:v>0.0147</x:v>
      </x:c>
    </x:row>
    <x:row r="7" ht="15" hidden="0" customHeight="1">
      <x:c r="A7" s="18" t="str">
        <x:v>Support fee</x:v>
      </x:c>
      <x:c r="B7" s="20" t="n">
        <x:v>341000</x:v>
      </x:c>
      <x:c r="C7" s="17"/>
      <x:c r="D7" s="17" t="str">
        <x:v>2025-12</x:v>
      </x:c>
      <x:c r="E7" s="20" t="n">
        <x:v>2300</x:v>
      </x:c>
      <x:c r="F7" s="20" t="n">
        <x:v>129167</x:v>
      </x:c>
      <x:c r="G7" s="21" t="n">
        <x:v>0.0178</x:v>
      </x:c>
    </x:row>
    <x:row r="8" ht="15" hidden="0" customHeight="1">
      <x:c r="A8" s="18" t="str">
        <x:v>Total committed value</x:v>
      </x:c>
      <x:c r="B8" s="20" t="n">
        <x:v>7750000</x:v>
      </x:c>
      <x:c r="C8" s="17"/>
      <x:c r="D8" s="17" t="str">
        <x:v>2026-01</x:v>
      </x:c>
      <x:c r="E8" s="20" t="n">
        <x:v>2900</x:v>
      </x:c>
      <x:c r="F8" s="20" t="n">
        <x:v>129167</x:v>
      </x:c>
      <x:c r="G8" s="21" t="n">
        <x:v>0.022400000000000003</x:v>
      </x:c>
    </x:row>
    <x:row r="9" ht="15" hidden="0" customHeight="1">
      <x:c r="A9" s="18" t="str">
        <x:v>Trailing actual usage</x:v>
      </x:c>
      <x:c r="B9" s="20" t="n">
        <x:v>66100</x:v>
      </x:c>
      <x:c r="C9" s="17"/>
      <x:c r="D9" s="17" t="str">
        <x:v>2026-02</x:v>
      </x:c>
      <x:c r="E9" s="20" t="n">
        <x:v>3500</x:v>
      </x:c>
      <x:c r="F9" s="20" t="n">
        <x:v>129167</x:v>
      </x:c>
      <x:c r="G9" s="21" t="n">
        <x:v>0.0271</x:v>
      </x:c>
    </x:row>
    <x:row r="10" ht="15" hidden="0" customHeight="1">
      <x:c r="A10" s="18" t="str">
        <x:v>Commitment utilization</x:v>
      </x:c>
      <x:c r="B10" s="21" t="n">
        <x:v>0.04264516129032258</x:v>
      </x:c>
      <x:c r="C10" s="17"/>
      <x:c r="D10" s="17" t="str">
        <x:v>2026-03</x:v>
      </x:c>
      <x:c r="E10" s="20" t="n">
        <x:v>4300</x:v>
      </x:c>
      <x:c r="F10" s="20" t="n">
        <x:v>129167</x:v>
      </x:c>
      <x:c r="G10" s="21" t="n">
        <x:v>0.0333</x:v>
      </x:c>
    </x:row>
    <x:row r="11" ht="15" hidden="0" customHeight="1">
      <x:c r="A11" s="18" t="str">
        <x:v>Candidate annual opportunity</x:v>
      </x:c>
      <x:c r="B11" s="20" t="n">
        <x:v>1836000</x:v>
      </x:c>
      <x:c r="C11" s="17"/>
      <x:c r="D11" s="17" t="str">
        <x:v>2026-04</x:v>
      </x:c>
      <x:c r="E11" s="20" t="n">
        <x:v>5300</x:v>
      </x:c>
      <x:c r="F11" s="20" t="n">
        <x:v>129167</x:v>
      </x:c>
      <x:c r="G11" s="21" t="n">
        <x:v>0.040999999999999995</x:v>
      </x:c>
    </x:row>
    <x:row r="12" ht="15" hidden="0" customHeight="1">
      <x:c r="A12" s="17"/>
      <x:c r="B12" s="17"/>
      <x:c r="C12" s="17"/>
      <x:c r="D12" s="17" t="str">
        <x:v>2026-05</x:v>
      </x:c>
      <x:c r="E12" s="20" t="n">
        <x:v>7100</x:v>
      </x:c>
      <x:c r="F12" s="20" t="n">
        <x:v>129167</x:v>
      </x:c>
      <x:c r="G12" s="21" t="n">
        <x:v>0.055</x:v>
      </x:c>
    </x:row>
    <x:row r="13" ht="15" hidden="0" customHeight="1">
      <x:c r="A13" s="17"/>
      <x:c r="B13" s="17"/>
      <x:c r="C13" s="17"/>
      <x:c r="D13" s="17" t="str">
        <x:v>2026-06</x:v>
      </x:c>
      <x:c r="E13" s="20" t="n">
        <x:v>8100</x:v>
      </x:c>
      <x:c r="F13" s="20" t="n">
        <x:v>129167</x:v>
      </x:c>
      <x:c r="G13" s="21" t="n">
        <x:v>0.06269999999999999</x:v>
      </x:c>
    </x:row>
    <x:row r="14" ht="15" hidden="0" customHeight="1">
      <x:c r="A14" s="17"/>
      <x:c r="B14" s="17"/>
      <x:c r="C14" s="17"/>
      <x:c r="D14" s="17" t="str">
        <x:v>2026-07</x:v>
      </x:c>
      <x:c r="E14" s="20" t="n">
        <x:v>10600</x:v>
      </x:c>
      <x:c r="F14" s="20" t="n">
        <x:v>129167</x:v>
      </x:c>
      <x:c r="G14" s="21" t="n">
        <x:v>0.0821</x:v>
      </x:c>
    </x:row>
    <x:row r="15" ht="15" hidden="0" customHeight="1">
      <x:c r="A15" s="17"/>
      <x:c r="B15" s="17"/>
      <x:c r="C15" s="17"/>
      <x:c r="D15" s="17" t="str">
        <x:v>2026-08</x:v>
      </x:c>
      <x:c r="E15" s="20" t="n">
        <x:v>13900</x:v>
      </x:c>
      <x:c r="F15" s="20" t="n">
        <x:v>129167</x:v>
      </x:c>
      <x:c r="G15" s="21" t="n">
        <x:v>0.1076</x:v>
      </x:c>
    </x:row>
    <x:row r="16" ht="15" hidden="0" customHeight="1">
      <x:c r="A16" s="17"/>
      <x:c r="B16" s="17"/>
      <x:c r="C16" s="17"/>
      <x:c r="D16" s="17" t="str">
        <x:v>2026-09</x:v>
      </x:c>
      <x:c r="E16" s="20" t="n">
        <x:v>4800</x:v>
      </x:c>
      <x:c r="F16" s="20" t="n">
        <x:v>129167</x:v>
      </x:c>
      <x:c r="G16" s="21" t="n">
        <x:v>0.037200000000000004</x:v>
      </x:c>
    </x:row>
  </x:sheetData>
  <x:pageMargins left="0.7" right="0.7" top="0.75" bottom="0.75" header="0.3" footer="0.3"/>
  <x:drawing xmlns:r="http://schemas.openxmlformats.org/officeDocument/2006/relationships" r:id="R9cadf48e348c433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329999923706055" hidden="0" customWidth="1"/>
    <x:col min="2" max="2" width="9.670000076293945" hidden="0" customWidth="1"/>
    <x:col min="3" max="3" width="15.4399995803833" hidden="0" customWidth="1"/>
    <x:col min="4" max="4" width="7.559999942779541" hidden="0" customWidth="1"/>
    <x:col min="5" max="5" width="19.780000686645508" hidden="0" customWidth="1"/>
    <x:col min="6" max="6" width="26.889999389648438" hidden="0" customWidth="1"/>
  </x:cols>
  <x:sheetData>
    <x:row r="2" ht="15" hidden="0" customHeight="1">
      <x:c r="A2" s="22" t="str">
        <x:v>Monthly commitment coverage</x:v>
      </x:c>
      <x:c r="B2" s="17"/>
      <x:c r="C2" s="17"/>
      <x:c r="D2" s="17"/>
      <x:c r="E2" s="17"/>
      <x:c r="F2" s="17"/>
    </x:row>
    <x:row r="3" ht="15" hidden="0" customHeight="1">
      <x:c r="A3" s="17"/>
      <x:c r="B3" s="17"/>
      <x:c r="C3" s="17"/>
      <x:c r="D3" s="17"/>
      <x:c r="E3" s="17"/>
      <x:c r="F3" s="17"/>
    </x:row>
    <x:row r="4" ht="15" hidden="0" customHeight="1">
      <x:c r="A4" s="23" t="str">
        <x:v>Month</x:v>
      </x:c>
      <x:c r="B4" s="23" t="str">
        <x:v>Actual usage</x:v>
      </x:c>
      <x:c r="C4" s="23" t="str">
        <x:v>Commitment run rate</x:v>
      </x:c>
      <x:c r="D4" s="23" t="str">
        <x:v>Utilization</x:v>
      </x:c>
      <x:c r="E4" s="23" t="str">
        <x:v>Candidate monthly savings</x:v>
      </x:c>
      <x:c r="F4" s="23" t="str">
        <x:v>Source</x:v>
      </x:c>
    </x:row>
    <x:row r="5" ht="15" hidden="0" customHeight="1">
      <x:c r="A5" s="17" t="str">
        <x:v>2025-10</x:v>
      </x:c>
      <x:c r="B5" s="20" t="n">
        <x:v>1400</x:v>
      </x:c>
      <x:c r="C5" s="20" t="n">
        <x:v>129167</x:v>
      </x:c>
      <x:c r="D5" s="21" t="n">
        <x:v>0.0108</x:v>
      </x:c>
      <x:c r="E5" s="20" t="n">
        <x:v>51667</x:v>
      </x:c>
      <x:c r="F5" s="17" t="str">
        <x:v>DOC-MER-TECH-DBX-001-METERING</x:v>
      </x:c>
    </x:row>
    <x:row r="6" ht="15" hidden="0" customHeight="1">
      <x:c r="A6" s="17" t="str">
        <x:v>2025-11</x:v>
      </x:c>
      <x:c r="B6" s="20" t="n">
        <x:v>1900</x:v>
      </x:c>
      <x:c r="C6" s="20" t="n">
        <x:v>129167</x:v>
      </x:c>
      <x:c r="D6" s="21" t="n">
        <x:v>0.0147</x:v>
      </x:c>
      <x:c r="E6" s="20" t="n">
        <x:v>51667</x:v>
      </x:c>
      <x:c r="F6" s="17" t="str">
        <x:v>DOC-MER-TECH-DBX-001-METERING</x:v>
      </x:c>
    </x:row>
    <x:row r="7" ht="15" hidden="0" customHeight="1">
      <x:c r="A7" s="17" t="str">
        <x:v>2025-12</x:v>
      </x:c>
      <x:c r="B7" s="20" t="n">
        <x:v>2300</x:v>
      </x:c>
      <x:c r="C7" s="20" t="n">
        <x:v>129167</x:v>
      </x:c>
      <x:c r="D7" s="21" t="n">
        <x:v>0.0178</x:v>
      </x:c>
      <x:c r="E7" s="20" t="n">
        <x:v>51667</x:v>
      </x:c>
      <x:c r="F7" s="17" t="str">
        <x:v>DOC-MER-TECH-DBX-001-METERING</x:v>
      </x:c>
    </x:row>
    <x:row r="8" ht="15" hidden="0" customHeight="1">
      <x:c r="A8" s="17" t="str">
        <x:v>2026-01</x:v>
      </x:c>
      <x:c r="B8" s="20" t="n">
        <x:v>2900</x:v>
      </x:c>
      <x:c r="C8" s="20" t="n">
        <x:v>129167</x:v>
      </x:c>
      <x:c r="D8" s="21" t="n">
        <x:v>0.022400000000000003</x:v>
      </x:c>
      <x:c r="E8" s="20" t="n">
        <x:v>51667</x:v>
      </x:c>
      <x:c r="F8" s="17" t="str">
        <x:v>DOC-MER-TECH-DBX-001-METERING</x:v>
      </x:c>
    </x:row>
    <x:row r="9" ht="15" hidden="0" customHeight="1">
      <x:c r="A9" s="17" t="str">
        <x:v>2026-02</x:v>
      </x:c>
      <x:c r="B9" s="20" t="n">
        <x:v>3500</x:v>
      </x:c>
      <x:c r="C9" s="20" t="n">
        <x:v>129167</x:v>
      </x:c>
      <x:c r="D9" s="21" t="n">
        <x:v>0.0271</x:v>
      </x:c>
      <x:c r="E9" s="20" t="n">
        <x:v>51667</x:v>
      </x:c>
      <x:c r="F9" s="17" t="str">
        <x:v>DOC-MER-TECH-DBX-001-METERING</x:v>
      </x:c>
    </x:row>
    <x:row r="10" ht="15" hidden="0" customHeight="1">
      <x:c r="A10" s="17" t="str">
        <x:v>2026-03</x:v>
      </x:c>
      <x:c r="B10" s="20" t="n">
        <x:v>4300</x:v>
      </x:c>
      <x:c r="C10" s="20" t="n">
        <x:v>129167</x:v>
      </x:c>
      <x:c r="D10" s="21" t="n">
        <x:v>0.0333</x:v>
      </x:c>
      <x:c r="E10" s="20" t="n">
        <x:v>51667</x:v>
      </x:c>
      <x:c r="F10" s="17" t="str">
        <x:v>DOC-MER-TECH-DBX-001-METERING</x:v>
      </x:c>
    </x:row>
    <x:row r="11" ht="15" hidden="0" customHeight="1">
      <x:c r="A11" s="17" t="str">
        <x:v>2026-04</x:v>
      </x:c>
      <x:c r="B11" s="20" t="n">
        <x:v>5300</x:v>
      </x:c>
      <x:c r="C11" s="20" t="n">
        <x:v>129167</x:v>
      </x:c>
      <x:c r="D11" s="21" t="n">
        <x:v>0.040999999999999995</x:v>
      </x:c>
      <x:c r="E11" s="20" t="n">
        <x:v>51667</x:v>
      </x:c>
      <x:c r="F11" s="17" t="str">
        <x:v>DOC-MER-TECH-DBX-001-METERING</x:v>
      </x:c>
    </x:row>
    <x:row r="12" ht="15" hidden="0" customHeight="1">
      <x:c r="A12" s="17" t="str">
        <x:v>2026-05</x:v>
      </x:c>
      <x:c r="B12" s="20" t="n">
        <x:v>7100</x:v>
      </x:c>
      <x:c r="C12" s="20" t="n">
        <x:v>129167</x:v>
      </x:c>
      <x:c r="D12" s="21" t="n">
        <x:v>0.055</x:v>
      </x:c>
      <x:c r="E12" s="20" t="n">
        <x:v>51667</x:v>
      </x:c>
      <x:c r="F12" s="17" t="str">
        <x:v>DOC-MER-TECH-DBX-001-METERING</x:v>
      </x:c>
    </x:row>
    <x:row r="13" ht="15" hidden="0" customHeight="1">
      <x:c r="A13" s="17" t="str">
        <x:v>2026-06</x:v>
      </x:c>
      <x:c r="B13" s="20" t="n">
        <x:v>8100</x:v>
      </x:c>
      <x:c r="C13" s="20" t="n">
        <x:v>129167</x:v>
      </x:c>
      <x:c r="D13" s="21" t="n">
        <x:v>0.06269999999999999</x:v>
      </x:c>
      <x:c r="E13" s="20" t="n">
        <x:v>51667</x:v>
      </x:c>
      <x:c r="F13" s="17" t="str">
        <x:v>DOC-MER-TECH-DBX-001-METERING</x:v>
      </x:c>
    </x:row>
    <x:row r="14" ht="15" hidden="0" customHeight="1">
      <x:c r="A14" s="17" t="str">
        <x:v>2026-07</x:v>
      </x:c>
      <x:c r="B14" s="20" t="n">
        <x:v>10600</x:v>
      </x:c>
      <x:c r="C14" s="20" t="n">
        <x:v>129167</x:v>
      </x:c>
      <x:c r="D14" s="21" t="n">
        <x:v>0.0821</x:v>
      </x:c>
      <x:c r="E14" s="20" t="n">
        <x:v>12500</x:v>
      </x:c>
      <x:c r="F14" s="17" t="str">
        <x:v>DOC-MER-TECH-DBX-001-METERING</x:v>
      </x:c>
    </x:row>
    <x:row r="15" ht="15" hidden="0" customHeight="1">
      <x:c r="A15" s="17" t="str">
        <x:v>2026-08</x:v>
      </x:c>
      <x:c r="B15" s="20" t="n">
        <x:v>13900</x:v>
      </x:c>
      <x:c r="C15" s="20" t="n">
        <x:v>129167</x:v>
      </x:c>
      <x:c r="D15" s="21" t="n">
        <x:v>0.1076</x:v>
      </x:c>
      <x:c r="E15" s="20" t="n">
        <x:v>12500</x:v>
      </x:c>
      <x:c r="F15" s="17" t="str">
        <x:v>DOC-MER-TECH-DBX-001-METERING</x:v>
      </x:c>
    </x:row>
    <x:row r="16" ht="15" hidden="0" customHeight="1">
      <x:c r="A16" s="17" t="str">
        <x:v>2026-09</x:v>
      </x:c>
      <x:c r="B16" s="20" t="n">
        <x:v>4800</x:v>
      </x:c>
      <x:c r="C16" s="20" t="n">
        <x:v>129167</x:v>
      </x:c>
      <x:c r="D16" s="21" t="n">
        <x:v>0.037200000000000004</x:v>
      </x:c>
      <x:c r="E16" s="20" t="n">
        <x:v>12500</x:v>
      </x:c>
      <x:c r="F16" s="17" t="str">
        <x:v>DOC-MER-TECH-DBX-001-METERING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6.670000076293945" hidden="0" customWidth="1"/>
    <x:col min="3" max="3" width="6.670000076293945" hidden="0" customWidth="1"/>
    <x:col min="4" max="4" width="5.670000076293945" hidden="0" customWidth="1"/>
    <x:col min="5" max="5" width="34.66999816894531" hidden="0" customWidth="1"/>
    <x:col min="6" max="6" width="76.11000061035156" hidden="0" customWidth="1"/>
    <x:col min="7" max="7" width="127.88999938964844" hidden="0" customWidth="1"/>
  </x:cols>
  <x:sheetData>
    <x:row r="2" ht="15" hidden="0" customHeight="1">
      <x:c r="A2" s="22" t="str">
        <x:v>Candidate opportunities</x:v>
      </x:c>
      <x:c r="B2" s="17"/>
      <x:c r="C2" s="17"/>
      <x:c r="D2" s="17"/>
      <x:c r="E2" s="17"/>
      <x:c r="F2" s="17"/>
      <x:c r="G2" s="17"/>
    </x:row>
    <x:row r="3" ht="15" hidden="0" customHeight="1">
      <x:c r="A3" s="17"/>
      <x:c r="B3" s="17"/>
      <x:c r="C3" s="17"/>
      <x:c r="D3" s="17"/>
      <x:c r="E3" s="17"/>
      <x:c r="F3" s="17"/>
      <x:c r="G3" s="17"/>
    </x:row>
    <x:row r="4" ht="15" hidden="0" customHeight="1">
      <x:c r="A4" s="24" t="str">
        <x:v>Opportunity</x:v>
      </x:c>
      <x:c r="B4" s="24" t="str">
        <x:v>Low</x:v>
      </x:c>
      <x:c r="C4" s="24" t="str">
        <x:v>High</x:v>
      </x:c>
      <x:c r="D4" s="24" t="str">
        <x:v>Priority</x:v>
      </x:c>
      <x:c r="E4" s="24" t="str">
        <x:v>Owner</x:v>
      </x:c>
      <x:c r="F4" s="24" t="str">
        <x:v>Recommended action</x:v>
      </x:c>
      <x:c r="G4" s="24" t="str">
        <x:v>Evidence rows</x:v>
      </x:c>
    </x:row>
    <x:row r="5" ht="15" hidden="0" customHeight="1">
      <x:c r="A5" s="17" t="str">
        <x:v>Re-time annual commitment to program delivery pace</x:v>
      </x:c>
      <x:c r="B5" s="20" t="n">
        <x:v>350000</x:v>
      </x:c>
      <x:c r="C5" s="20" t="n">
        <x:v>620000</x:v>
      </x:c>
      <x:c r="D5" s="17" t="str">
        <x:v>P0</x:v>
      </x:c>
      <x:c r="E5" s="17" t="str">
        <x:v>VP Technology and Data with Cloud FinOps support</x:v>
      </x:c>
      <x:c r="F5" s="17" t="str">
        <x:v>Propose milestone-based ramp schedule before Year 2 commitment lock-in.</x:v>
      </x:c>
      <x:c r="G5" s="17" t="str">
        <x:v>coverage:MER-TECH-DBX-001:2026-08;cloud_usage:MER-TECH-DBX-001:2026-08:JOBS-COMPUTE;commitment:DBX-COMMIT-2025-Y1;clause:MER-TECH-DBX-001:minimum_commitment</x:v>
      </x:c>
    </x:row>
    <x:row r="6" ht="15" hidden="0" customHeight="1">
      <x:c r="A6" s="17" t="str">
        <x:v>Re-base support fee to consumed spend and support demand</x:v>
      </x:c>
      <x:c r="B6" s="20" t="n">
        <x:v>220000</x:v>
      </x:c>
      <x:c r="C6" s="20" t="n">
        <x:v>341000</x:v>
      </x:c>
      <x:c r="D6" s="17" t="str">
        <x:v>P0</x:v>
      </x:c>
      <x:c r="E6" s="17" t="str">
        <x:v>Technology Finance</x:v>
      </x:c>
      <x:c r="F6" s="17" t="str">
        <x:v>Propose support basis tied to consumed platform spend and low ticket volume.</x:v>
      </x:c>
      <x:c r="G6" s="17" t="str">
        <x:v>commitment:DBX-SUPPORT-2025-Y1;clause:MER-TECH-DBX-001:support_fee;cloud_usage:MER-TECH-DBX-001:2026-07:SQL-WAREHOUSE</x:v>
      </x:c>
    </x:row>
    <x:row r="7" ht="15" hidden="0" customHeight="1">
      <x:c r="A7" s="17" t="str">
        <x:v>Add carry-forward provision for unused Year 1 commitment</x:v>
      </x:c>
      <x:c r="B7" s="20" t="n">
        <x:v>150000</x:v>
      </x:c>
      <x:c r="C7" s="20" t="n">
        <x:v>400000</x:v>
      </x:c>
      <x:c r="D7" s="17" t="str">
        <x:v>P1</x:v>
      </x:c>
      <x:c r="E7" s="17" t="str">
        <x:v>Strategic Sourcing</x:v>
      </x:c>
      <x:c r="F7" s="17" t="str">
        <x:v>Draft carry-forward amendment before the 2026-10-14 Year 1 commitment anniversary.</x:v>
      </x:c>
      <x:c r="G7" s="17" t="str">
        <x:v>coverage:MER-TECH-DBX-001:2026-09;clause:MER-TECH-DBX-001:no_carry_forward;ap_recon:MER-TECH-DBX-001:2026-09</x:v>
      </x:c>
    </x:row>
    <x:row r="8" ht="15" hidden="0" customHeight="1">
      <x:c r="A8" s="17" t="str">
        <x:v>Route future commitment through AWS Marketplace private offer</x:v>
      </x:c>
      <x:c r="B8" s="20" t="n">
        <x:v>80000</x:v>
      </x:c>
      <x:c r="C8" s="20" t="n">
        <x:v>150000</x:v>
      </x:c>
      <x:c r="D8" s="17" t="str">
        <x:v>P2</x:v>
      </x:c>
      <x:c r="E8" s="17" t="str">
        <x:v>Cloud FinOps</x:v>
      </x:c>
      <x:c r="F8" s="17" t="str">
        <x:v>Confirm AWS EDP status and request private-offer routing for Year 2-forward.</x:v>
      </x:c>
      <x:c r="G8" s="17" t="str">
        <x:v>clause:MER-TECH-DBX-001:marketplace_routing;cloud_account:AWS-PAYER-001;commitment:DBX-COMMIT-2025-Y1</x:v>
      </x:c>
    </x:row>
    <x:row r="9" ht="15" hidden="0" customHeight="1">
      <x:c r="A9" s="17" t="str">
        <x:v>Signal-stage discount band re-price review</x:v>
      </x:c>
      <x:c r="B9" s="20" t="n">
        <x:v>150000</x:v>
      </x:c>
      <x:c r="C9" s="20" t="n">
        <x:v>450000</x:v>
      </x:c>
      <x:c r="D9" s="17" t="str">
        <x:v>P2</x:v>
      </x:c>
      <x:c r="E9" s="17" t="str">
        <x:v>Strategic Sourcing with Technology Finance</x:v>
      </x:c>
      <x:c r="F9" s="17" t="str">
        <x:v>Treat as advisory until a comparable benchmark is loaded; request re-pricing evidence for the five-year volume tier.</x:v>
      </x:c>
      <x:c r="G9" s="17" t="str">
        <x:v>clause:MER-TECH-DBX-001:benchmarking_clause;clause:MER-TECH-DBX-001:minimum_commitment;commitment:DBX-COMMIT-2025-Y1;DOC-MER-TECH-DBX-001-ORDER</x:v>
      </x:c>
    </x:row>
    <x:row r="10" ht="15" hidden="0" customHeight="1">
      <x:c r="A10" s="17" t="str">
        <x:v>Signal-stage serverless/classic discount parity check</x:v>
      </x:c>
      <x:c r="B10" s="20" t="n">
        <x:v>30000</x:v>
      </x:c>
      <x:c r="C10" s="20" t="n">
        <x:v>80000</x:v>
      </x:c>
      <x:c r="D10" s="17" t="str">
        <x:v>P2</x:v>
      </x:c>
      <x:c r="E10" s="17" t="str">
        <x:v>Cloud FinOps and Enterprise Data Platforms</x:v>
      </x:c>
      <x:c r="F10" s="17" t="str">
        <x:v>Confirm discount parity and per-SKU economics before shifting bursty pilot jobs from classic compute to serverless.</x:v>
      </x:c>
      <x:c r="G10" s="17" t="str">
        <x:v>cloud_usage:MER-TECH-DBX-001:2026-08:JOBS-COMPUTE;cloud_usage:MER-TECH-DBX-001:2026-09:JOBS-COMPUTE;DOC-MER-TECH-DBX-001-USAGE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89999389648438" hidden="0" customWidth="1"/>
    <x:col min="2" max="2" width="189.3300018310547" hidden="0" customWidth="1"/>
  </x:cols>
  <x:sheetData>
    <x:row r="2" ht="15" hidden="0" customHeight="1">
      <x:c r="A2" s="22" t="str">
        <x:v>Negotiation lever cards</x:v>
      </x:c>
      <x:c r="B2" s="17"/>
    </x:row>
    <x:row r="3" ht="15" hidden="0" customHeight="1">
      <x:c r="A3" s="17"/>
      <x:c r="B3" s="17"/>
    </x:row>
    <x:row r="4" ht="15" hidden="0" customHeight="1">
      <x:c r="A4" s="24" t="str">
        <x:v>P0</x:v>
      </x:c>
      <x:c r="B4" s="24" t="str">
        <x:v>Re-time annual commitment to program delivery pace</x:v>
      </x:c>
    </x:row>
    <x:row r="5" ht="15" hidden="0" customHeight="1">
      <x:c r="A5" s="18" t="str">
        <x:v>Owner</x:v>
      </x:c>
      <x:c r="B5" s="17" t="str">
        <x:v>VP Technology and Data with Cloud FinOps support</x:v>
      </x:c>
    </x:row>
    <x:row r="6" ht="15" hidden="0" customHeight="1">
      <x:c r="A6" s="18" t="str">
        <x:v>Buyer ask</x:v>
      </x:c>
      <x:c r="B6" s="17" t="str">
        <x:v>Reset Year 2 committed purchase to a ramped schedule tied to named workloads reaching production readiness.</x:v>
      </x:c>
    </x:row>
    <x:row r="7" ht="15" hidden="0" customHeight="1">
      <x:c r="A7" s="18" t="str">
        <x:v>Negotiation language</x:v>
      </x:c>
      <x:c r="B7" s="17" t="str">
        <x:v>A Year 2 commitment should step up only as governed workloads move from pilot or planned into production. We are asking Databricks to re-time the committed purchase schedule to match actual deployment gates, with no penalty for Year 1 underuse caused by program sequencing.</x:v>
      </x:c>
    </x:row>
    <x:row r="8" ht="15" hidden="0" customHeight="1">
      <x:c r="A8" s="18" t="str">
        <x:v>Vendor concession</x:v>
      </x:c>
      <x:c r="B8" s="17" t="str">
        <x:v>Databricks gives up an immediate full Year 2 run-rate lock and accepts milestone-based consumption growth.</x:v>
      </x:c>
    </x:row>
    <x:row r="9" ht="15" hidden="0" customHeight="1">
      <x:c r="A9" s="18" t="str">
        <x:v>Timing dependency</x:v>
      </x:c>
      <x:c r="B9" s="17" t="str">
        <x:v>Complete before 2026-10-14 Year 2 commitment lock-in.</x:v>
      </x:c>
    </x:row>
    <x:row r="10" ht="15" hidden="0" customHeight="1">
      <x:c r="A10" s="18" t="str">
        <x:v>Risk if ignored</x:v>
      </x:c>
      <x:c r="B10" s="17" t="str">
        <x:v>Buyer prepays for shelfware while planned workloads remain outside production.</x:v>
      </x:c>
    </x:row>
    <x:row r="11" ht="15" hidden="0" customHeight="1">
      <x:c r="A11" s="18" t="str">
        <x:v>Evidence rows</x:v>
      </x:c>
      <x:c r="B11" s="17" t="str">
        <x:v>coverage:MER-TECH-DBX-001:2026-08;cloud_usage:MER-TECH-DBX-001:2026-08:JOBS-COMPUTE;commitment:DBX-COMMIT-2025-Y1;clause:MER-TECH-DBX-001:minimum_commitment</x:v>
      </x:c>
    </x:row>
    <x:row r="12" ht="15" hidden="0" customHeight="1">
      <x:c r="A12" s="17"/>
      <x:c r="B12" s="17"/>
    </x:row>
    <x:row r="13" ht="15" hidden="0" customHeight="1">
      <x:c r="A13" s="24" t="str">
        <x:v>P0</x:v>
      </x:c>
      <x:c r="B13" s="24" t="str">
        <x:v>Re-base support fee to consumed spend and support demand</x:v>
      </x:c>
    </x:row>
    <x:row r="14" ht="15" hidden="0" customHeight="1">
      <x:c r="A14" s="18" t="str">
        <x:v>Owner</x:v>
      </x:c>
      <x:c r="B14" s="17" t="str">
        <x:v>Technology Finance</x:v>
      </x:c>
    </x:row>
    <x:row r="15" ht="15" hidden="0" customHeight="1">
      <x:c r="A15" s="18" t="str">
        <x:v>Buyer ask</x:v>
      </x:c>
      <x:c r="B15" s="17" t="str">
        <x:v>Recalculate Business Critical Support on actual consumed platform usage until production workloads materially increase.</x:v>
      </x:c>
    </x:row>
    <x:row r="16" ht="15" hidden="0" customHeight="1">
      <x:c r="A16" s="18" t="str">
        <x:v>Negotiation language</x:v>
      </x:c>
      <x:c r="B16" s="17" t="str">
        <x:v>The current support fee is anchored to committed purchase rather than observed support demand or consumed workloads. We are asking Databricks to re-base support for the next contract year, with an automatic step-up only when production usage and support volume justify it.</x:v>
      </x:c>
    </x:row>
    <x:row r="17" ht="15" hidden="0" customHeight="1">
      <x:c r="A17" s="18" t="str">
        <x:v>Vendor concession</x:v>
      </x:c>
      <x:c r="B17" s="17" t="str">
        <x:v>Databricks gives up committed-purchase-based support economics during low-consumption periods.</x:v>
      </x:c>
    </x:row>
    <x:row r="18" ht="15" hidden="0" customHeight="1">
      <x:c r="A18" s="18" t="str">
        <x:v>Timing dependency</x:v>
      </x:c>
      <x:c r="B18" s="17" t="str">
        <x:v>Include in Year 2 commercial amendment before invoice issuance.</x:v>
      </x:c>
    </x:row>
    <x:row r="19" ht="15" hidden="0" customHeight="1">
      <x:c r="A19" s="18" t="str">
        <x:v>Risk if ignored</x:v>
      </x:c>
      <x:c r="B19" s="17" t="str">
        <x:v>Support spend stays disconnected from actual workload scale and support demand.</x:v>
      </x:c>
    </x:row>
    <x:row r="20" ht="15" hidden="0" customHeight="1">
      <x:c r="A20" s="18" t="str">
        <x:v>Evidence rows</x:v>
      </x:c>
      <x:c r="B20" s="17" t="str">
        <x:v>commitment:DBX-SUPPORT-2025-Y1;clause:MER-TECH-DBX-001:support_fee;cloud_usage:MER-TECH-DBX-001:2026-07:SQL-WAREHOUSE</x:v>
      </x:c>
    </x:row>
    <x:row r="21" ht="15" hidden="0" customHeight="1">
      <x:c r="A21" s="17"/>
      <x:c r="B21" s="17"/>
    </x:row>
    <x:row r="22" ht="15" hidden="0" customHeight="1">
      <x:c r="A22" s="24" t="str">
        <x:v>P1</x:v>
      </x:c>
      <x:c r="B22" s="24" t="str">
        <x:v>Add carry-forward provision for unused Year 1 commitment</x:v>
      </x:c>
    </x:row>
    <x:row r="23" ht="15" hidden="0" customHeight="1">
      <x:c r="A23" s="18" t="str">
        <x:v>Owner</x:v>
      </x:c>
      <x:c r="B23" s="17" t="str">
        <x:v>Strategic Sourcing</x:v>
      </x:c>
    </x:row>
    <x:row r="24" ht="15" hidden="0" customHeight="1">
      <x:c r="A24" s="18" t="str">
        <x:v>Buyer ask</x:v>
      </x:c>
      <x:c r="B24" s="17" t="str">
        <x:v>Carry forward unused Year 1 commitment into Year 2 or convert it into onboarding, migration, training, or implementation credits.</x:v>
      </x:c>
    </x:row>
    <x:row r="25" ht="15" hidden="0" customHeight="1">
      <x:c r="A25" s="18" t="str">
        <x:v>Negotiation language</x:v>
      </x:c>
      <x:c r="B25" s="17" t="str">
        <x:v>The contract's no-carry-forward position should not convert delayed workload adoption into lost buyer value. We are asking Databricks to preserve a negotiated portion of unused Year 1 commitment as Year 2 consumption credit or equivalent adoption services.</x:v>
      </x:c>
    </x:row>
    <x:row r="26" ht="15" hidden="0" customHeight="1">
      <x:c r="A26" s="18" t="str">
        <x:v>Vendor concession</x:v>
      </x:c>
      <x:c r="B26" s="17" t="str">
        <x:v>Databricks gives up forfeiture of a portion of unused Year 1 committed purchase.</x:v>
      </x:c>
    </x:row>
    <x:row r="27" ht="15" hidden="0" customHeight="1">
      <x:c r="A27" s="18" t="str">
        <x:v>Timing dependency</x:v>
      </x:c>
      <x:c r="B27" s="17" t="str">
        <x:v>Resolve before 2026-10-14, when unused Year 1 commitment expires at the contract-year anniversary. Confirm any separate payment milestone with Finance.</x:v>
      </x:c>
    </x:row>
    <x:row r="28" ht="15" hidden="0" customHeight="1">
      <x:c r="A28" s="18" t="str">
        <x:v>Risk if ignored</x:v>
      </x:c>
      <x:c r="B28" s="17" t="str">
        <x:v>Unused commitment expires and the buyer loses leverage before the next payment cycle.</x:v>
      </x:c>
    </x:row>
    <x:row r="29" ht="15" hidden="0" customHeight="1">
      <x:c r="A29" s="18" t="str">
        <x:v>Evidence rows</x:v>
      </x:c>
      <x:c r="B29" s="17" t="str">
        <x:v>coverage:MER-TECH-DBX-001:2026-09;clause:MER-TECH-DBX-001:no_carry_forward;ap_recon:MER-TECH-DBX-001:2026-09</x:v>
      </x:c>
    </x:row>
    <x:row r="30" ht="15" hidden="0" customHeight="1">
      <x:c r="A30" s="17"/>
      <x:c r="B30" s="17"/>
    </x:row>
    <x:row r="31" ht="15" hidden="0" customHeight="1">
      <x:c r="A31" s="24" t="str">
        <x:v>P2</x:v>
      </x:c>
      <x:c r="B31" s="24" t="str">
        <x:v>Route future commitment through AWS Marketplace private offer</x:v>
      </x:c>
    </x:row>
    <x:row r="32" ht="15" hidden="0" customHeight="1">
      <x:c r="A32" s="18" t="str">
        <x:v>Owner</x:v>
      </x:c>
      <x:c r="B32" s="17" t="str">
        <x:v>Cloud FinOps</x:v>
      </x:c>
    </x:row>
    <x:row r="33" ht="15" hidden="0" customHeight="1">
      <x:c r="A33" s="18" t="str">
        <x:v>Buyer ask</x:v>
      </x:c>
      <x:c r="B33" s="17" t="str">
        <x:v>Route eligible future Databricks commitment through an AWS Marketplace private offer if it can improve enterprise discount program credit or simplify cloud portfolio governance.</x:v>
      </x:c>
    </x:row>
    <x:row r="34" ht="15" hidden="0" customHeight="1">
      <x:c r="A34" s="18" t="str">
        <x:v>Negotiation language</x:v>
      </x:c>
      <x:c r="B34" s="17" t="str">
        <x:v>Because the Databricks deployment runs on AWS, future commitment should be evaluated for Marketplace private-offer routing. We are asking Databricks to support the commercial path that maximizes the buyer's cloud portfolio economics without changing governed data-platform scope.</x:v>
      </x:c>
    </x:row>
    <x:row r="35" ht="15" hidden="0" customHeight="1">
      <x:c r="A35" s="18" t="str">
        <x:v>Vendor concession</x:v>
      </x:c>
      <x:c r="B35" s="17" t="str">
        <x:v>Databricks supports alternate transaction routing and any associated private-offer economics.</x:v>
      </x:c>
    </x:row>
    <x:row r="36" ht="15" hidden="0" customHeight="1">
      <x:c r="A36" s="18" t="str">
        <x:v>Timing dependency</x:v>
      </x:c>
      <x:c r="B36" s="17" t="str">
        <x:v>Confirm before Year 2 commercial paper is drafted.</x:v>
      </x:c>
    </x:row>
    <x:row r="37" ht="15" hidden="0" customHeight="1">
      <x:c r="A37" s="18" t="str">
        <x:v>Risk if ignored</x:v>
      </x:c>
      <x:c r="B37" s="17" t="str">
        <x:v>The buyer may miss cloud-portfolio credits or negotiate Databricks in isolation from AWS commitments.</x:v>
      </x:c>
    </x:row>
    <x:row r="38" ht="15" hidden="0" customHeight="1">
      <x:c r="A38" s="18" t="str">
        <x:v>Evidence rows</x:v>
      </x:c>
      <x:c r="B38" s="17" t="str">
        <x:v>clause:MER-TECH-DBX-001:marketplace_routing;cloud_account:AWS-PAYER-001;commitment:DBX-COMMIT-2025-Y1</x:v>
      </x:c>
    </x:row>
    <x:row r="39" ht="15" hidden="0" customHeight="1">
      <x:c r="A39" s="17"/>
      <x:c r="B39" s="17"/>
    </x:row>
    <x:row r="40" ht="15" hidden="0" customHeight="1">
      <x:c r="A40" s="24" t="str">
        <x:v>P2</x:v>
      </x:c>
      <x:c r="B40" s="24" t="str">
        <x:v>Signal-stage discount band re-price review</x:v>
      </x:c>
    </x:row>
    <x:row r="41" ht="15" hidden="0" customHeight="1">
      <x:c r="A41" s="18" t="str">
        <x:v>Owner</x:v>
      </x:c>
      <x:c r="B41" s="17" t="str">
        <x:v>Strategic Sourcing with Technology Finance</x:v>
      </x:c>
    </x:row>
    <x:row r="42" ht="15" hidden="0" customHeight="1">
      <x:c r="A42" s="18" t="str">
        <x:v>Buyer ask</x:v>
      </x:c>
      <x:c r="B42" s="17" t="str">
        <x:v>Re-price the platform services discount band after Finance loads an accepted comparable for a similar multi-year consumption-platform commitment.</x:v>
      </x:c>
    </x:row>
    <x:row r="43" ht="15" hidden="0" customHeight="1">
      <x:c r="A43" s="18" t="str">
        <x:v>Negotiation language</x:v>
      </x:c>
      <x:c r="B43" s="17" t="str">
        <x:v>This is an advisory signal, not a document-proven finding. The current package shows the commitment size and confirms benchmarking is absent, so we are asking Databricks to re-open discount-band evidence once a comparable five-year volume benchmark is available.</x:v>
      </x:c>
    </x:row>
    <x:row r="44" ht="15" hidden="0" customHeight="1">
      <x:c r="A44" s="18" t="str">
        <x:v>Vendor concession</x:v>
      </x:c>
      <x:c r="B44" s="17" t="str">
        <x:v>Databricks would move from the current discount position to a benchmark-supported tier if the buyer proves comparable market terms.</x:v>
      </x:c>
    </x:row>
    <x:row r="45" ht="15" hidden="0" customHeight="1">
      <x:c r="A45" s="18" t="str">
        <x:v>Timing dependency</x:v>
      </x:c>
      <x:c r="B45" s="17" t="str">
        <x:v>Load one accepted benchmark comparable before treating this as an executive ask in the Year 2 amendment.</x:v>
      </x:c>
    </x:row>
    <x:row r="46" ht="15" hidden="0" customHeight="1">
      <x:c r="A46" s="18" t="str">
        <x:v>Risk if ignored</x:v>
      </x:c>
      <x:c r="B46" s="17" t="str">
        <x:v>The buyer may negotiate only ramp timing and credits while leaving a potentially mispriced discount band untested.</x:v>
      </x:c>
    </x:row>
    <x:row r="47" ht="15" hidden="0" customHeight="1">
      <x:c r="A47" s="18" t="str">
        <x:v>Evidence rows</x:v>
      </x:c>
      <x:c r="B47" s="17" t="str">
        <x:v>clause:MER-TECH-DBX-001:benchmarking_clause;clause:MER-TECH-DBX-001:minimum_commitment;commitment:DBX-COMMIT-2025-Y1;DOC-MER-TECH-DBX-001-ORDER</x:v>
      </x:c>
    </x:row>
    <x:row r="48" ht="15" hidden="0" customHeight="1">
      <x:c r="A48" s="17"/>
      <x:c r="B48" s="17"/>
    </x:row>
    <x:row r="49" ht="15" hidden="0" customHeight="1">
      <x:c r="A49" s="24" t="str">
        <x:v>P2</x:v>
      </x:c>
      <x:c r="B49" s="24" t="str">
        <x:v>Signal-stage serverless/classic discount parity check</x:v>
      </x:c>
    </x:row>
    <x:row r="50" ht="15" hidden="0" customHeight="1">
      <x:c r="A50" s="18" t="str">
        <x:v>Owner</x:v>
      </x:c>
      <x:c r="B50" s="17" t="str">
        <x:v>Cloud FinOps and Enterprise Data Platforms</x:v>
      </x:c>
    </x:row>
    <x:row r="51" ht="15" hidden="0" customHeight="1">
      <x:c r="A51" s="18" t="str">
        <x:v>Buyer ask</x:v>
      </x:c>
      <x:c r="B51" s="17" t="str">
        <x:v>Confirm committed-discount treatment across serverless and classic compute and load a side-by-side per-SKU cost comparison before workload migration.</x:v>
      </x:c>
    </x:row>
    <x:row r="52" ht="15" hidden="0" customHeight="1">
      <x:c r="A52" s="18" t="str">
        <x:v>Negotiation language</x:v>
      </x:c>
      <x:c r="B52" s="17" t="str">
        <x:v>This is a workload-shape signal, not a priced finding. The package shows bursty pilot jobs-compute usage, but it does not include per-SKU serverless comparison evidence, so the ask is to confirm discount parity before making serverless the default operating model.</x:v>
      </x:c>
    </x:row>
    <x:row r="53" ht="15" hidden="0" customHeight="1">
      <x:c r="A53" s="18" t="str">
        <x:v>Vendor concession</x:v>
      </x:c>
      <x:c r="B53" s="17" t="str">
        <x:v>Databricks would preserve committed-discount economics across the target compute mode or provide a clear commercial bridge for the migrated workload.</x:v>
      </x:c>
    </x:row>
    <x:row r="54" ht="15" hidden="0" customHeight="1">
      <x:c r="A54" s="18" t="str">
        <x:v>Timing dependency</x:v>
      </x:c>
      <x:c r="B54" s="17" t="str">
        <x:v>Complete before the pilot workload moves from classic jobs compute into production serverless jobs.</x:v>
      </x:c>
    </x:row>
    <x:row r="55" ht="15" hidden="0" customHeight="1">
      <x:c r="A55" s="18" t="str">
        <x:v>Risk if ignored</x:v>
      </x:c>
      <x:c r="B55" s="17" t="str">
        <x:v>A technically sensible compute shift could dilute the committed discount or move spend into a SKU pattern the contract does not protect.</x:v>
      </x:c>
    </x:row>
    <x:row r="56" ht="15" hidden="0" customHeight="1">
      <x:c r="A56" s="18" t="str">
        <x:v>Evidence rows</x:v>
      </x:c>
      <x:c r="B56" s="17" t="str">
        <x:v>cloud_usage:MER-TECH-DBX-001:2026-08:JOBS-COMPUTE;cloud_usage:MER-TECH-DBX-001:2026-09:JOBS-COMPUTE;DOC-MER-TECH-DBX-001-USAGE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109999656677246" hidden="0" customWidth="1"/>
    <x:col min="2" max="2" width="36.66999816894531" hidden="0" customWidth="1"/>
    <x:col min="3" max="3" width="34" hidden="0" customWidth="1"/>
    <x:col min="4" max="4" width="14.779999732971191" hidden="0" customWidth="1"/>
    <x:col min="5" max="5" width="17.110000610351562" hidden="0" customWidth="1"/>
    <x:col min="6" max="6" width="10.670000076293945" hidden="0" customWidth="1"/>
    <x:col min="7" max="7" width="21.559999465942383" hidden="0" customWidth="1"/>
    <x:col min="8" max="8" width="42.560001373291016" hidden="0" customWidth="1"/>
    <x:col min="9" max="9" width="37.439998626708984" hidden="0" customWidth="1"/>
    <x:col min="10" max="10" width="25.329999923706055" hidden="0" customWidth="1"/>
  </x:cols>
  <x:sheetData>
    <x:row r="2" ht="15" hidden="0" customHeight="1">
      <x:c r="A2" s="22" t="str">
        <x:v>Evidence sources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 ht="15" hidden="0" customHeight="1">
      <x:c r="A4" s="25" t="str">
        <x:v>tenant_key</x:v>
      </x:c>
      <x:c r="B4" s="25" t="str">
        <x:v>dataset_version</x:v>
      </x:c>
      <x:c r="C4" s="25" t="str">
        <x:v>source_file_id</x:v>
      </x:c>
      <x:c r="D4" s="25" t="str">
        <x:v>contract_id</x:v>
      </x:c>
      <x:c r="E4" s="25" t="str">
        <x:v>vendor_ref</x:v>
      </x:c>
      <x:c r="F4" s="25" t="str">
        <x:v>vendor_name</x:v>
      </x:c>
      <x:c r="G4" s="25" t="str">
        <x:v>document_type</x:v>
      </x:c>
      <x:c r="H4" s="25" t="str">
        <x:v>file_name</x:v>
      </x:c>
      <x:c r="I4" s="25" t="str">
        <x:v>expected_layer</x:v>
      </x:c>
      <x:c r="J4" s="25" t="str">
        <x:v>synthetic_policy</x:v>
      </x:c>
    </x:row>
    <x:row r="5" ht="15" hidden="0" customHeight="1">
      <x:c r="A5" s="17" t="str">
        <x:v>meridian-health</x:v>
      </x:c>
      <x:c r="B5" s="17" t="str">
        <x:v>meridian-databricks-consumption-commit-v1-20260908</x:v>
      </x:c>
      <x:c r="C5" s="17" t="str">
        <x:v>DOC-MER-TECH-DBX-001-ORDER</x:v>
      </x:c>
      <x:c r="D5" s="17" t="str">
        <x:v>MER-TECH-DBX-001</x:v>
      </x:c>
      <x:c r="E5" s="17" t="str">
        <x:v>MER-VEN-DATABRICKS</x:v>
      </x:c>
      <x:c r="F5" s="17" t="str">
        <x:v>Databricks, Inc.</x:v>
      </x:c>
      <x:c r="G5" s="17" t="str">
        <x:v>order form</x:v>
      </x:c>
      <x:c r="H5" s="17" t="str">
        <x:v>MER-TECH-DBX-001_ORDER_SYNTHETIC.md</x:v>
      </x:c>
      <x:c r="I5" s="17" t="str">
        <x:v>doc.extraction</x:v>
      </x:c>
      <x:c r="J5" s="17" t="str">
        <x:v>synthetic_demo_only_not_client_truth</x:v>
      </x:c>
    </x:row>
    <x:row r="6" ht="15" hidden="0" customHeight="1">
      <x:c r="A6" s="17" t="str">
        <x:v>meridian-health</x:v>
      </x:c>
      <x:c r="B6" s="17" t="str">
        <x:v>meridian-databricks-consumption-commit-v1-20260908</x:v>
      </x:c>
      <x:c r="C6" s="17" t="str">
        <x:v>DOC-MER-TECH-DBX-001-INVOICE</x:v>
      </x:c>
      <x:c r="D6" s="17" t="str">
        <x:v>MER-TECH-DBX-001</x:v>
      </x:c>
      <x:c r="E6" s="17" t="str">
        <x:v>MER-VEN-DATABRICKS</x:v>
      </x:c>
      <x:c r="F6" s="17" t="str">
        <x:v>Databricks, Inc.</x:v>
      </x:c>
      <x:c r="G6" s="17" t="str">
        <x:v>annual invoice</x:v>
      </x:c>
      <x:c r="H6" s="17" t="str">
        <x:v>MER-TECH-DBX-001_INVOICE_SYNTHETIC.md</x:v>
      </x:c>
      <x:c r="I6" s="17" t="str">
        <x:v>source.contract_financial_exposure</x:v>
      </x:c>
      <x:c r="J6" s="17" t="str">
        <x:v>synthetic_demo_only_not_client_truth</x:v>
      </x:c>
    </x:row>
    <x:row r="7" ht="15" hidden="0" customHeight="1">
      <x:c r="A7" s="17" t="str">
        <x:v>meridian-health</x:v>
      </x:c>
      <x:c r="B7" s="17" t="str">
        <x:v>meridian-databricks-consumption-commit-v1-20260908</x:v>
      </x:c>
      <x:c r="C7" s="17" t="str">
        <x:v>DOC-MER-TECH-DBX-001-USAGE</x:v>
      </x:c>
      <x:c r="D7" s="17" t="str">
        <x:v>MER-TECH-DBX-001</x:v>
      </x:c>
      <x:c r="E7" s="17" t="str">
        <x:v>MER-VEN-DATABRICKS</x:v>
      </x:c>
      <x:c r="F7" s="17" t="str">
        <x:v>Databricks, Inc.</x:v>
      </x:c>
      <x:c r="G7" s="17" t="str">
        <x:v>usage statement</x:v>
      </x:c>
      <x:c r="H7" s="17" t="str">
        <x:v>MER-TECH-DBX-001_USAGE_SYNTHETIC.md</x:v>
      </x:c>
      <x:c r="I7" s="17" t="str">
        <x:v>consumption.sourcing_cloud_usage_monthly_v1</x:v>
      </x:c>
      <x:c r="J7" s="17" t="str">
        <x:v>synthetic_demo_only_not_client_truth</x:v>
      </x:c>
    </x:row>
    <x:row r="8" ht="15" hidden="0" customHeight="1">
      <x:c r="A8" s="17" t="str">
        <x:v>meridian-health</x:v>
      </x:c>
      <x:c r="B8" s="17" t="str">
        <x:v>meridian-databricks-consumption-commit-v1-20260908</x:v>
      </x:c>
      <x:c r="C8" s="17" t="str">
        <x:v>DOC-MER-TECH-DBX-001-METERING</x:v>
      </x:c>
      <x:c r="D8" s="17" t="str">
        <x:v>MER-TECH-DBX-001</x:v>
      </x:c>
      <x:c r="E8" s="17" t="str">
        <x:v>MER-VEN-DATABRICKS</x:v>
      </x:c>
      <x:c r="F8" s="17" t="str">
        <x:v>Databricks, Inc.</x:v>
      </x:c>
      <x:c r="G8" s="17" t="str">
        <x:v>monthly metering</x:v>
      </x:c>
      <x:c r="H8" s="17" t="str">
        <x:v>MER-TECH-DBX-001_METERING_SYNTHETIC.md</x:v>
      </x:c>
      <x:c r="I8" s="17" t="str">
        <x:v>consumption.sourcing_cloud_commitment_coverage_v1</x:v>
      </x:c>
      <x:c r="J8" s="17" t="str">
        <x:v>synthetic_demo_only_not_client_truth</x:v>
      </x:c>
    </x:row>
    <x:row r="9" ht="15" hidden="0" customHeight="1">
      <x:c r="A9" s="17" t="str">
        <x:v>meridian-health</x:v>
      </x:c>
      <x:c r="B9" s="17" t="str">
        <x:v>meridian-databricks-consumption-commit-v1-20260908</x:v>
      </x:c>
      <x:c r="C9" s="17" t="str">
        <x:v>DOC-MER-TECH-DBX-001-RENEWAL</x:v>
      </x:c>
      <x:c r="D9" s="17" t="str">
        <x:v>MER-TECH-DBX-001</x:v>
      </x:c>
      <x:c r="E9" s="17" t="str">
        <x:v>MER-VEN-DATABRICKS</x:v>
      </x:c>
      <x:c r="F9" s="17" t="str">
        <x:v>Databricks, Inc.</x:v>
      </x:c>
      <x:c r="G9" s="17" t="str">
        <x:v>renewal notice</x:v>
      </x:c>
      <x:c r="H9" s="17" t="str">
        <x:v>MER-TECH-DBX-001_RENEWAL_NOTICE_SYNTHETIC.md</x:v>
      </x:c>
      <x:c r="I9" s="17" t="str">
        <x:v>consumption.sourcing_opportunity_v1</x:v>
      </x:c>
      <x:c r="J9" s="17" t="str">
        <x:v>synthetic_demo_only_not_client_truth</x:v>
      </x:c>
    </x:row>
    <x:row r="10" ht="15" hidden="0" customHeight="1">
      <x:c r="A10" s="17" t="str">
        <x:v>meridian-health</x:v>
      </x:c>
      <x:c r="B10" s="17" t="str">
        <x:v>meridian-databricks-consumption-commit-v1-20260908</x:v>
      </x:c>
      <x:c r="C10" s="17" t="str">
        <x:v>DOC-MER-TECH-DBX-001-AWS-MARKETPLACE</x:v>
      </x:c>
      <x:c r="D10" s="17" t="str">
        <x:v>MER-TECH-DBX-001</x:v>
      </x:c>
      <x:c r="E10" s="17" t="str">
        <x:v>MER-VEN-DATABRICKS</x:v>
      </x:c>
      <x:c r="F10" s="17" t="str">
        <x:v>Databricks, Inc.</x:v>
      </x:c>
      <x:c r="G10" s="17" t="str">
        <x:v>AWS marketplace sourcing note</x:v>
      </x:c>
      <x:c r="H10" s="17" t="str">
        <x:v>MER-TECH-DBX-001_AWS_MARKETPLACE_SYNTHETIC.md</x:v>
      </x:c>
      <x:c r="I10" s="17" t="str">
        <x:v>consumption.sourcing_opportunity_v1</x:v>
      </x:c>
      <x:c r="J10" s="17" t="str">
        <x:v>synthetic_demo_only_not_client_truth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.110000133514404" hidden="0" customWidth="1"/>
    <x:col min="3" max="3" width="5" hidden="0" customWidth="1"/>
    <x:col min="4" max="4" width="5" hidden="0" customWidth="1"/>
  </x:cols>
  <x:sheetData>
    <x:row r="2" ht="15" hidden="0" customHeight="1">
      <x:c r="A2" s="22" t="str">
        <x:v>Package checks</x:v>
      </x:c>
      <x:c r="B2" s="17"/>
      <x:c r="C2" s="17"/>
      <x:c r="D2" s="17"/>
    </x:row>
    <x:row r="3" ht="15" hidden="0" customHeight="1">
      <x:c r="A3" s="17"/>
      <x:c r="B3" s="17"/>
      <x:c r="C3" s="17"/>
      <x:c r="D3" s="17"/>
    </x:row>
    <x:row r="4" ht="15" hidden="0" customHeight="1">
      <x:c r="A4" s="26" t="str">
        <x:v>Check</x:v>
      </x:c>
      <x:c r="B4" s="26" t="str">
        <x:v>Expected</x:v>
      </x:c>
      <x:c r="C4" s="26" t="str">
        <x:v>Actual</x:v>
      </x:c>
      <x:c r="D4" s="26" t="str">
        <x:v>Status</x:v>
      </x:c>
    </x:row>
    <x:row r="5" ht="15" hidden="0" customHeight="1">
      <x:c r="A5" s="17" t="str">
        <x:v>Contracts</x:v>
      </x:c>
      <x:c r="B5" s="17" t="n">
        <x:v>1</x:v>
      </x:c>
      <x:c r="C5" s="17" t="n">
        <x:v>1</x:v>
      </x:c>
      <x:c r="D5" s="17" t="str">
        <x:v>PASS</x:v>
      </x:c>
    </x:row>
    <x:row r="6" ht="15" hidden="0" customHeight="1">
      <x:c r="A6" s="17" t="str">
        <x:v>Monthly spend rows</x:v>
      </x:c>
      <x:c r="B6" s="17" t="n">
        <x:v>12</x:v>
      </x:c>
      <x:c r="C6" s="17" t="n">
        <x:v>12</x:v>
      </x:c>
      <x:c r="D6" s="17" t="str">
        <x:v>PASS</x:v>
      </x:c>
    </x:row>
    <x:row r="7" ht="15" hidden="0" customHeight="1">
      <x:c r="A7" s="17" t="str">
        <x:v>Service usage rows</x:v>
      </x:c>
      <x:c r="B7" s="17" t="n">
        <x:v>48</x:v>
      </x:c>
      <x:c r="C7" s="17" t="n">
        <x:v>48</x:v>
      </x:c>
      <x:c r="D7" s="17" t="str">
        <x:v>PASS</x:v>
      </x:c>
    </x:row>
    <x:row r="8" ht="15" hidden="0" customHeight="1">
      <x:c r="A8" s="17" t="str">
        <x:v>Coverage months</x:v>
      </x:c>
      <x:c r="B8" s="17" t="n">
        <x:v>12</x:v>
      </x:c>
      <x:c r="C8" s="17" t="n">
        <x:v>12</x:v>
      </x:c>
      <x:c r="D8" s="17" t="str">
        <x:v>PASS</x:v>
      </x:c>
    </x:row>
    <x:row r="9" ht="15" hidden="0" customHeight="1">
      <x:c r="A9" s="17" t="str">
        <x:v>AP reconciliation months</x:v>
      </x:c>
      <x:c r="B9" s="17" t="n">
        <x:v>12</x:v>
      </x:c>
      <x:c r="C9" s="17" t="n">
        <x:v>12</x:v>
      </x:c>
      <x:c r="D9" s="17" t="str">
        <x:v>PASS</x:v>
      </x:c>
    </x:row>
    <x:row r="10" ht="15" hidden="0" customHeight="1">
      <x:c r="A10" s="17" t="str">
        <x:v>Synthetic evidence docs</x:v>
      </x:c>
      <x:c r="B10" s="17" t="n">
        <x:v>6</x:v>
      </x:c>
      <x:c r="C10" s="17" t="n">
        <x:v>6</x:v>
      </x:c>
      <x:c r="D10" s="17" t="str">
        <x:v>PASS</x:v>
      </x:c>
    </x:row>
    <x:row r="11" ht="15" hidden="0" customHeight="1">
      <x:c r="A11" s="17" t="str">
        <x:v>Opportunities not finance-confirmed</x:v>
      </x:c>
      <x:c r="B11" s="17" t="n">
        <x:v>6</x:v>
      </x:c>
      <x:c r="C11" s="17" t="n">
        <x:v>6</x:v>
      </x:c>
      <x:c r="D11" s="17" t="str">
        <x:v>PASS</x:v>
      </x:c>
    </x:row>
  </x:sheetData>
  <x:conditionalFormatting sqref="D5:D11">
    <x:cfRule type="containsText" dxfId="0" priority="1" operator="containsText" text="FAIL"/>
  </x:conditionalFormatting>
  <x:pageMargins left="0.7" right="0.7" top="0.75" bottom="0.75" header="0.3" footer="0.3"/>
</x:worksheet>
</file>