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d Overview" sheetId="1" state="visible" r:id="rId1"/>
    <sheet name="DORA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FDE8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8" customWidth="1" min="4" max="4"/>
    <col width="10" customWidth="1" min="5" max="5"/>
    <col width="10" customWidth="1" min="6" max="6"/>
    <col width="8" customWidth="1" min="7" max="7"/>
    <col width="12" customWidth="1" min="8" max="8"/>
    <col width="16" customWidth="1" min="9" max="9"/>
    <col width="10" customWidth="1" min="10" max="10"/>
    <col width="10" customWidth="1" min="11" max="11"/>
    <col width="13" customWidth="1" min="12" max="12"/>
    <col width="14" customWidth="1" min="13" max="13"/>
    <col width="10" customWidth="1" min="14" max="14"/>
  </cols>
  <sheetData>
    <row r="1" ht="16" customHeight="1">
      <c r="A1" s="1" t="inlineStr">
        <is>
          <t>MERIDIAN HEALTH SYSTEM — Technology Engineering Organisation</t>
        </is>
      </c>
    </row>
    <row r="2" ht="32" customHeight="1">
      <c r="A2" s="2" t="inlineStr">
        <is>
          <t>Squad</t>
        </is>
      </c>
      <c r="B2" s="2" t="inlineStr">
        <is>
          <t>Domain</t>
        </is>
      </c>
      <c r="C2" s="2" t="inlineStr">
        <is>
          <t>Squad Lead</t>
        </is>
      </c>
      <c r="D2" s="2" t="inlineStr">
        <is>
          <t>FTE</t>
        </is>
      </c>
      <c r="E2" s="2" t="inlineStr">
        <is>
          <t>Contractors</t>
        </is>
      </c>
      <c r="F2" s="2" t="inlineStr">
        <is>
          <t>Vendor Staff</t>
        </is>
      </c>
      <c r="G2" s="2" t="inlineStr">
        <is>
          <t>Total</t>
        </is>
      </c>
      <c r="H2" s="2" t="inlineStr">
        <is>
          <t>Vendor Dep %</t>
        </is>
      </c>
      <c r="I2" s="2" t="inlineStr">
        <is>
          <t>Primary Vendor</t>
        </is>
      </c>
      <c r="J2" s="2" t="inlineStr">
        <is>
          <t>Mtg Hrs/Wk</t>
        </is>
      </c>
      <c r="K2" s="2" t="inlineStr">
        <is>
          <t>Build Hrs/Wk</t>
        </is>
      </c>
      <c r="L2" s="2" t="inlineStr">
        <is>
          <t>Sprint Method</t>
        </is>
      </c>
      <c r="M2" s="2" t="inlineStr">
        <is>
          <t>Cycle Time (Days)</t>
        </is>
      </c>
      <c r="N2" s="2" t="inlineStr">
        <is>
          <t>Status</t>
        </is>
      </c>
    </row>
    <row r="3" ht="28" customHeight="1">
      <c r="A3" s="3" t="inlineStr">
        <is>
          <t>Epic EHR Core</t>
        </is>
      </c>
      <c r="B3" s="4" t="inlineStr">
        <is>
          <t>Clinical Systems</t>
        </is>
      </c>
      <c r="C3" s="4" t="inlineStr">
        <is>
          <t>Dr. Sarah Kim (CMIO - interim)</t>
        </is>
      </c>
      <c r="D3" s="5" t="n">
        <v>12</v>
      </c>
      <c r="E3" s="5" t="n">
        <v>2</v>
      </c>
      <c r="F3" s="5" t="n">
        <v>4</v>
      </c>
      <c r="G3" s="5">
        <f>D3+E3+F3</f>
        <v/>
      </c>
      <c r="H3" s="6">
        <f>(E3+F3)/G3</f>
        <v/>
      </c>
      <c r="I3" s="4" t="inlineStr">
        <is>
          <t>Epic Systems</t>
        </is>
      </c>
      <c r="J3" s="5" t="n">
        <v>18</v>
      </c>
      <c r="K3" s="5" t="n">
        <v>22</v>
      </c>
      <c r="L3" s="7" t="inlineStr">
        <is>
          <t>Scrum</t>
        </is>
      </c>
      <c r="M3" s="7" t="n">
        <v>94</v>
      </c>
      <c r="N3" s="8" t="inlineStr">
        <is>
          <t>Amber</t>
        </is>
      </c>
    </row>
    <row r="4" ht="28" customHeight="1">
      <c r="A4" s="9" t="inlineStr">
        <is>
          <t>Revenue Cycle Technology</t>
        </is>
      </c>
      <c r="B4" s="10" t="inlineStr">
        <is>
          <t>Revenue Cycle</t>
        </is>
      </c>
      <c r="C4" s="10" t="inlineStr">
        <is>
          <t>James Park (CFO - interim)</t>
        </is>
      </c>
      <c r="D4" s="11" t="n">
        <v>6</v>
      </c>
      <c r="E4" s="11" t="n">
        <v>1</v>
      </c>
      <c r="F4" s="11" t="n">
        <v>8</v>
      </c>
      <c r="G4" s="11">
        <f>D4+E4+F4</f>
        <v/>
      </c>
      <c r="H4" s="12">
        <f>(E4+F4)/G4</f>
        <v/>
      </c>
      <c r="I4" s="10" t="inlineStr">
        <is>
          <t>Ensemble Health</t>
        </is>
      </c>
      <c r="J4" s="11" t="n">
        <v>24</v>
      </c>
      <c r="K4" s="11" t="n">
        <v>16</v>
      </c>
      <c r="L4" s="13" t="inlineStr">
        <is>
          <t>Scrum</t>
        </is>
      </c>
      <c r="M4" s="13" t="n">
        <v>127</v>
      </c>
      <c r="N4" s="14" t="inlineStr">
        <is>
          <t>Critical</t>
        </is>
      </c>
    </row>
    <row r="5" ht="28" customHeight="1">
      <c r="A5" s="3" t="inlineStr">
        <is>
          <t>Prior Auth &amp; Payer Integration</t>
        </is>
      </c>
      <c r="B5" s="4" t="inlineStr">
        <is>
          <t>Revenue Cycle / Clinical</t>
        </is>
      </c>
      <c r="C5" s="15" t="inlineStr">
        <is>
          <t>-VACANT-</t>
        </is>
      </c>
      <c r="D5" s="5" t="n">
        <v>4</v>
      </c>
      <c r="E5" s="5" t="n">
        <v>2</v>
      </c>
      <c r="F5" s="5" t="n">
        <v>6</v>
      </c>
      <c r="G5" s="5">
        <f>D5+E5+F5</f>
        <v/>
      </c>
      <c r="H5" s="6">
        <f>(E5+F5)/G5</f>
        <v/>
      </c>
      <c r="I5" s="4" t="inlineStr">
        <is>
          <t>Epic / Cohere pilot</t>
        </is>
      </c>
      <c r="J5" s="5" t="n">
        <v>26</v>
      </c>
      <c r="K5" s="5" t="n">
        <v>14</v>
      </c>
      <c r="L5" s="7" t="inlineStr">
        <is>
          <t>Kanban</t>
        </is>
      </c>
      <c r="M5" s="7" t="n">
        <v>145</v>
      </c>
      <c r="N5" s="14" t="inlineStr">
        <is>
          <t>Critical</t>
        </is>
      </c>
    </row>
    <row r="6" ht="28" customHeight="1">
      <c r="A6" s="9" t="inlineStr">
        <is>
          <t>Patient Engagement &amp; MyChart</t>
        </is>
      </c>
      <c r="B6" s="10" t="inlineStr">
        <is>
          <t>Clinical / Digital</t>
        </is>
      </c>
      <c r="C6" s="10" t="inlineStr">
        <is>
          <t>Linda Chen</t>
        </is>
      </c>
      <c r="D6" s="11" t="n">
        <v>5</v>
      </c>
      <c r="E6" s="11" t="n">
        <v>1</v>
      </c>
      <c r="F6" s="11" t="n">
        <v>3</v>
      </c>
      <c r="G6" s="11">
        <f>D6+E6+F6</f>
        <v/>
      </c>
      <c r="H6" s="12">
        <f>(E6+F6)/G6</f>
        <v/>
      </c>
      <c r="I6" s="10" t="inlineStr">
        <is>
          <t>Epic</t>
        </is>
      </c>
      <c r="J6" s="11" t="n">
        <v>16</v>
      </c>
      <c r="K6" s="11" t="n">
        <v>24</v>
      </c>
      <c r="L6" s="13" t="inlineStr">
        <is>
          <t>Scrum</t>
        </is>
      </c>
      <c r="M6" s="13" t="n">
        <v>88</v>
      </c>
      <c r="N6" s="8" t="inlineStr">
        <is>
          <t>Amber</t>
        </is>
      </c>
    </row>
    <row r="7" ht="28" customHeight="1">
      <c r="A7" s="3" t="inlineStr">
        <is>
          <t>Clinical Data &amp; Analytics</t>
        </is>
      </c>
      <c r="B7" s="4" t="inlineStr">
        <is>
          <t>Data / Clinical</t>
        </is>
      </c>
      <c r="C7" s="4" t="inlineStr">
        <is>
          <t>Dr. Marcus Webb</t>
        </is>
      </c>
      <c r="D7" s="5" t="n">
        <v>6</v>
      </c>
      <c r="E7" s="5" t="n">
        <v>2</v>
      </c>
      <c r="F7" s="5" t="n">
        <v>4</v>
      </c>
      <c r="G7" s="5">
        <f>D7+E7+F7</f>
        <v/>
      </c>
      <c r="H7" s="6">
        <f>(E7+F7)/G7</f>
        <v/>
      </c>
      <c r="I7" s="4" t="inlineStr">
        <is>
          <t>Epic / Clarity</t>
        </is>
      </c>
      <c r="J7" s="5" t="n">
        <v>20</v>
      </c>
      <c r="K7" s="5" t="n">
        <v>20</v>
      </c>
      <c r="L7" s="7" t="inlineStr">
        <is>
          <t>Scrum</t>
        </is>
      </c>
      <c r="M7" s="7" t="n">
        <v>102</v>
      </c>
      <c r="N7" s="8" t="inlineStr">
        <is>
          <t>Amber</t>
        </is>
      </c>
    </row>
    <row r="8" ht="28" customHeight="1">
      <c r="A8" s="9" t="inlineStr">
        <is>
          <t>AI &amp; Innovation Lab</t>
        </is>
      </c>
      <c r="B8" s="10" t="inlineStr">
        <is>
          <t>Innovation</t>
        </is>
      </c>
      <c r="C8" s="10" t="inlineStr">
        <is>
          <t>(CDO Search - Active)</t>
        </is>
      </c>
      <c r="D8" s="11" t="n">
        <v>3</v>
      </c>
      <c r="E8" s="11" t="n">
        <v>1</v>
      </c>
      <c r="F8" s="11" t="n">
        <v>6</v>
      </c>
      <c r="G8" s="11">
        <f>D8+E8+F8</f>
        <v/>
      </c>
      <c r="H8" s="12">
        <f>(E8+F8)/G8</f>
        <v/>
      </c>
      <c r="I8" s="10" t="inlineStr">
        <is>
          <t>Various</t>
        </is>
      </c>
      <c r="J8" s="11" t="n">
        <v>22</v>
      </c>
      <c r="K8" s="11" t="n">
        <v>18</v>
      </c>
      <c r="L8" s="13" t="inlineStr">
        <is>
          <t>Agile</t>
        </is>
      </c>
      <c r="M8" s="13" t="inlineStr">
        <is>
          <t>Not tracked</t>
        </is>
      </c>
      <c r="N8" s="14" t="inlineStr">
        <is>
          <t>Critical</t>
        </is>
      </c>
    </row>
    <row r="9" ht="28" customHeight="1">
      <c r="A9" s="3" t="inlineStr">
        <is>
          <t>Infrastructure &amp; Cloud</t>
        </is>
      </c>
      <c r="B9" s="4" t="inlineStr">
        <is>
          <t>Technology</t>
        </is>
      </c>
      <c r="C9" s="4" t="inlineStr">
        <is>
          <t>Amir Singh</t>
        </is>
      </c>
      <c r="D9" s="5" t="n">
        <v>5</v>
      </c>
      <c r="E9" s="5" t="n">
        <v>2</v>
      </c>
      <c r="F9" s="5" t="n">
        <v>2</v>
      </c>
      <c r="G9" s="5">
        <f>D9+E9+F9</f>
        <v/>
      </c>
      <c r="H9" s="6">
        <f>(E9+F9)/G9</f>
        <v/>
      </c>
      <c r="I9" s="4" t="inlineStr">
        <is>
          <t>AWS</t>
        </is>
      </c>
      <c r="J9" s="5" t="n">
        <v>14</v>
      </c>
      <c r="K9" s="5" t="n">
        <v>26</v>
      </c>
      <c r="L9" s="7" t="inlineStr">
        <is>
          <t>Kanban</t>
        </is>
      </c>
      <c r="M9" s="7" t="n">
        <v>45</v>
      </c>
      <c r="N9" s="16" t="inlineStr">
        <is>
          <t>Green</t>
        </is>
      </c>
    </row>
    <row r="10" ht="28" customHeight="1">
      <c r="A10" s="9" t="inlineStr">
        <is>
          <t>Cybersecurity &amp; Compliance</t>
        </is>
      </c>
      <c r="B10" s="10" t="inlineStr">
        <is>
          <t>Technology / Compliance</t>
        </is>
      </c>
      <c r="C10" s="10" t="inlineStr">
        <is>
          <t>Robert Torres</t>
        </is>
      </c>
      <c r="D10" s="11" t="n">
        <v>4</v>
      </c>
      <c r="E10" s="11" t="n">
        <v>1</v>
      </c>
      <c r="F10" s="11" t="n">
        <v>1</v>
      </c>
      <c r="G10" s="11">
        <f>D10+E10+F10</f>
        <v/>
      </c>
      <c r="H10" s="12">
        <f>(E10+F10)/G10</f>
        <v/>
      </c>
      <c r="I10" s="10" t="inlineStr">
        <is>
          <t>Optiv</t>
        </is>
      </c>
      <c r="J10" s="11" t="n">
        <v>12</v>
      </c>
      <c r="K10" s="11" t="n">
        <v>28</v>
      </c>
      <c r="L10" s="13" t="inlineStr">
        <is>
          <t>Kanban</t>
        </is>
      </c>
      <c r="M10" s="13" t="inlineStr">
        <is>
          <t>Not tracked</t>
        </is>
      </c>
      <c r="N10" s="16" t="inlineStr">
        <is>
          <t>Green</t>
        </is>
      </c>
    </row>
    <row r="11" ht="28" customHeight="1">
      <c r="A11" s="3" t="inlineStr">
        <is>
          <t>Integration &amp; Interoperability</t>
        </is>
      </c>
      <c r="B11" s="4" t="inlineStr">
        <is>
          <t>Clinical Systems</t>
        </is>
      </c>
      <c r="C11" s="4" t="inlineStr">
        <is>
          <t>Priya Nair</t>
        </is>
      </c>
      <c r="D11" s="5" t="n">
        <v>5</v>
      </c>
      <c r="E11" s="5" t="n">
        <v>2</v>
      </c>
      <c r="F11" s="5" t="n">
        <v>4</v>
      </c>
      <c r="G11" s="5">
        <f>D11+E11+F11</f>
        <v/>
      </c>
      <c r="H11" s="6">
        <f>(E11+F11)/G11</f>
        <v/>
      </c>
      <c r="I11" s="4" t="inlineStr">
        <is>
          <t>Epic / Rhapsody</t>
        </is>
      </c>
      <c r="J11" s="5" t="n">
        <v>22</v>
      </c>
      <c r="K11" s="5" t="n">
        <v>18</v>
      </c>
      <c r="L11" s="7" t="inlineStr">
        <is>
          <t>Scrum</t>
        </is>
      </c>
      <c r="M11" s="7" t="n">
        <v>118</v>
      </c>
      <c r="N11" s="8" t="inlineStr">
        <is>
          <t>Amber</t>
        </is>
      </c>
    </row>
    <row r="12" ht="28" customHeight="1">
      <c r="A12" s="9" t="inlineStr">
        <is>
          <t>Supply Chain Technology</t>
        </is>
      </c>
      <c r="B12" s="10" t="inlineStr">
        <is>
          <t>Operations</t>
        </is>
      </c>
      <c r="C12" s="10" t="inlineStr">
        <is>
          <t>David Kim</t>
        </is>
      </c>
      <c r="D12" s="11" t="n">
        <v>3</v>
      </c>
      <c r="E12" s="11" t="n">
        <v>1</v>
      </c>
      <c r="F12" s="11" t="n">
        <v>2</v>
      </c>
      <c r="G12" s="11">
        <f>D12+E12+F12</f>
        <v/>
      </c>
      <c r="H12" s="12">
        <f>(E12+F12)/G12</f>
        <v/>
      </c>
      <c r="I12" s="10" t="inlineStr">
        <is>
          <t>Infor</t>
        </is>
      </c>
      <c r="J12" s="11" t="n">
        <v>18</v>
      </c>
      <c r="K12" s="11" t="n">
        <v>22</v>
      </c>
      <c r="L12" s="13" t="inlineStr">
        <is>
          <t>Scrum</t>
        </is>
      </c>
      <c r="M12" s="13" t="n">
        <v>96</v>
      </c>
      <c r="N12" s="8" t="inlineStr">
        <is>
          <t>Amber</t>
        </is>
      </c>
    </row>
    <row r="13" ht="28" customHeight="1">
      <c r="A13" s="3" t="inlineStr">
        <is>
          <t>Workforce Technology</t>
        </is>
      </c>
      <c r="B13" s="4" t="inlineStr">
        <is>
          <t>HR / Operations</t>
        </is>
      </c>
      <c r="C13" s="4" t="inlineStr">
        <is>
          <t>Maria Santos</t>
        </is>
      </c>
      <c r="D13" s="5" t="n">
        <v>3</v>
      </c>
      <c r="E13" s="5" t="n">
        <v>1</v>
      </c>
      <c r="F13" s="5" t="n">
        <v>1</v>
      </c>
      <c r="G13" s="5">
        <f>D13+E13+F13</f>
        <v/>
      </c>
      <c r="H13" s="6">
        <f>(E13+F13)/G13</f>
        <v/>
      </c>
      <c r="I13" s="4" t="inlineStr">
        <is>
          <t>Workday</t>
        </is>
      </c>
      <c r="J13" s="5" t="n">
        <v>14</v>
      </c>
      <c r="K13" s="5" t="n">
        <v>26</v>
      </c>
      <c r="L13" s="7" t="inlineStr">
        <is>
          <t>Scrum</t>
        </is>
      </c>
      <c r="M13" s="7" t="n">
        <v>72</v>
      </c>
      <c r="N13" s="16" t="inlineStr">
        <is>
          <t>Green</t>
        </is>
      </c>
    </row>
    <row r="14" ht="28" customHeight="1">
      <c r="A14" s="9" t="inlineStr">
        <is>
          <t>Telehealth &amp; Virtual Care</t>
        </is>
      </c>
      <c r="B14" s="10" t="inlineStr">
        <is>
          <t>Clinical / Digital</t>
        </is>
      </c>
      <c r="C14" s="10" t="inlineStr">
        <is>
          <t>Dr. James Liu</t>
        </is>
      </c>
      <c r="D14" s="11" t="n">
        <v>4</v>
      </c>
      <c r="E14" s="11" t="n">
        <v>1</v>
      </c>
      <c r="F14" s="11" t="n">
        <v>3</v>
      </c>
      <c r="G14" s="11">
        <f>D14+E14+F14</f>
        <v/>
      </c>
      <c r="H14" s="12">
        <f>(E14+F14)/G14</f>
        <v/>
      </c>
      <c r="I14" s="10" t="inlineStr">
        <is>
          <t>Epic / Zoom</t>
        </is>
      </c>
      <c r="J14" s="11" t="n">
        <v>20</v>
      </c>
      <c r="K14" s="11" t="n">
        <v>20</v>
      </c>
      <c r="L14" s="13" t="inlineStr">
        <is>
          <t>Scrum</t>
        </is>
      </c>
      <c r="M14" s="13" t="n">
        <v>88</v>
      </c>
      <c r="N14" s="8" t="inlineStr">
        <is>
          <t>Amber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28" customWidth="1" min="7" max="7"/>
    <col width="14" customWidth="1" min="8" max="8"/>
  </cols>
  <sheetData>
    <row r="1" ht="16" customHeight="1">
      <c r="A1" s="1" t="inlineStr">
        <is>
          <t>MERIDIAN HEALTH — DORA Metrics by Squad (FY2025)</t>
        </is>
      </c>
    </row>
    <row r="2" ht="32" customHeight="1">
      <c r="A2" s="2" t="inlineStr">
        <is>
          <t>Squad</t>
        </is>
      </c>
      <c r="B2" s="2" t="inlineStr">
        <is>
          <t>Deploy Freq</t>
        </is>
      </c>
      <c r="C2" s="2" t="inlineStr">
        <is>
          <t>Lead Time (Days)</t>
        </is>
      </c>
      <c r="D2" s="2" t="inlineStr">
        <is>
          <t>Change Fail %</t>
        </is>
      </c>
      <c r="E2" s="2" t="inlineStr">
        <is>
          <t>MTTR (Hrs)</t>
        </is>
      </c>
      <c r="F2" s="2" t="inlineStr">
        <is>
          <t>DORA Level</t>
        </is>
      </c>
      <c r="G2" s="2" t="inlineStr">
        <is>
          <t>Blocker</t>
        </is>
      </c>
      <c r="H2" s="2" t="inlineStr">
        <is>
          <t>Gap vs Elite</t>
        </is>
      </c>
    </row>
    <row r="3" ht="22" customHeight="1">
      <c r="A3" s="3" t="inlineStr">
        <is>
          <t>Epic EHR Core</t>
        </is>
      </c>
      <c r="B3" s="7" t="inlineStr">
        <is>
          <t>Monthly</t>
        </is>
      </c>
      <c r="C3" s="7" t="inlineStr">
        <is>
          <t>94</t>
        </is>
      </c>
      <c r="D3" s="7" t="inlineStr">
        <is>
          <t>4.2%</t>
        </is>
      </c>
      <c r="E3" s="7" t="inlineStr">
        <is>
          <t>8</t>
        </is>
      </c>
      <c r="F3" s="17" t="inlineStr">
        <is>
          <t>Low</t>
        </is>
      </c>
      <c r="G3" s="4" t="inlineStr">
        <is>
          <t>Epic upgrade windows control release schedule</t>
        </is>
      </c>
      <c r="H3" s="4" t="inlineStr">
        <is>
          <t>Far below — Elite is daily</t>
        </is>
      </c>
    </row>
    <row r="4" ht="22" customHeight="1">
      <c r="A4" s="9" t="inlineStr">
        <is>
          <t>Revenue Cycle Technology</t>
        </is>
      </c>
      <c r="B4" s="13" t="inlineStr">
        <is>
          <t>Bi-monthly</t>
        </is>
      </c>
      <c r="C4" s="13" t="inlineStr">
        <is>
          <t>127</t>
        </is>
      </c>
      <c r="D4" s="13" t="inlineStr">
        <is>
          <t>8.1%</t>
        </is>
      </c>
      <c r="E4" s="13" t="inlineStr">
        <is>
          <t>16</t>
        </is>
      </c>
      <c r="F4" s="17" t="inlineStr">
        <is>
          <t>Low</t>
        </is>
      </c>
      <c r="G4" s="10" t="inlineStr">
        <is>
          <t>Ensemble Health governs RCM releases</t>
        </is>
      </c>
      <c r="H4" s="10" t="inlineStr">
        <is>
          <t>Far below</t>
        </is>
      </c>
    </row>
    <row r="5" ht="22" customHeight="1">
      <c r="A5" s="3" t="inlineStr">
        <is>
          <t>Prior Auth &amp; Payer Integration</t>
        </is>
      </c>
      <c r="B5" s="7" t="inlineStr">
        <is>
          <t>Ad hoc</t>
        </is>
      </c>
      <c r="C5" s="7" t="inlineStr">
        <is>
          <t>145</t>
        </is>
      </c>
      <c r="D5" s="7" t="inlineStr">
        <is>
          <t>12.4%</t>
        </is>
      </c>
      <c r="E5" s="7" t="inlineStr">
        <is>
          <t>24</t>
        </is>
      </c>
      <c r="F5" s="17" t="inlineStr">
        <is>
          <t>None</t>
        </is>
      </c>
      <c r="G5" s="4" t="inlineStr">
        <is>
          <t>No CI/CD. Manual deployments. Lead role vacant.</t>
        </is>
      </c>
      <c r="H5" s="4" t="inlineStr">
        <is>
          <t>No comparison — zero deployments</t>
        </is>
      </c>
    </row>
    <row r="6" ht="22" customHeight="1">
      <c r="A6" s="9" t="inlineStr">
        <is>
          <t>Patient Engagement</t>
        </is>
      </c>
      <c r="B6" s="13" t="inlineStr">
        <is>
          <t>Monthly</t>
        </is>
      </c>
      <c r="C6" s="13" t="inlineStr">
        <is>
          <t>88</t>
        </is>
      </c>
      <c r="D6" s="13" t="inlineStr">
        <is>
          <t>3.1%</t>
        </is>
      </c>
      <c r="E6" s="13" t="inlineStr">
        <is>
          <t>6</t>
        </is>
      </c>
      <c r="F6" s="18" t="inlineStr">
        <is>
          <t>Medium</t>
        </is>
      </c>
      <c r="G6" s="10" t="inlineStr">
        <is>
          <t>Some automation. MyChart upgrades Epic-controlled.</t>
        </is>
      </c>
      <c r="H6" s="10" t="inlineStr">
        <is>
          <t>Below — target weekly</t>
        </is>
      </c>
    </row>
    <row r="7" ht="22" customHeight="1">
      <c r="A7" s="3" t="inlineStr">
        <is>
          <t>Clinical Data &amp; Analytics</t>
        </is>
      </c>
      <c r="B7" s="7" t="inlineStr">
        <is>
          <t>Quarterly</t>
        </is>
      </c>
      <c r="C7" s="7" t="inlineStr">
        <is>
          <t>102</t>
        </is>
      </c>
      <c r="D7" s="7" t="inlineStr">
        <is>
          <t>5.8%</t>
        </is>
      </c>
      <c r="E7" s="7" t="inlineStr">
        <is>
          <t>12</t>
        </is>
      </c>
      <c r="F7" s="17" t="inlineStr">
        <is>
          <t>Low</t>
        </is>
      </c>
      <c r="G7" s="4" t="inlineStr">
        <is>
          <t>Manual data pipeline. No deployment automation.</t>
        </is>
      </c>
      <c r="H7" s="4" t="inlineStr">
        <is>
          <t>Far below</t>
        </is>
      </c>
    </row>
    <row r="8" ht="22" customHeight="1">
      <c r="A8" s="9" t="inlineStr">
        <is>
          <t>AI &amp; Innovation Lab</t>
        </is>
      </c>
      <c r="B8" s="13" t="inlineStr">
        <is>
          <t>Never</t>
        </is>
      </c>
      <c r="C8" s="13" t="inlineStr">
        <is>
          <t>N/A</t>
        </is>
      </c>
      <c r="D8" s="13" t="inlineStr">
        <is>
          <t>N/A</t>
        </is>
      </c>
      <c r="E8" s="13" t="inlineStr">
        <is>
          <t>N/A</t>
        </is>
      </c>
      <c r="F8" s="17" t="inlineStr">
        <is>
          <t>None</t>
        </is>
      </c>
      <c r="G8" s="10" t="inlineStr">
        <is>
          <t>CDO vacant. Zero production AI deployments in 12 months.</t>
        </is>
      </c>
      <c r="H8" s="10" t="inlineStr">
        <is>
          <t>No comparison</t>
        </is>
      </c>
    </row>
    <row r="9" ht="22" customHeight="1">
      <c r="A9" s="3" t="inlineStr">
        <is>
          <t>Infrastructure &amp; Cloud</t>
        </is>
      </c>
      <c r="B9" s="7" t="inlineStr">
        <is>
          <t>Weekly</t>
        </is>
      </c>
      <c r="C9" s="7" t="inlineStr">
        <is>
          <t>45</t>
        </is>
      </c>
      <c r="D9" s="7" t="inlineStr">
        <is>
          <t>1.8%</t>
        </is>
      </c>
      <c r="E9" s="7" t="inlineStr">
        <is>
          <t>3</t>
        </is>
      </c>
      <c r="F9" s="18" t="inlineStr">
        <is>
          <t>Medium</t>
        </is>
      </c>
      <c r="G9" s="4" t="inlineStr">
        <is>
          <t>Good infra pipeline. ML pipeline absent.</t>
        </is>
      </c>
      <c r="H9" s="4" t="inlineStr">
        <is>
          <t>Near — target daily</t>
        </is>
      </c>
    </row>
    <row r="10" ht="22" customHeight="1">
      <c r="A10" s="9" t="inlineStr">
        <is>
          <t>Cybersecurity</t>
        </is>
      </c>
      <c r="B10" s="13" t="inlineStr">
        <is>
          <t>On-demand</t>
        </is>
      </c>
      <c r="C10" s="13" t="inlineStr">
        <is>
          <t>28</t>
        </is>
      </c>
      <c r="D10" s="13" t="inlineStr">
        <is>
          <t>0.9%</t>
        </is>
      </c>
      <c r="E10" s="13" t="inlineStr">
        <is>
          <t>2</t>
        </is>
      </c>
      <c r="F10" s="19" t="inlineStr">
        <is>
          <t>High</t>
        </is>
      </c>
      <c r="G10" s="10" t="inlineStr">
        <is>
          <t>Strong. Security patches automated.</t>
        </is>
      </c>
      <c r="H10" s="10" t="inlineStr">
        <is>
          <t>Near elite</t>
        </is>
      </c>
    </row>
    <row r="11" ht="22" customHeight="1">
      <c r="A11" s="3" t="inlineStr">
        <is>
          <t>Integration &amp; Interoperability</t>
        </is>
      </c>
      <c r="B11" s="7" t="inlineStr">
        <is>
          <t>Monthly</t>
        </is>
      </c>
      <c r="C11" s="7" t="inlineStr">
        <is>
          <t>118</t>
        </is>
      </c>
      <c r="D11" s="7" t="inlineStr">
        <is>
          <t>6.2%</t>
        </is>
      </c>
      <c r="E11" s="7" t="inlineStr">
        <is>
          <t>14</t>
        </is>
      </c>
      <c r="F11" s="17" t="inlineStr">
        <is>
          <t>Low</t>
        </is>
      </c>
      <c r="G11" s="4" t="inlineStr">
        <is>
          <t>Epic governs integration release windows.</t>
        </is>
      </c>
      <c r="H11" s="4" t="inlineStr">
        <is>
          <t>Below</t>
        </is>
      </c>
    </row>
    <row r="12" ht="22" customHeight="1">
      <c r="A12" s="9" t="inlineStr">
        <is>
          <t>Supply Chain Technology</t>
        </is>
      </c>
      <c r="B12" s="13" t="inlineStr">
        <is>
          <t>Monthly</t>
        </is>
      </c>
      <c r="C12" s="13" t="inlineStr">
        <is>
          <t>96</t>
        </is>
      </c>
      <c r="D12" s="13" t="inlineStr">
        <is>
          <t>4.4%</t>
        </is>
      </c>
      <c r="E12" s="13" t="inlineStr">
        <is>
          <t>8</t>
        </is>
      </c>
      <c r="F12" s="17" t="inlineStr">
        <is>
          <t>Low</t>
        </is>
      </c>
      <c r="G12" s="10" t="inlineStr">
        <is>
          <t>Infor controls upgrade schedule.</t>
        </is>
      </c>
      <c r="H12" s="10" t="inlineStr">
        <is>
          <t>Below</t>
        </is>
      </c>
    </row>
    <row r="13" ht="22" customHeight="1">
      <c r="A13" s="3" t="inlineStr">
        <is>
          <t>Workforce Technology</t>
        </is>
      </c>
      <c r="B13" s="7" t="inlineStr">
        <is>
          <t>Bi-weekly</t>
        </is>
      </c>
      <c r="C13" s="7" t="inlineStr">
        <is>
          <t>72</t>
        </is>
      </c>
      <c r="D13" s="7" t="inlineStr">
        <is>
          <t>2.1%</t>
        </is>
      </c>
      <c r="E13" s="7" t="inlineStr">
        <is>
          <t>4</t>
        </is>
      </c>
      <c r="F13" s="18" t="inlineStr">
        <is>
          <t>Medium</t>
        </is>
      </c>
      <c r="G13" s="4" t="inlineStr">
        <is>
          <t>Workday release cadence manageable internally.</t>
        </is>
      </c>
      <c r="H13" s="4" t="inlineStr">
        <is>
          <t>Near</t>
        </is>
      </c>
    </row>
    <row r="14" ht="22" customHeight="1">
      <c r="A14" s="9" t="inlineStr">
        <is>
          <t>Telehealth</t>
        </is>
      </c>
      <c r="B14" s="13" t="inlineStr">
        <is>
          <t>Monthly</t>
        </is>
      </c>
      <c r="C14" s="13" t="inlineStr">
        <is>
          <t>88</t>
        </is>
      </c>
      <c r="D14" s="13" t="inlineStr">
        <is>
          <t>3.8%</t>
        </is>
      </c>
      <c r="E14" s="13" t="inlineStr">
        <is>
          <t>7</t>
        </is>
      </c>
      <c r="F14" s="18" t="inlineStr">
        <is>
          <t>Medium</t>
        </is>
      </c>
      <c r="G14" s="10" t="inlineStr">
        <is>
          <t>Epic integration partial — constrains velocity.</t>
        </is>
      </c>
      <c r="H14" s="10" t="inlineStr">
        <is>
          <t>Below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